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CIONES" sheetId="1" state="visible" r:id="rId3"/>
    <sheet name="PANEL" sheetId="2" state="visible" r:id="rId4"/>
    <sheet name="PRESTADORES" sheetId="3" state="visible" r:id="rId5"/>
    <sheet name="CONFI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<sst xmlns="http://schemas.openxmlformats.org/spreadsheetml/2006/main" count="2275" uniqueCount="512">
  <si>
    <t xml:space="preserve">PLANILLA MAESTRA DE PRESTADORES</t>
  </si>
  <si>
    <t xml:space="preserve">Como usar esta planilla - GRIFF SALUD</t>
  </si>
  <si>
    <t xml:space="preserve">QUE ES</t>
  </si>
  <si>
    <t xml:space="preserve">Una sola tabla con TODAS las facturas de prestadores. Cada fila es una factura (o una cuota). La columna ESTADO indica en que etapa esta. Los 4 tableros leen de aca.</t>
  </si>
  <si>
    <t xml:space="preserve">EL CICLO DE VIDA</t>
  </si>
  <si>
    <t xml:space="preserve">1. PENDIENTE</t>
  </si>
  <si>
    <t xml:space="preserve">La factura llego pero todavia no se audito. Se completan los datos de identificacion y el TOTAL.</t>
  </si>
  <si>
    <t xml:space="preserve">2. AUDITADA</t>
  </si>
  <si>
    <t xml:space="preserve">Ya pasaron auditoria medica (DEBITO_MEDICO) y facturista (DEBITO_ADMINISTRATIVO). El A_PAGAR quedo firme.</t>
  </si>
  <si>
    <t xml:space="preserve">3. PROYECTADA</t>
  </si>
  <si>
    <t xml:space="preserve">Se le asigno una FECHA_PAGO_PROYECTADA. Es un estimativo, se puede mover. Flujo Bancario la cuenta como cheque a emitir.</t>
  </si>
  <si>
    <t xml:space="preserve">4. EMITIDA</t>
  </si>
  <si>
    <t xml:space="preserve">Ya se genero el cheque / OP / transferencia. Se cargan NRO_CHEQUE o NRO_OP y FECHA_EMISION_PAGO.</t>
  </si>
  <si>
    <t xml:space="preserve">5. PAGADA</t>
  </si>
  <si>
    <t xml:space="preserve">El cheque se deposito o la transferencia se ejecuto. Se carga FECHA_PAGO_REAL.</t>
  </si>
  <si>
    <t xml:space="preserve">COMO SE COMPLETA</t>
  </si>
  <si>
    <t xml:space="preserve">Columnas fondo gris</t>
  </si>
  <si>
    <t xml:space="preserve">Son CALCULADAS (A_PAGAR, FECHA_PAGO_SUGERIDA, KPIs). No se tocan: se llenan solas.</t>
  </si>
  <si>
    <t xml:space="preserve">Columnas con lista</t>
  </si>
  <si>
    <t xml:space="preserve">TIPO_COMPROBANTE, TIPO_PRESTACION, OBRA_SOCIAL, ESTADO, ETAPA_AUDITORIA, METODO_PAGO y ESTADO_CHEQUE_BANCO tienen lista desplegable.</t>
  </si>
  <si>
    <t xml:space="preserve">Filas amarillas</t>
  </si>
  <si>
    <t xml:space="preserve">Son 2 filas de EJEMPLO. Borralas antes de cargar datos reales.</t>
  </si>
  <si>
    <t xml:space="preserve">Celda K1 (amarilla)</t>
  </si>
  <si>
    <t xml:space="preserve">Escribir el periodo de la planilla, formato MM-AAAA (ej. 03-2026).</t>
  </si>
  <si>
    <t xml:space="preserve">BLOQUES DE COLUMNAS</t>
  </si>
  <si>
    <t xml:space="preserve">IDENTIFICACION (azul)</t>
  </si>
  <si>
    <t xml:space="preserve">PRESTADOR, CUIT, TIPO_COMPROBANTE (FAC/NC/ND), NUMERO_COMPROBANTE, FECHA, PERIODO, TIPO_PRESTACION, OBRA_SOCIAL, PLAZO.</t>
  </si>
  <si>
    <t xml:space="preserve">MONTOS (verde)</t>
  </si>
  <si>
    <t xml:space="preserve">TOTAL_COMPROBANTE lo carga quien arma la planilla. DEBITO_MEDICO lo carga la medica auditora. DEBITO_ADMINISTRATIVO lo carga la facturista. A_PAGAR se calcula solo.</t>
  </si>
  <si>
    <t xml:space="preserve">CICLO (violeta)</t>
  </si>
  <si>
    <t xml:space="preserve">ESTADO, ETAPA_AUDITORIA y METODO_PAGO.</t>
  </si>
  <si>
    <t xml:space="preserve">HITOS (ambar)</t>
  </si>
  <si>
    <t xml:space="preserve">Las 4 fechas del circuito de auditoria. Cada persona anota la fecha cuando recibe / entrega la factura. De aca salen los KPIs.</t>
  </si>
  <si>
    <t xml:space="preserve">PROYECCION (lila)</t>
  </si>
  <si>
    <t xml:space="preserve">FECHA_PAGO_SUGERIDA = FECHA + PLAZO (calculada). FECHA_PAGO_PROYECTADA es editable. MONTO_PROYECTADO: el monto de esa cuota.</t>
  </si>
  <si>
    <t xml:space="preserve">EMISION (azul claro)</t>
  </si>
  <si>
    <t xml:space="preserve">NRO_OP, NRO_CHEQUE, FECHA_EMISION_PAGO, BANCO_EMISOR. Varias se autocompletan al cruzar con Galicia / Colppy.</t>
  </si>
  <si>
    <t xml:space="preserve">PAGO (gris)</t>
  </si>
  <si>
    <t xml:space="preserve">FECHA_PAGO_REAL y ESTADO_CHEQUE_BANCO (lo que dice Galicia).</t>
  </si>
  <si>
    <t xml:space="preserve">KPI (naranja)</t>
  </si>
  <si>
    <t xml:space="preserve">6 indicadores de tiempo, todos calculados. Miden cuantos dias tarda cada etapa del proceso.</t>
  </si>
  <si>
    <t xml:space="preserve">SEGUIMIENTO (gris)</t>
  </si>
  <si>
    <t xml:space="preserve">USUARIO_MODIFICO, FECHA_ULTIMA_MODIFICACION y NOTAS.</t>
  </si>
  <si>
    <t xml:space="preserve">CUOTAS MULTIPLES</t>
  </si>
  <si>
    <t xml:space="preserve">Si una factura se paga en varias cuotas: una fila por cuota. Todas con el mismo NUMERO_COMPROBANTE, distinto MONTO_PROYECTADO y FECHA_PAGO_PROYECTADA. La columna NRO_CUOTA muestra 1 de 2, 2 de 2, etc.</t>
  </si>
  <si>
    <t xml:space="preserve">KPIs DEL PROCESO</t>
  </si>
  <si>
    <t xml:space="preserve">KPI_DEMORA_A_AUDITORIA</t>
  </si>
  <si>
    <t xml:space="preserve">Dias desde que llego la doc hasta que entro a auditoria medica.</t>
  </si>
  <si>
    <t xml:space="preserve">KPI_DIAS_AUD_MEDICA</t>
  </si>
  <si>
    <t xml:space="preserve">Dias que la factura estuvo en la medica auditora.</t>
  </si>
  <si>
    <t xml:space="preserve">KPI_DIAS_FACTURISTA</t>
  </si>
  <si>
    <t xml:space="preserve">Dias que la factura estuvo en la facturista.</t>
  </si>
  <si>
    <t xml:space="preserve">KPI_LEADTIME_AUDITORIA</t>
  </si>
  <si>
    <t xml:space="preserve">Dias totales de auditoria: recepcion hasta fin auditoria.</t>
  </si>
  <si>
    <t xml:space="preserve">KPI_DEMORA_AUD_A_PAGO</t>
  </si>
  <si>
    <t xml:space="preserve">Dias entre fin de auditoria y emision del pago.</t>
  </si>
  <si>
    <t xml:space="preserve">KPI_LEADTIME_TOTAL</t>
  </si>
  <si>
    <t xml:space="preserve">Dias totales: recepcion hasta pago real.</t>
  </si>
  <si>
    <t xml:space="preserve">PANEL DE CONTROL</t>
  </si>
  <si>
    <t xml:space="preserve">Se actualiza solo a partir de la hoja PRESTADORES</t>
  </si>
  <si>
    <t xml:space="preserve">FACTURAS POR ESTADO</t>
  </si>
  <si>
    <t xml:space="preserve">MONTO A_PAGAR POR OBRA SOCIAL</t>
  </si>
  <si>
    <t xml:space="preserve">ESTADO</t>
  </si>
  <si>
    <t xml:space="preserve">CANTIDAD</t>
  </si>
  <si>
    <t xml:space="preserve">MONTO A_PAGAR</t>
  </si>
  <si>
    <t xml:space="preserve">OBRA SOCIAL</t>
  </si>
  <si>
    <t xml:space="preserve">PENDIENTE</t>
  </si>
  <si>
    <t xml:space="preserve">OSPEVIC</t>
  </si>
  <si>
    <t xml:space="preserve">AUDITADA</t>
  </si>
  <si>
    <t xml:space="preserve">OSPIF</t>
  </si>
  <si>
    <t xml:space="preserve">PROYECTADA</t>
  </si>
  <si>
    <t xml:space="preserve">OSPLYFC</t>
  </si>
  <si>
    <t xml:space="preserve">EMITIDA</t>
  </si>
  <si>
    <t xml:space="preserve">OSPM</t>
  </si>
  <si>
    <t xml:space="preserve">PAGADA</t>
  </si>
  <si>
    <t xml:space="preserve">OSSURRBAC</t>
  </si>
  <si>
    <t xml:space="preserve">TOTAL</t>
  </si>
  <si>
    <t xml:space="preserve">AMSURRBAC</t>
  </si>
  <si>
    <t xml:space="preserve">UOM</t>
  </si>
  <si>
    <t xml:space="preserve">FACTURAS EN AUDITORIA (sub-etapa)</t>
  </si>
  <si>
    <t xml:space="preserve">SIN ASIGNACION</t>
  </si>
  <si>
    <t xml:space="preserve">ETAPA_AUDITORIA</t>
  </si>
  <si>
    <t xml:space="preserve">RECIBIDA</t>
  </si>
  <si>
    <t xml:space="preserve">EN_AUD_MEDICA</t>
  </si>
  <si>
    <t xml:space="preserve">EN_FACTURISTA</t>
  </si>
  <si>
    <t xml:space="preserve">KPIs PROMEDIO (dias)</t>
  </si>
  <si>
    <t xml:space="preserve">INDICADOR</t>
  </si>
  <si>
    <t xml:space="preserve">PROMEDIO DIAS</t>
  </si>
  <si>
    <t xml:space="preserve">Demora a auditoria</t>
  </si>
  <si>
    <t xml:space="preserve">Dias en aud. medica</t>
  </si>
  <si>
    <t xml:space="preserve">Dias en facturista</t>
  </si>
  <si>
    <t xml:space="preserve">Lead time auditoria</t>
  </si>
  <si>
    <t xml:space="preserve">Demora aud. a pago</t>
  </si>
  <si>
    <t xml:space="preserve">Lead time total</t>
  </si>
  <si>
    <t xml:space="preserve">PLANILLA MAESTRA DE PRESTADORES  -  GRIFF SALUD</t>
  </si>
  <si>
    <t xml:space="preserve">Periodo:</t>
  </si>
  <si>
    <t xml:space="preserve">02-2026</t>
  </si>
  <si>
    <t xml:space="preserve">ID</t>
  </si>
  <si>
    <t xml:space="preserve">PRESTADOR</t>
  </si>
  <si>
    <t xml:space="preserve">CUIT</t>
  </si>
  <si>
    <t xml:space="preserve">TIPO_COMPROBANTE</t>
  </si>
  <si>
    <t xml:space="preserve">NUMERO_COMPROBANTE</t>
  </si>
  <si>
    <t xml:space="preserve">FECHA_COMPROBANTE</t>
  </si>
  <si>
    <t xml:space="preserve">PERIODO_PRESTACION</t>
  </si>
  <si>
    <t xml:space="preserve">TIPO_PRESTACION</t>
  </si>
  <si>
    <t xml:space="preserve">OBRA_SOCIAL</t>
  </si>
  <si>
    <t xml:space="preserve">PLAZO</t>
  </si>
  <si>
    <t xml:space="preserve">TOTAL_COMPROBANTE</t>
  </si>
  <si>
    <t xml:space="preserve">DEBITO_ADMINISTRATIVO</t>
  </si>
  <si>
    <t xml:space="preserve">DEBITO_MEDICO</t>
  </si>
  <si>
    <t xml:space="preserve">A_PAGAR</t>
  </si>
  <si>
    <t xml:space="preserve">METODO_PAGO</t>
  </si>
  <si>
    <t xml:space="preserve">FECHA_RECEPCION</t>
  </si>
  <si>
    <t xml:space="preserve">FECHA_A_AUD_MEDICA</t>
  </si>
  <si>
    <t xml:space="preserve">FECHA_A_FACTURISTA</t>
  </si>
  <si>
    <t xml:space="preserve">FECHA_FIN_AUDITORIA</t>
  </si>
  <si>
    <t xml:space="preserve">NRO_CUOTA</t>
  </si>
  <si>
    <t xml:space="preserve">FECHA_PAGO_SUGERIDA</t>
  </si>
  <si>
    <t xml:space="preserve">FECHA_PAGO_PROYECTADA</t>
  </si>
  <si>
    <t xml:space="preserve">MONTO_PROYECTADO</t>
  </si>
  <si>
    <t xml:space="preserve">NRO_OP</t>
  </si>
  <si>
    <t xml:space="preserve">NRO_CHEQUE</t>
  </si>
  <si>
    <t xml:space="preserve">FECHA_EMISION_PAGO</t>
  </si>
  <si>
    <t xml:space="preserve">BANCO_EMISOR</t>
  </si>
  <si>
    <t xml:space="preserve">FECHA_PAGO_REAL</t>
  </si>
  <si>
    <t xml:space="preserve">ESTADO_CHEQUE_BANCO</t>
  </si>
  <si>
    <t xml:space="preserve">USUARIO_MODIFICO</t>
  </si>
  <si>
    <t xml:space="preserve">FECHA_ULTIMA_MODIFICACION</t>
  </si>
  <si>
    <t xml:space="preserve">NOTAS</t>
  </si>
  <si>
    <t xml:space="preserve">AMPARAR S.R.L</t>
  </si>
  <si>
    <t xml:space="preserve">30708686499</t>
  </si>
  <si>
    <t xml:space="preserve">FAC</t>
  </si>
  <si>
    <t xml:space="preserve">00008-00001805</t>
  </si>
  <si>
    <t xml:space="preserve">CAPITAS</t>
  </si>
  <si>
    <t xml:space="preserve">1 de 1</t>
  </si>
  <si>
    <t xml:space="preserve">Migrado (02-2026)</t>
  </si>
  <si>
    <t xml:space="preserve">00008-00001803</t>
  </si>
  <si>
    <t xml:space="preserve">00008-00001806</t>
  </si>
  <si>
    <t xml:space="preserve">00008-00001807</t>
  </si>
  <si>
    <t xml:space="preserve">AMBULATORIO</t>
  </si>
  <si>
    <t xml:space="preserve">00008-00001466</t>
  </si>
  <si>
    <t xml:space="preserve">00008-00001824</t>
  </si>
  <si>
    <t xml:space="preserve">TRASLADOS</t>
  </si>
  <si>
    <t xml:space="preserve">00008-00001792</t>
  </si>
  <si>
    <t xml:space="preserve">ASOCIACION DE BIOQUIMICOS DEL DEPARTAMENTO SAN MARTIN</t>
  </si>
  <si>
    <t xml:space="preserve">30582058608</t>
  </si>
  <si>
    <t xml:space="preserve">00005-00006083</t>
  </si>
  <si>
    <t xml:space="preserve">ASOCIACION DE CLINICAS DEL NORTE DE LA PROVINCIA DE CORDOBA A C L I N O R</t>
  </si>
  <si>
    <t xml:space="preserve">30678724447</t>
  </si>
  <si>
    <t xml:space="preserve">00004-00018691</t>
  </si>
  <si>
    <t xml:space="preserve">00004-00018692</t>
  </si>
  <si>
    <t xml:space="preserve">00004-00018694</t>
  </si>
  <si>
    <t xml:space="preserve">00004-00018693</t>
  </si>
  <si>
    <t xml:space="preserve">ASOCIACION DE MEDICOS PATOLOGOS Y CITOPATOLOGOS DE LA PCIA. DE CORDOBA</t>
  </si>
  <si>
    <t xml:space="preserve">30707403809</t>
  </si>
  <si>
    <t xml:space="preserve">00002-00003404</t>
  </si>
  <si>
    <t xml:space="preserve">00002-00003405</t>
  </si>
  <si>
    <t xml:space="preserve">ASOCIACION PRESTADORES DE HEMODIALISIS Y TRANSPLANTES RENALES DEL CENTRO (APHE Y TRC)</t>
  </si>
  <si>
    <t xml:space="preserve">30644610256</t>
  </si>
  <si>
    <t xml:space="preserve">00003-00008358</t>
  </si>
  <si>
    <t xml:space="preserve">0003-00008345</t>
  </si>
  <si>
    <t xml:space="preserve">BARIATRICA S.A. S. A.</t>
  </si>
  <si>
    <t xml:space="preserve">30709634964</t>
  </si>
  <si>
    <t xml:space="preserve">00002-00001195</t>
  </si>
  <si>
    <t xml:space="preserve">CAMARA DE ENTIDADES DE SALUD - CES</t>
  </si>
  <si>
    <t xml:space="preserve">30715649159</t>
  </si>
  <si>
    <t xml:space="preserve">00005-00001418</t>
  </si>
  <si>
    <t xml:space="preserve">INTERNADO</t>
  </si>
  <si>
    <t xml:space="preserve">00005-00001415</t>
  </si>
  <si>
    <t xml:space="preserve">00005-00001417</t>
  </si>
  <si>
    <t xml:space="preserve">00005-00001419</t>
  </si>
  <si>
    <t xml:space="preserve">00005-00001416</t>
  </si>
  <si>
    <t xml:space="preserve">CEMO S.A.</t>
  </si>
  <si>
    <t xml:space="preserve">30714353493</t>
  </si>
  <si>
    <t xml:space="preserve">00004-00009985</t>
  </si>
  <si>
    <t xml:space="preserve">00004-00009986</t>
  </si>
  <si>
    <t xml:space="preserve">00004-00009987</t>
  </si>
  <si>
    <t xml:space="preserve">CENTRO MEDICO PRIVADO SAN ANDRES SRL</t>
  </si>
  <si>
    <t xml:space="preserve">30715347756</t>
  </si>
  <si>
    <t xml:space="preserve">00001-00004007</t>
  </si>
  <si>
    <t xml:space="preserve">CENTRO PRIVADO DE R M I RIO CUARTO S A</t>
  </si>
  <si>
    <t xml:space="preserve">30669128351</t>
  </si>
  <si>
    <t xml:space="preserve">00007-00011937</t>
  </si>
  <si>
    <t xml:space="preserve">CIDI S.A</t>
  </si>
  <si>
    <t xml:space="preserve">30715190253</t>
  </si>
  <si>
    <t xml:space="preserve">00001-00006566</t>
  </si>
  <si>
    <t xml:space="preserve">00001-00006529</t>
  </si>
  <si>
    <t xml:space="preserve">CIPREM SRL</t>
  </si>
  <si>
    <t xml:space="preserve">30637580961</t>
  </si>
  <si>
    <t xml:space="preserve">00004-00014566</t>
  </si>
  <si>
    <t xml:space="preserve">00004-00014530</t>
  </si>
  <si>
    <t xml:space="preserve">CIRCULO DE PROFESIONALES DE LA REHABILITACION DEL DEPARTAMENTO SAN MARTIN</t>
  </si>
  <si>
    <t xml:space="preserve">30674856756</t>
  </si>
  <si>
    <t xml:space="preserve">0004-00003185</t>
  </si>
  <si>
    <t xml:space="preserve">CIRCULO MEDICO DE BELL VILLE</t>
  </si>
  <si>
    <t xml:space="preserve">30562906378</t>
  </si>
  <si>
    <t xml:space="preserve">12-2127</t>
  </si>
  <si>
    <t xml:space="preserve">CIRCULO MEDICO REGIONAL RIO TERCERO</t>
  </si>
  <si>
    <t xml:space="preserve">30566278207</t>
  </si>
  <si>
    <t xml:space="preserve">60-556</t>
  </si>
  <si>
    <t xml:space="preserve">60-555</t>
  </si>
  <si>
    <t xml:space="preserve">60-529</t>
  </si>
  <si>
    <t xml:space="preserve">00060-00000530</t>
  </si>
  <si>
    <t xml:space="preserve">CLINICA CHUTRO S R L</t>
  </si>
  <si>
    <t xml:space="preserve">30545996991</t>
  </si>
  <si>
    <t xml:space="preserve">00004-00006025</t>
  </si>
  <si>
    <t xml:space="preserve">00004-00006012</t>
  </si>
  <si>
    <t xml:space="preserve">00004-00006013</t>
  </si>
  <si>
    <t xml:space="preserve">00004-00006014</t>
  </si>
  <si>
    <t xml:space="preserve">00004-00006015</t>
  </si>
  <si>
    <t xml:space="preserve">00004-00006016</t>
  </si>
  <si>
    <t xml:space="preserve">00004-00006026</t>
  </si>
  <si>
    <t xml:space="preserve">CLINICA DE ESPECIALIDADES DE VILLA MARIA</t>
  </si>
  <si>
    <t xml:space="preserve">30645574326</t>
  </si>
  <si>
    <t xml:space="preserve">0004- 00013801</t>
  </si>
  <si>
    <t xml:space="preserve">CLINICA FUSAVIM PRIVADA SRL</t>
  </si>
  <si>
    <t xml:space="preserve">30708409185</t>
  </si>
  <si>
    <t xml:space="preserve">6-4506</t>
  </si>
  <si>
    <t xml:space="preserve">CLINICA MEDITERRANEA SALUD S A</t>
  </si>
  <si>
    <t xml:space="preserve">30708069791</t>
  </si>
  <si>
    <t xml:space="preserve">00003-00022326</t>
  </si>
  <si>
    <t xml:space="preserve">00003-00022327</t>
  </si>
  <si>
    <t xml:space="preserve">CLINICA PRIVADA CARAFFA SRL</t>
  </si>
  <si>
    <t xml:space="preserve">30596272165</t>
  </si>
  <si>
    <t xml:space="preserve">00015-00001189</t>
  </si>
  <si>
    <t xml:space="preserve">00009-00003851</t>
  </si>
  <si>
    <t xml:space="preserve">00009-00003852</t>
  </si>
  <si>
    <t xml:space="preserve">00020-00000009</t>
  </si>
  <si>
    <t xml:space="preserve">00020-00000017</t>
  </si>
  <si>
    <t xml:space="preserve">CLINICA PRIVADA COAT S. R. L.</t>
  </si>
  <si>
    <t xml:space="preserve">30682285431</t>
  </si>
  <si>
    <t xml:space="preserve">00005-00005100</t>
  </si>
  <si>
    <t xml:space="preserve">00005-00005105</t>
  </si>
  <si>
    <t xml:space="preserve">00005-00005103</t>
  </si>
  <si>
    <t xml:space="preserve">CLINICA PRIVADA DE LA CIUDAD SOC RESP LTDA</t>
  </si>
  <si>
    <t xml:space="preserve">30660567840</t>
  </si>
  <si>
    <t xml:space="preserve">00010-00003960</t>
  </si>
  <si>
    <t xml:space="preserve">00010-00003961</t>
  </si>
  <si>
    <t xml:space="preserve">00010-00003984</t>
  </si>
  <si>
    <t xml:space="preserve">00010-00003979</t>
  </si>
  <si>
    <t xml:space="preserve">CLINICA PRIVADA DEAN FUNES SRL</t>
  </si>
  <si>
    <t xml:space="preserve">30708237791</t>
  </si>
  <si>
    <t xml:space="preserve">00004-00000912</t>
  </si>
  <si>
    <t xml:space="preserve">0004-00000845</t>
  </si>
  <si>
    <t xml:space="preserve">CLINICA PRIVADA DEL SOL S.A.</t>
  </si>
  <si>
    <t xml:space="preserve">30615571454</t>
  </si>
  <si>
    <t xml:space="preserve">00008-00020376</t>
  </si>
  <si>
    <t xml:space="preserve">008-00020469</t>
  </si>
  <si>
    <t xml:space="preserve">CLINICA PRIVADA INTEGRAL DE PSIQUIATRIA SAN NICOLAS SRL S. R. L.</t>
  </si>
  <si>
    <t xml:space="preserve">30608875227</t>
  </si>
  <si>
    <t xml:space="preserve">00003-00000246</t>
  </si>
  <si>
    <t xml:space="preserve">00003-00000245</t>
  </si>
  <si>
    <t xml:space="preserve">00003-00000251</t>
  </si>
  <si>
    <t xml:space="preserve">00003-00000252</t>
  </si>
  <si>
    <t xml:space="preserve">00003-00000253</t>
  </si>
  <si>
    <t xml:space="preserve">00003-00000249</t>
  </si>
  <si>
    <t xml:space="preserve">00003-00000250</t>
  </si>
  <si>
    <t xml:space="preserve">00003-00000259</t>
  </si>
  <si>
    <t xml:space="preserve">CLINICA PRIVADA JESUS MARIA DR ANIBAL LUIS VIALE S.A.</t>
  </si>
  <si>
    <t xml:space="preserve">30546133865</t>
  </si>
  <si>
    <t xml:space="preserve">00008-00011873</t>
  </si>
  <si>
    <t xml:space="preserve">00008-00011879</t>
  </si>
  <si>
    <t xml:space="preserve">CLINICA PRIVADA REGIONAL S R L</t>
  </si>
  <si>
    <t xml:space="preserve">30680944691</t>
  </si>
  <si>
    <t xml:space="preserve">00007-00002665</t>
  </si>
  <si>
    <t xml:space="preserve">CLINICA PRIVADA SANTA MARIA S.A.</t>
  </si>
  <si>
    <t xml:space="preserve">33711273129</t>
  </si>
  <si>
    <t xml:space="preserve">00004-00012821</t>
  </si>
  <si>
    <t xml:space="preserve">COLEGIO DE PSICOLOGOS DE LA PROVINCIA DE CORDOBA</t>
  </si>
  <si>
    <t xml:space="preserve">30680948891</t>
  </si>
  <si>
    <t xml:space="preserve">00012-00000819</t>
  </si>
  <si>
    <t xml:space="preserve">COLEGIO MED REG DEL SUR DE CBA</t>
  </si>
  <si>
    <t xml:space="preserve">30553588266</t>
  </si>
  <si>
    <t xml:space="preserve">00002-00003486</t>
  </si>
  <si>
    <t xml:space="preserve">COLEGIO MEDICO DE OLIVA</t>
  </si>
  <si>
    <t xml:space="preserve">30552575292</t>
  </si>
  <si>
    <t xml:space="preserve">00005-00002793</t>
  </si>
  <si>
    <t xml:space="preserve">COLEGIO MEDICO REGIONAL ARROYITO</t>
  </si>
  <si>
    <t xml:space="preserve">30555217419</t>
  </si>
  <si>
    <t xml:space="preserve">00004-00009497</t>
  </si>
  <si>
    <t xml:space="preserve">00004-00009521</t>
  </si>
  <si>
    <t xml:space="preserve">COLEGIO PROFESIONAL DE KINESIOLOGOS Y  FISIOTERAPEUTAS DE LA PROVINCIA DE CORDOBA</t>
  </si>
  <si>
    <t xml:space="preserve">30623578743</t>
  </si>
  <si>
    <t xml:space="preserve">00002-00007059</t>
  </si>
  <si>
    <t xml:space="preserve">COSEME SA</t>
  </si>
  <si>
    <t xml:space="preserve">30680565224</t>
  </si>
  <si>
    <t xml:space="preserve">00046-00004402</t>
  </si>
  <si>
    <t xml:space="preserve">00046-00004404</t>
  </si>
  <si>
    <t xml:space="preserve">00046-00004408</t>
  </si>
  <si>
    <t xml:space="preserve">00047-00001816</t>
  </si>
  <si>
    <t xml:space="preserve">00046-00004454</t>
  </si>
  <si>
    <t xml:space="preserve">00046-00004403</t>
  </si>
  <si>
    <t xml:space="preserve">DE LA VILLA SERVICIOS ASISTENCIALES S.A.</t>
  </si>
  <si>
    <t xml:space="preserve">30623442566</t>
  </si>
  <si>
    <t xml:space="preserve">00004-00015411</t>
  </si>
  <si>
    <t xml:space="preserve">00004-00015412</t>
  </si>
  <si>
    <t xml:space="preserve">00004-00015409</t>
  </si>
  <si>
    <t xml:space="preserve">00004-00015410</t>
  </si>
  <si>
    <t xml:space="preserve">00004-00015419</t>
  </si>
  <si>
    <t xml:space="preserve">00004-00015420</t>
  </si>
  <si>
    <t xml:space="preserve">ECCO S. A. U.</t>
  </si>
  <si>
    <t xml:space="preserve">30602764032</t>
  </si>
  <si>
    <t xml:space="preserve">00203-00158006</t>
  </si>
  <si>
    <t xml:space="preserve">EL JUNCO SERVICIOS SOCIALES SA</t>
  </si>
  <si>
    <t xml:space="preserve">30708910208</t>
  </si>
  <si>
    <t xml:space="preserve">00118-00000721</t>
  </si>
  <si>
    <t xml:space="preserve">REFACTURACION</t>
  </si>
  <si>
    <t xml:space="preserve">00118-00000716</t>
  </si>
  <si>
    <t xml:space="preserve">00118-00000717</t>
  </si>
  <si>
    <t xml:space="preserve">00118-00000718</t>
  </si>
  <si>
    <t xml:space="preserve">00118-00000719</t>
  </si>
  <si>
    <t xml:space="preserve">EQUILIBRE SALUD S.A.S.</t>
  </si>
  <si>
    <t xml:space="preserve">33716532629</t>
  </si>
  <si>
    <t xml:space="preserve">00001-00000613</t>
  </si>
  <si>
    <t xml:space="preserve">ESTIX S.A.S.</t>
  </si>
  <si>
    <t xml:space="preserve">30717147835</t>
  </si>
  <si>
    <t xml:space="preserve">00004-00000432</t>
  </si>
  <si>
    <t xml:space="preserve">FEDERACION DE BIOQUIMICOS DE LA PROVINCIA DE CORDOBA</t>
  </si>
  <si>
    <t xml:space="preserve">33577427009</t>
  </si>
  <si>
    <t xml:space="preserve">0005-00005726</t>
  </si>
  <si>
    <t xml:space="preserve">0005-00005727</t>
  </si>
  <si>
    <t xml:space="preserve">FUNDACION CENTRO PREV. BULIMIA</t>
  </si>
  <si>
    <t xml:space="preserve">30714398454</t>
  </si>
  <si>
    <t xml:space="preserve">00004-00002526</t>
  </si>
  <si>
    <t xml:space="preserve">FUNDACION FECUNDART</t>
  </si>
  <si>
    <t xml:space="preserve">30709242195</t>
  </si>
  <si>
    <t xml:space="preserve">00006-00000033</t>
  </si>
  <si>
    <t xml:space="preserve">G.M. AGRUPACION DE COLABORACION.</t>
  </si>
  <si>
    <t xml:space="preserve">30717358909</t>
  </si>
  <si>
    <t xml:space="preserve">1-14699</t>
  </si>
  <si>
    <t xml:space="preserve">GPAL BIOQUIMICA CLINICA S.A.S.</t>
  </si>
  <si>
    <t xml:space="preserve">30716142015</t>
  </si>
  <si>
    <t xml:space="preserve">00003-00000011</t>
  </si>
  <si>
    <t xml:space="preserve">00003-00000010</t>
  </si>
  <si>
    <t xml:space="preserve">00003-00000012</t>
  </si>
  <si>
    <t xml:space="preserve">00003-00000013</t>
  </si>
  <si>
    <t xml:space="preserve">GRUPO OPTICO SA</t>
  </si>
  <si>
    <t xml:space="preserve">30709290866</t>
  </si>
  <si>
    <t xml:space="preserve">00015-00005034</t>
  </si>
  <si>
    <t xml:space="preserve">CAPITADO</t>
  </si>
  <si>
    <t xml:space="preserve">00015-00005032</t>
  </si>
  <si>
    <t xml:space="preserve">00015-00005033</t>
  </si>
  <si>
    <t xml:space="preserve">IMAGENES MEDICAS S.R.L.</t>
  </si>
  <si>
    <t xml:space="preserve">30689768861</t>
  </si>
  <si>
    <t xml:space="preserve">00006-00008702</t>
  </si>
  <si>
    <t xml:space="preserve">00006-00008701</t>
  </si>
  <si>
    <t xml:space="preserve">IMAGENES PRIVADAS SRL</t>
  </si>
  <si>
    <t xml:space="preserve">30698852441</t>
  </si>
  <si>
    <t xml:space="preserve">0006-1928</t>
  </si>
  <si>
    <t xml:space="preserve">INSTITUTO CONCI CARPINELLA SRL</t>
  </si>
  <si>
    <t xml:space="preserve">30589770842</t>
  </si>
  <si>
    <t xml:space="preserve">00038-00004156</t>
  </si>
  <si>
    <t xml:space="preserve">00034-00061326</t>
  </si>
  <si>
    <t xml:space="preserve">00034-00061337</t>
  </si>
  <si>
    <t xml:space="preserve">00034-00061339</t>
  </si>
  <si>
    <t xml:space="preserve">00038-00004186</t>
  </si>
  <si>
    <t xml:space="preserve">00038-00004190</t>
  </si>
  <si>
    <t xml:space="preserve">00038-00004159</t>
  </si>
  <si>
    <t xml:space="preserve">00034-00061397</t>
  </si>
  <si>
    <t xml:space="preserve">00034-00061327</t>
  </si>
  <si>
    <t xml:space="preserve">00038-00004136</t>
  </si>
  <si>
    <t xml:space="preserve">00034-00061328</t>
  </si>
  <si>
    <t xml:space="preserve">00038-00004137</t>
  </si>
  <si>
    <t xml:space="preserve">00038-00004152</t>
  </si>
  <si>
    <t xml:space="preserve">00038-00004207</t>
  </si>
  <si>
    <t xml:space="preserve">00038-00004154</t>
  </si>
  <si>
    <t xml:space="preserve">00034-00061377</t>
  </si>
  <si>
    <t xml:space="preserve">00034-00061325</t>
  </si>
  <si>
    <t xml:space="preserve">00038-00004208</t>
  </si>
  <si>
    <t xml:space="preserve">00038-00004229</t>
  </si>
  <si>
    <t xml:space="preserve">00034-00061391</t>
  </si>
  <si>
    <t xml:space="preserve">00034-00061378</t>
  </si>
  <si>
    <t xml:space="preserve">00034-00061379</t>
  </si>
  <si>
    <t xml:space="preserve">00038-00004213</t>
  </si>
  <si>
    <t xml:space="preserve">00038-00004227</t>
  </si>
  <si>
    <t xml:space="preserve">00038-00004228</t>
  </si>
  <si>
    <t xml:space="preserve">INSTITUTO PRIVADO DE NEONATOLOGIA Y PEDIATRIA S.A.</t>
  </si>
  <si>
    <t xml:space="preserve">30659560093</t>
  </si>
  <si>
    <t xml:space="preserve">00300-00016290</t>
  </si>
  <si>
    <t xml:space="preserve">00500-00043219</t>
  </si>
  <si>
    <t xml:space="preserve">00500-00043216</t>
  </si>
  <si>
    <t xml:space="preserve">00500-00043223</t>
  </si>
  <si>
    <t xml:space="preserve">00300-00016293</t>
  </si>
  <si>
    <t xml:space="preserve">INSTITUTO PRIVADO DE RADIOTERAPIA S A</t>
  </si>
  <si>
    <t xml:space="preserve">30606141579</t>
  </si>
  <si>
    <t xml:space="preserve">00004-00003633</t>
  </si>
  <si>
    <t xml:space="preserve">LECOUSER S.A.</t>
  </si>
  <si>
    <t xml:space="preserve">33717029009</t>
  </si>
  <si>
    <t xml:space="preserve">00001-00000885</t>
  </si>
  <si>
    <t xml:space="preserve">NEUROTEAM S.A.S.</t>
  </si>
  <si>
    <t xml:space="preserve">30716824809</t>
  </si>
  <si>
    <t xml:space="preserve">0001-00001092</t>
  </si>
  <si>
    <t xml:space="preserve">PARQUE SALUD S A</t>
  </si>
  <si>
    <t xml:space="preserve">30677558888</t>
  </si>
  <si>
    <t xml:space="preserve">00150-00010955</t>
  </si>
  <si>
    <t xml:space="preserve">POLICLINICO PRIVADO SAN LUCAS S A</t>
  </si>
  <si>
    <t xml:space="preserve">30580553040</t>
  </si>
  <si>
    <t xml:space="preserve">00110-00021778</t>
  </si>
  <si>
    <t xml:space="preserve">00110-00021779</t>
  </si>
  <si>
    <t xml:space="preserve">00110-00000356</t>
  </si>
  <si>
    <t xml:space="preserve">INTERESES</t>
  </si>
  <si>
    <t xml:space="preserve">PROMET SRL</t>
  </si>
  <si>
    <t xml:space="preserve">30708276878</t>
  </si>
  <si>
    <t xml:space="preserve">2056-08-01 00:00:00</t>
  </si>
  <si>
    <t xml:space="preserve">RESONANCIA MAGNETICA SRL</t>
  </si>
  <si>
    <t xml:space="preserve">30694300487</t>
  </si>
  <si>
    <t xml:space="preserve">00006-00000099</t>
  </si>
  <si>
    <t xml:space="preserve">REYLES S.A.</t>
  </si>
  <si>
    <t xml:space="preserve">30708497629</t>
  </si>
  <si>
    <t xml:space="preserve">00010-00003723</t>
  </si>
  <si>
    <t xml:space="preserve">00010-00003726</t>
  </si>
  <si>
    <t xml:space="preserve">SAN FRANCISCO SALUD-CONSORCIO DE COOPERACION</t>
  </si>
  <si>
    <t xml:space="preserve">30709956880</t>
  </si>
  <si>
    <t xml:space="preserve">00004-00004508</t>
  </si>
  <si>
    <t xml:space="preserve">4741-04-01 00:00:00</t>
  </si>
  <si>
    <t xml:space="preserve">4837-04-01 00:00:00</t>
  </si>
  <si>
    <t xml:space="preserve">00003-00051764</t>
  </si>
  <si>
    <t xml:space="preserve">00004-00004507</t>
  </si>
  <si>
    <t xml:space="preserve">00003-00051763</t>
  </si>
  <si>
    <t xml:space="preserve">3-52846</t>
  </si>
  <si>
    <t xml:space="preserve">3-53175</t>
  </si>
  <si>
    <t xml:space="preserve">SANATORIO DEL SALVADOR PRIVADO SA</t>
  </si>
  <si>
    <t xml:space="preserve">30689767946</t>
  </si>
  <si>
    <t xml:space="preserve">00011-00022820</t>
  </si>
  <si>
    <t xml:space="preserve">00011-00022834</t>
  </si>
  <si>
    <t xml:space="preserve">00011-00023994</t>
  </si>
  <si>
    <t xml:space="preserve">00011-00022684</t>
  </si>
  <si>
    <t xml:space="preserve">00011-00022685</t>
  </si>
  <si>
    <t xml:space="preserve">SANATORIO MORRA S.A.</t>
  </si>
  <si>
    <t xml:space="preserve">30545879138</t>
  </si>
  <si>
    <t xml:space="preserve">00010-00004677</t>
  </si>
  <si>
    <t xml:space="preserve">00010-00004647</t>
  </si>
  <si>
    <t xml:space="preserve">00010-00004646</t>
  </si>
  <si>
    <t xml:space="preserve">SANATORIO PARQUE   S A</t>
  </si>
  <si>
    <t xml:space="preserve">30562336237</t>
  </si>
  <si>
    <t xml:space="preserve">00005-00009530</t>
  </si>
  <si>
    <t xml:space="preserve">SCM MEDICAS S.A.</t>
  </si>
  <si>
    <t xml:space="preserve">30715227696</t>
  </si>
  <si>
    <t xml:space="preserve">00003-00005587</t>
  </si>
  <si>
    <t xml:space="preserve">00003-00005588</t>
  </si>
  <si>
    <t xml:space="preserve">SERVICIOS MEDICOS S R L</t>
  </si>
  <si>
    <t xml:space="preserve">30645189988</t>
  </si>
  <si>
    <t xml:space="preserve">00017-00012995</t>
  </si>
  <si>
    <t xml:space="preserve">00017-00012996</t>
  </si>
  <si>
    <t xml:space="preserve">00042-00000020</t>
  </si>
  <si>
    <t xml:space="preserve">00016-00009777</t>
  </si>
  <si>
    <t xml:space="preserve">00016-00009778</t>
  </si>
  <si>
    <t xml:space="preserve">00042-00000019</t>
  </si>
  <si>
    <t xml:space="preserve">00029-00003500</t>
  </si>
  <si>
    <t xml:space="preserve">00042-00000025</t>
  </si>
  <si>
    <t xml:space="preserve">SOCIEDAD DE BENEFICENCIA HOSPITAL ITALIANO</t>
  </si>
  <si>
    <t xml:space="preserve">30545894528</t>
  </si>
  <si>
    <t xml:space="preserve">00024-00022738</t>
  </si>
  <si>
    <t xml:space="preserve">00024-00022739</t>
  </si>
  <si>
    <t xml:space="preserve">00024-00022841</t>
  </si>
  <si>
    <t xml:space="preserve">00024-00022843</t>
  </si>
  <si>
    <t xml:space="preserve">00024-00022845</t>
  </si>
  <si>
    <t xml:space="preserve">00024-00022831</t>
  </si>
  <si>
    <t xml:space="preserve">00024-00022858</t>
  </si>
  <si>
    <t xml:space="preserve">00024-00022872</t>
  </si>
  <si>
    <t xml:space="preserve">SOLBO S.A.S.</t>
  </si>
  <si>
    <t xml:space="preserve">30716784386</t>
  </si>
  <si>
    <t xml:space="preserve">00001-00000440</t>
  </si>
  <si>
    <t xml:space="preserve">00001-00000443</t>
  </si>
  <si>
    <t xml:space="preserve">00001-00000444</t>
  </si>
  <si>
    <t xml:space="preserve">SOP S R L</t>
  </si>
  <si>
    <t xml:space="preserve">30681218285</t>
  </si>
  <si>
    <t xml:space="preserve">00009-00011175</t>
  </si>
  <si>
    <t xml:space="preserve">UNIDAD DIGESTIVA BAISTROCCHI S.R.L.</t>
  </si>
  <si>
    <t xml:space="preserve">30711999074</t>
  </si>
  <si>
    <t xml:space="preserve">00003-00001989</t>
  </si>
  <si>
    <t xml:space="preserve">00003-00001988</t>
  </si>
  <si>
    <t xml:space="preserve">UNIVERSIDAD NACIONAL DE CORDOBA</t>
  </si>
  <si>
    <t xml:space="preserve">30546670623</t>
  </si>
  <si>
    <t xml:space="preserve">4025-04-01 00:00:00</t>
  </si>
  <si>
    <t xml:space="preserve">UROLIT SA</t>
  </si>
  <si>
    <t xml:space="preserve">30703378222</t>
  </si>
  <si>
    <t xml:space="preserve">00003-00004633</t>
  </si>
  <si>
    <t xml:space="preserve">00003-00004630</t>
  </si>
  <si>
    <t xml:space="preserve">00003-00004631</t>
  </si>
  <si>
    <t xml:space="preserve">00003-00004632</t>
  </si>
  <si>
    <t xml:space="preserve">VISOR PRO S.A.S.</t>
  </si>
  <si>
    <t xml:space="preserve">30716413256</t>
  </si>
  <si>
    <t xml:space="preserve">00006-00000002</t>
  </si>
  <si>
    <t xml:space="preserve">OMICRON</t>
  </si>
  <si>
    <t xml:space="preserve">30712443681</t>
  </si>
  <si>
    <t xml:space="preserve">0010-00010333</t>
  </si>
  <si>
    <t xml:space="preserve">PROTESIS</t>
  </si>
  <si>
    <t xml:space="preserve">ASOCIACION PRESTADORES DE HEMODIALISIS Y</t>
  </si>
  <si>
    <t xml:space="preserve">00003-00008345</t>
  </si>
  <si>
    <t xml:space="preserve">Agregada de proyeccion CxP - completar TIPO_PRESTACION y PLAZO</t>
  </si>
  <si>
    <t xml:space="preserve">PROMET S.R.L.</t>
  </si>
  <si>
    <t xml:space="preserve">00008-00002032</t>
  </si>
  <si>
    <t xml:space="preserve">00008-00002040</t>
  </si>
  <si>
    <t xml:space="preserve">00008-00002041</t>
  </si>
  <si>
    <t xml:space="preserve">00024-00000592</t>
  </si>
  <si>
    <t xml:space="preserve">Hoja de configuracion - listas para validaciones. No borrar.</t>
  </si>
  <si>
    <t xml:space="preserve">CHEQUE</t>
  </si>
  <si>
    <t xml:space="preserve">Aceptado</t>
  </si>
  <si>
    <t xml:space="preserve">NC</t>
  </si>
  <si>
    <t xml:space="preserve">TRANSFERENCIA</t>
  </si>
  <si>
    <t xml:space="preserve">Deposito en proceso</t>
  </si>
  <si>
    <t xml:space="preserve">ND</t>
  </si>
  <si>
    <t xml:space="preserve">OP</t>
  </si>
  <si>
    <t xml:space="preserve">Pagado</t>
  </si>
  <si>
    <t xml:space="preserve">EFECTIVO</t>
  </si>
  <si>
    <t xml:space="preserve">Anulado</t>
  </si>
  <si>
    <t xml:space="preserve">Rechazado</t>
  </si>
  <si>
    <t xml:space="preserve">AJUSTE</t>
  </si>
  <si>
    <t xml:space="preserve">Repudiado</t>
  </si>
  <si>
    <t xml:space="preserve">AREA PROTEGIDA</t>
  </si>
  <si>
    <t xml:space="preserve">OTROS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</si>
</sst>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[RED]\(#,##0.00\);\-"/>
    <numFmt numFmtId="166" formatCode="0.0"/>
    <numFmt numFmtId="167" formatCode="dd/mm/yyyy"/>
    <numFmt numFmtId="168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DDEBF7"/>
        <bgColor rgb="FFEFEFEF"/>
      </patternFill>
    </fill>
    <fill>
      <patternFill patternType="solid">
        <fgColor rgb="FFFFF2CC"/>
        <bgColor rgb="FFEFEFEF"/>
      </patternFill>
    </fill>
    <fill>
      <patternFill patternType="solid">
        <fgColor rgb="FF1F4E78"/>
        <bgColor rgb="FF374151"/>
      </patternFill>
    </fill>
    <fill>
      <patternFill patternType="solid">
        <fgColor rgb="FFFFFF00"/>
        <bgColor rgb="FFFFFF00"/>
      </patternFill>
    </fill>
    <fill>
      <patternFill patternType="solid">
        <fgColor rgb="FF374151"/>
        <bgColor rgb="FF525252"/>
      </patternFill>
    </fill>
    <fill>
      <patternFill patternType="solid">
        <fgColor rgb="FF548235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rgb="FFBF8F00"/>
        <bgColor rgb="FFC55A11"/>
      </patternFill>
    </fill>
    <fill>
      <patternFill patternType="solid">
        <fgColor rgb="FF8064A2"/>
        <bgColor rgb="FF808080"/>
      </patternFill>
    </fill>
    <fill>
      <patternFill patternType="solid">
        <fgColor rgb="FF2E75B6"/>
        <bgColor rgb="FF0066CC"/>
      </patternFill>
    </fill>
    <fill>
      <patternFill patternType="solid">
        <fgColor rgb="FF525252"/>
        <bgColor rgb="FF374151"/>
      </patternFill>
    </fill>
    <fill>
      <patternFill patternType="solid">
        <fgColor rgb="FFC55A11"/>
        <bgColor rgb="FF993300"/>
      </patternFill>
    </fill>
    <fill>
      <patternFill patternType="solid">
        <fgColor rgb="FF808080"/>
        <bgColor rgb="FF969696"/>
      </patternFill>
    </fill>
    <fill>
      <patternFill patternType="solid">
        <fgColor rgb="FFEFEFEF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7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C55A11"/>
      <rgbColor rgb="FF8064A2"/>
      <rgbColor rgb="FF969696"/>
      <rgbColor rgb="FF003366"/>
      <rgbColor rgb="FF339966"/>
      <rgbColor rgb="FF003300"/>
      <rgbColor rgb="FF525252"/>
      <rgbColor rgb="FF993300"/>
      <rgbColor rgb="FF993366"/>
      <rgbColor rgb="FF1F4E78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95"/>
  </cols>
  <sheetData>
    <row r="2" customFormat="false" ht="30" hidden="false" customHeight="true" outlineLevel="0" collapsed="false">
      <c r="B2" s="2" t="s">
        <v>0</v>
      </c>
    </row>
    <row r="3" customFormat="false" ht="30" hidden="false" customHeight="true" outlineLevel="0" collapsed="false">
      <c r="B3" s="3" t="s">
        <v>1</v>
      </c>
    </row>
    <row r="4" customFormat="false" ht="30" hidden="false" customHeight="true" outlineLevel="0" collapsed="false"/>
    <row r="5" customFormat="false" ht="30" hidden="false" customHeight="true" outlineLevel="0" collapsed="false">
      <c r="B5" s="4" t="s">
        <v>2</v>
      </c>
      <c r="C5" s="4" t="s">
        <v>3</v>
      </c>
    </row>
    <row r="6" customFormat="false" ht="30" hidden="false" customHeight="true" outlineLevel="0" collapsed="false"/>
    <row r="7" customFormat="false" ht="30" hidden="false" customHeight="true" outlineLevel="0" collapsed="false">
      <c r="B7" s="5" t="s">
        <v>4</v>
      </c>
      <c r="C7" s="5"/>
    </row>
    <row r="8" customFormat="false" ht="30" hidden="false" customHeight="true" outlineLevel="0" collapsed="false">
      <c r="B8" s="6" t="s">
        <v>5</v>
      </c>
      <c r="C8" s="6" t="s">
        <v>6</v>
      </c>
    </row>
    <row r="9" customFormat="false" ht="30" hidden="false" customHeight="true" outlineLevel="0" collapsed="false">
      <c r="B9" s="6" t="s">
        <v>7</v>
      </c>
      <c r="C9" s="6" t="s">
        <v>8</v>
      </c>
    </row>
    <row r="10" customFormat="false" ht="30" hidden="false" customHeight="true" outlineLevel="0" collapsed="false">
      <c r="B10" s="6" t="s">
        <v>9</v>
      </c>
      <c r="C10" s="6" t="s">
        <v>10</v>
      </c>
    </row>
    <row r="11" customFormat="false" ht="30" hidden="false" customHeight="true" outlineLevel="0" collapsed="false">
      <c r="B11" s="6" t="s">
        <v>11</v>
      </c>
      <c r="C11" s="6" t="s">
        <v>12</v>
      </c>
    </row>
    <row r="12" customFormat="false" ht="30" hidden="false" customHeight="true" outlineLevel="0" collapsed="false">
      <c r="B12" s="6" t="s">
        <v>13</v>
      </c>
      <c r="C12" s="6" t="s">
        <v>14</v>
      </c>
    </row>
    <row r="13" customFormat="false" ht="30" hidden="false" customHeight="true" outlineLevel="0" collapsed="false"/>
    <row r="14" customFormat="false" ht="30" hidden="false" customHeight="true" outlineLevel="0" collapsed="false">
      <c r="B14" s="5" t="s">
        <v>15</v>
      </c>
      <c r="C14" s="5"/>
    </row>
    <row r="15" customFormat="false" ht="30" hidden="false" customHeight="true" outlineLevel="0" collapsed="false">
      <c r="B15" s="6" t="s">
        <v>16</v>
      </c>
      <c r="C15" s="6" t="s">
        <v>17</v>
      </c>
    </row>
    <row r="16" customFormat="false" ht="30" hidden="false" customHeight="true" outlineLevel="0" collapsed="false">
      <c r="B16" s="6" t="s">
        <v>18</v>
      </c>
      <c r="C16" s="6" t="s">
        <v>19</v>
      </c>
    </row>
    <row r="17" customFormat="false" ht="30" hidden="false" customHeight="true" outlineLevel="0" collapsed="false">
      <c r="B17" s="6" t="s">
        <v>20</v>
      </c>
      <c r="C17" s="6" t="s">
        <v>21</v>
      </c>
    </row>
    <row r="18" customFormat="false" ht="30" hidden="false" customHeight="true" outlineLevel="0" collapsed="false">
      <c r="B18" s="6" t="s">
        <v>22</v>
      </c>
      <c r="C18" s="6" t="s">
        <v>23</v>
      </c>
    </row>
    <row r="19" customFormat="false" ht="30" hidden="false" customHeight="true" outlineLevel="0" collapsed="false"/>
    <row r="20" customFormat="false" ht="30" hidden="false" customHeight="true" outlineLevel="0" collapsed="false">
      <c r="B20" s="5" t="s">
        <v>24</v>
      </c>
      <c r="C20" s="5"/>
    </row>
    <row r="21" customFormat="false" ht="30" hidden="false" customHeight="true" outlineLevel="0" collapsed="false">
      <c r="B21" s="6" t="s">
        <v>25</v>
      </c>
      <c r="C21" s="6" t="s">
        <v>26</v>
      </c>
    </row>
    <row r="22" customFormat="false" ht="30" hidden="false" customHeight="true" outlineLevel="0" collapsed="false">
      <c r="B22" s="6" t="s">
        <v>27</v>
      </c>
      <c r="C22" s="6" t="s">
        <v>28</v>
      </c>
    </row>
    <row r="23" customFormat="false" ht="30" hidden="false" customHeight="true" outlineLevel="0" collapsed="false">
      <c r="B23" s="6" t="s">
        <v>29</v>
      </c>
      <c r="C23" s="6" t="s">
        <v>30</v>
      </c>
    </row>
    <row r="24" customFormat="false" ht="30" hidden="false" customHeight="true" outlineLevel="0" collapsed="false">
      <c r="B24" s="6" t="s">
        <v>31</v>
      </c>
      <c r="C24" s="6" t="s">
        <v>32</v>
      </c>
    </row>
    <row r="25" customFormat="false" ht="30" hidden="false" customHeight="true" outlineLevel="0" collapsed="false">
      <c r="B25" s="6" t="s">
        <v>33</v>
      </c>
      <c r="C25" s="6" t="s">
        <v>34</v>
      </c>
    </row>
    <row r="26" customFormat="false" ht="30" hidden="false" customHeight="true" outlineLevel="0" collapsed="false">
      <c r="B26" s="6" t="s">
        <v>35</v>
      </c>
      <c r="C26" s="6" t="s">
        <v>36</v>
      </c>
    </row>
    <row r="27" customFormat="false" ht="30" hidden="false" customHeight="true" outlineLevel="0" collapsed="false">
      <c r="B27" s="6" t="s">
        <v>37</v>
      </c>
      <c r="C27" s="6" t="s">
        <v>38</v>
      </c>
    </row>
    <row r="28" customFormat="false" ht="30" hidden="false" customHeight="true" outlineLevel="0" collapsed="false">
      <c r="B28" s="6" t="s">
        <v>39</v>
      </c>
      <c r="C28" s="6" t="s">
        <v>40</v>
      </c>
    </row>
    <row r="29" customFormat="false" ht="30" hidden="false" customHeight="true" outlineLevel="0" collapsed="false">
      <c r="B29" s="6" t="s">
        <v>41</v>
      </c>
      <c r="C29" s="6" t="s">
        <v>42</v>
      </c>
    </row>
    <row r="30" customFormat="false" ht="30" hidden="false" customHeight="true" outlineLevel="0" collapsed="false"/>
    <row r="31" customFormat="false" ht="30" hidden="false" customHeight="true" outlineLevel="0" collapsed="false">
      <c r="B31" s="7" t="s">
        <v>43</v>
      </c>
      <c r="C31" s="7" t="s">
        <v>44</v>
      </c>
    </row>
    <row r="32" customFormat="false" ht="30" hidden="false" customHeight="true" outlineLevel="0" collapsed="false"/>
    <row r="33" customFormat="false" ht="30" hidden="false" customHeight="true" outlineLevel="0" collapsed="false">
      <c r="B33" s="5" t="s">
        <v>45</v>
      </c>
      <c r="C33" s="5"/>
    </row>
    <row r="34" customFormat="false" ht="30" hidden="false" customHeight="true" outlineLevel="0" collapsed="false">
      <c r="B34" s="6" t="s">
        <v>46</v>
      </c>
      <c r="C34" s="6" t="s">
        <v>47</v>
      </c>
    </row>
    <row r="35" customFormat="false" ht="30" hidden="false" customHeight="true" outlineLevel="0" collapsed="false">
      <c r="B35" s="6" t="s">
        <v>48</v>
      </c>
      <c r="C35" s="6" t="s">
        <v>49</v>
      </c>
    </row>
    <row r="36" customFormat="false" ht="30" hidden="false" customHeight="true" outlineLevel="0" collapsed="false">
      <c r="B36" s="6" t="s">
        <v>50</v>
      </c>
      <c r="C36" s="6" t="s">
        <v>51</v>
      </c>
    </row>
    <row r="37" customFormat="false" ht="30" hidden="false" customHeight="true" outlineLevel="0" collapsed="false">
      <c r="B37" s="6" t="s">
        <v>52</v>
      </c>
      <c r="C37" s="6" t="s">
        <v>53</v>
      </c>
    </row>
    <row r="38" customFormat="false" ht="30" hidden="false" customHeight="true" outlineLevel="0" collapsed="false">
      <c r="B38" s="6" t="s">
        <v>54</v>
      </c>
      <c r="C38" s="6" t="s">
        <v>55</v>
      </c>
    </row>
    <row r="39" customFormat="false" ht="30" hidden="false" customHeight="true" outlineLevel="0" collapsed="false">
      <c r="B39" s="6" t="s">
        <v>56</v>
      </c>
      <c r="C39" s="6" t="s">
        <v>57</v>
      </c>
    </row>
    <row r="40" customFormat="false" ht="30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6" min="2" style="1" width="22"/>
    <col collapsed="false" customWidth="true" hidden="false" outlineLevel="0" max="7" min="7" style="1" width="14"/>
    <col collapsed="false" customWidth="true" hidden="false" outlineLevel="0" max="8" min="8" style="1" width="18"/>
  </cols>
  <sheetData>
    <row r="2" customFormat="false" ht="17.25" hidden="false" customHeight="true" outlineLevel="0" collapsed="false">
      <c r="B2" s="8" t="s">
        <v>58</v>
      </c>
    </row>
    <row r="3" customFormat="false" ht="15" hidden="false" customHeight="true" outlineLevel="0" collapsed="false">
      <c r="B3" s="9" t="s">
        <v>59</v>
      </c>
    </row>
    <row r="5" customFormat="false" ht="15" hidden="false" customHeight="true" outlineLevel="0" collapsed="false">
      <c r="B5" s="10" t="s">
        <v>60</v>
      </c>
      <c r="F5" s="10" t="s">
        <v>61</v>
      </c>
    </row>
    <row r="6" customFormat="false" ht="15" hidden="false" customHeight="true" outlineLevel="0" collapsed="false">
      <c r="B6" s="11" t="s">
        <v>62</v>
      </c>
      <c r="C6" s="11" t="s">
        <v>63</v>
      </c>
      <c r="D6" s="11" t="s">
        <v>64</v>
      </c>
      <c r="F6" s="11" t="s">
        <v>65</v>
      </c>
      <c r="G6" s="11" t="s">
        <v>63</v>
      </c>
      <c r="H6" s="11" t="s">
        <v>64</v>
      </c>
    </row>
    <row r="7" customFormat="false" ht="15" hidden="false" customHeight="true" outlineLevel="0" collapsed="false">
      <c r="B7" s="12" t="s">
        <v>66</v>
      </c>
      <c r="C7" s="12" t="n">
        <f aca="false">COUNTIF(PRESTADORES!$O$4:$O$503,"PENDIENTE")</f>
        <v>0</v>
      </c>
      <c r="D7" s="13" t="n">
        <f aca="false">SUMIF(PRESTADORES!$O$4:$O$503,"PENDIENTE",PRESTADORES!$N$4:$N$503)</f>
        <v>0</v>
      </c>
      <c r="F7" s="12" t="s">
        <v>67</v>
      </c>
      <c r="G7" s="12" t="n">
        <f aca="false">COUNTIF(PRESTADORES!$I$4:$I$503,"OSPEVIC")</f>
        <v>92</v>
      </c>
      <c r="H7" s="13" t="n">
        <f aca="false">SUMIF(PRESTADORES!$I$4:$I$503,"OSPEVIC",PRESTADORES!$N$4:$N$503)</f>
        <v>194536704.67</v>
      </c>
    </row>
    <row r="8" customFormat="false" ht="15" hidden="false" customHeight="true" outlineLevel="0" collapsed="false">
      <c r="B8" s="12" t="s">
        <v>68</v>
      </c>
      <c r="C8" s="12" t="n">
        <f aca="false">COUNTIF(PRESTADORES!$O$4:$O$503,"AUDITADA")</f>
        <v>211</v>
      </c>
      <c r="D8" s="13" t="n">
        <f aca="false">SUMIF(PRESTADORES!$O$4:$O$503,"AUDITADA",PRESTADORES!$N$4:$N$503)</f>
        <v>272507850.1</v>
      </c>
      <c r="F8" s="12" t="s">
        <v>69</v>
      </c>
      <c r="G8" s="12" t="n">
        <f aca="false">COUNTIF(PRESTADORES!$I$4:$I$503,"OSPIF")</f>
        <v>64</v>
      </c>
      <c r="H8" s="13" t="n">
        <f aca="false">SUMIF(PRESTADORES!$I$4:$I$503,"OSPIF",PRESTADORES!$N$4:$N$503)</f>
        <v>53726268.12</v>
      </c>
    </row>
    <row r="9" customFormat="false" ht="15" hidden="false" customHeight="true" outlineLevel="0" collapsed="false">
      <c r="B9" s="12" t="s">
        <v>70</v>
      </c>
      <c r="C9" s="12" t="n">
        <f aca="false">COUNTIF(PRESTADORES!$O$4:$O$503,"PROYECTADA")</f>
        <v>0</v>
      </c>
      <c r="D9" s="13" t="n">
        <f aca="false">SUMIF(PRESTADORES!$O$4:$O$503,"PROYECTADA",PRESTADORES!$N$4:$N$503)</f>
        <v>0</v>
      </c>
      <c r="F9" s="12" t="s">
        <v>71</v>
      </c>
      <c r="G9" s="12" t="n">
        <f aca="false">COUNTIF(PRESTADORES!$I$4:$I$503,"OSPLYFC")</f>
        <v>36</v>
      </c>
      <c r="H9" s="13" t="n">
        <f aca="false">SUMIF(PRESTADORES!$I$4:$I$503,"OSPLYFC",PRESTADORES!$N$4:$N$503)</f>
        <v>13977106.66</v>
      </c>
    </row>
    <row r="10" customFormat="false" ht="15" hidden="false" customHeight="true" outlineLevel="0" collapsed="false">
      <c r="B10" s="12" t="s">
        <v>72</v>
      </c>
      <c r="C10" s="12" t="n">
        <f aca="false">COUNTIF(PRESTADORES!$O$4:$O$503,"EMITIDA")</f>
        <v>0</v>
      </c>
      <c r="D10" s="13" t="n">
        <f aca="false">SUMIF(PRESTADORES!$O$4:$O$503,"EMITIDA",PRESTADORES!$N$4:$N$503)</f>
        <v>0</v>
      </c>
      <c r="F10" s="12" t="s">
        <v>73</v>
      </c>
      <c r="G10" s="12" t="n">
        <f aca="false">COUNTIF(PRESTADORES!$I$4:$I$503,"OSPM")</f>
        <v>4</v>
      </c>
      <c r="H10" s="13" t="n">
        <f aca="false">SUMIF(PRESTADORES!$I$4:$I$503,"OSPM",PRESTADORES!$N$4:$N$503)</f>
        <v>1729983.54</v>
      </c>
    </row>
    <row r="11" customFormat="false" ht="15" hidden="false" customHeight="true" outlineLevel="0" collapsed="false">
      <c r="B11" s="12" t="s">
        <v>74</v>
      </c>
      <c r="C11" s="12" t="n">
        <f aca="false">COUNTIF(PRESTADORES!$O$4:$O$503,"PAGADA")</f>
        <v>0</v>
      </c>
      <c r="D11" s="13" t="n">
        <f aca="false">SUMIF(PRESTADORES!$O$4:$O$503,"PAGADA",PRESTADORES!$N$4:$N$503)</f>
        <v>0</v>
      </c>
      <c r="F11" s="12" t="s">
        <v>75</v>
      </c>
      <c r="G11" s="12" t="n">
        <f aca="false">COUNTIF(PRESTADORES!$I$4:$I$503,"OSSURRBAC")</f>
        <v>15</v>
      </c>
      <c r="H11" s="13" t="n">
        <f aca="false">SUMIF(PRESTADORES!$I$4:$I$503,"OSSURRBAC",PRESTADORES!$N$4:$N$503)</f>
        <v>8537787.11</v>
      </c>
    </row>
    <row r="12" customFormat="false" ht="15" hidden="false" customHeight="true" outlineLevel="0" collapsed="false">
      <c r="B12" s="14" t="s">
        <v>76</v>
      </c>
      <c r="C12" s="14" t="n">
        <f aca="false">SUM(C7:C11)</f>
        <v>211</v>
      </c>
      <c r="D12" s="15" t="n">
        <f aca="false">SUM(D7:D11)</f>
        <v>272507850.1</v>
      </c>
      <c r="F12" s="12" t="s">
        <v>77</v>
      </c>
      <c r="G12" s="12" t="n">
        <f aca="false">COUNTIF(PRESTADORES!$I$4:$I$503,"AMSURRBAC")</f>
        <v>0</v>
      </c>
      <c r="H12" s="13" t="n">
        <f aca="false">SUMIF(PRESTADORES!$I$4:$I$503,"AMSURRBAC",PRESTADORES!$N$4:$N$503)</f>
        <v>0</v>
      </c>
    </row>
    <row r="13" customFormat="false" ht="15" hidden="false" customHeight="true" outlineLevel="0" collapsed="false">
      <c r="F13" s="12" t="s">
        <v>78</v>
      </c>
      <c r="G13" s="12" t="n">
        <f aca="false">COUNTIF(PRESTADORES!$I$4:$I$503,"UOM")</f>
        <v>0</v>
      </c>
      <c r="H13" s="13" t="n">
        <f aca="false">SUMIF(PRESTADORES!$I$4:$I$503,"UOM",PRESTADORES!$N$4:$N$503)</f>
        <v>0</v>
      </c>
    </row>
    <row r="14" customFormat="false" ht="15" hidden="false" customHeight="true" outlineLevel="0" collapsed="false">
      <c r="B14" s="10" t="s">
        <v>79</v>
      </c>
      <c r="F14" s="12" t="s">
        <v>80</v>
      </c>
      <c r="G14" s="12" t="n">
        <f aca="false">COUNTIF(PRESTADORES!$I$4:$I$503,"SIN ASIGNACION")</f>
        <v>0</v>
      </c>
      <c r="H14" s="13" t="n">
        <f aca="false">SUMIF(PRESTADORES!$I$4:$I$503,"SIN ASIGNACION",PRESTADORES!$N$4:$N$503)</f>
        <v>0</v>
      </c>
    </row>
    <row r="15" customFormat="false" ht="15" hidden="false" customHeight="true" outlineLevel="0" collapsed="false">
      <c r="B15" s="11" t="s">
        <v>81</v>
      </c>
      <c r="C15" s="11" t="s">
        <v>63</v>
      </c>
      <c r="F15" s="14" t="s">
        <v>76</v>
      </c>
      <c r="G15" s="14" t="n">
        <f aca="false">SUM(G7:G14)</f>
        <v>211</v>
      </c>
      <c r="H15" s="15" t="n">
        <f aca="false">SUM(H7:H14)</f>
        <v>272507850.1</v>
      </c>
    </row>
    <row r="16" customFormat="false" ht="15" hidden="false" customHeight="true" outlineLevel="0" collapsed="false">
      <c r="B16" s="12" t="s">
        <v>82</v>
      </c>
      <c r="C16" s="12" t="n">
        <f aca="false">COUNTIF(PRESTADORES!$P$4:$P$503,"RECIBIDA")</f>
        <v>0</v>
      </c>
    </row>
    <row r="17" customFormat="false" ht="15" hidden="false" customHeight="true" outlineLevel="0" collapsed="false">
      <c r="B17" s="12" t="s">
        <v>83</v>
      </c>
      <c r="C17" s="12" t="n">
        <f aca="false">COUNTIF(PRESTADORES!$P$4:$P$503,"EN_AUD_MEDICA")</f>
        <v>0</v>
      </c>
    </row>
    <row r="18" customFormat="false" ht="15" hidden="false" customHeight="true" outlineLevel="0" collapsed="false">
      <c r="B18" s="12" t="s">
        <v>84</v>
      </c>
      <c r="C18" s="12" t="n">
        <f aca="false">COUNTIF(PRESTADORES!$P$4:$P$503,"EN_FACTURISTA")</f>
        <v>0</v>
      </c>
    </row>
    <row r="19" customFormat="false" ht="15" hidden="false" customHeight="true" outlineLevel="0" collapsed="false">
      <c r="B19" s="12" t="s">
        <v>68</v>
      </c>
      <c r="C19" s="12" t="n">
        <f aca="false">COUNTIF(PRESTADORES!$P$4:$P$503,"AUDITADA")</f>
        <v>211</v>
      </c>
    </row>
    <row r="21" customFormat="false" ht="15" hidden="false" customHeight="true" outlineLevel="0" collapsed="false">
      <c r="B21" s="10" t="s">
        <v>85</v>
      </c>
    </row>
    <row r="22" customFormat="false" ht="15" hidden="false" customHeight="true" outlineLevel="0" collapsed="false">
      <c r="B22" s="11" t="s">
        <v>86</v>
      </c>
      <c r="C22" s="11" t="s">
        <v>87</v>
      </c>
    </row>
    <row r="23" customFormat="false" ht="15" hidden="false" customHeight="true" outlineLevel="0" collapsed="false">
      <c r="B23" s="12" t="s">
        <v>88</v>
      </c>
      <c r="C23" s="16" t="str">
        <f aca="false">IFERROR(AVERAGE(PRESTADORES!$AF$4:$AF$503),"-")</f>
        <v>-</v>
      </c>
    </row>
    <row r="24" customFormat="false" ht="15" hidden="false" customHeight="true" outlineLevel="0" collapsed="false">
      <c r="B24" s="12" t="s">
        <v>89</v>
      </c>
      <c r="C24" s="16" t="str">
        <f aca="false">IFERROR(AVERAGE(PRESTADORES!$AG$4:$AG$503),"-")</f>
        <v>-</v>
      </c>
    </row>
    <row r="25" customFormat="false" ht="15" hidden="false" customHeight="true" outlineLevel="0" collapsed="false">
      <c r="B25" s="12" t="s">
        <v>90</v>
      </c>
      <c r="C25" s="16" t="str">
        <f aca="false">IFERROR(AVERAGE(PRESTADORES!$AH$4:$AH$503),"-")</f>
        <v>-</v>
      </c>
    </row>
    <row r="26" customFormat="false" ht="15" hidden="false" customHeight="true" outlineLevel="0" collapsed="false">
      <c r="B26" s="12" t="s">
        <v>91</v>
      </c>
      <c r="C26" s="16" t="str">
        <f aca="false">IFERROR(AVERAGE(PRESTADORES!$AI$4:$AI$503),"-")</f>
        <v>-</v>
      </c>
    </row>
    <row r="27" customFormat="false" ht="15" hidden="false" customHeight="true" outlineLevel="0" collapsed="false">
      <c r="B27" s="12" t="s">
        <v>92</v>
      </c>
      <c r="C27" s="16" t="str">
        <f aca="false">IFERROR(AVERAGE(PRESTADORES!$AJ$4:$AJ$503),"-")</f>
        <v>-</v>
      </c>
    </row>
    <row r="28" customFormat="false" ht="15" hidden="false" customHeight="true" outlineLevel="0" collapsed="false">
      <c r="B28" s="12" t="s">
        <v>93</v>
      </c>
      <c r="C28" s="16" t="str">
        <f aca="false">IFERROR(AVERAGE(PRESTADORES!$AK$4:$AK$503),"-")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0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13"/>
    <col collapsed="false" customWidth="true" hidden="false" outlineLevel="0" max="4" min="4" style="1" width="15"/>
    <col collapsed="false" customWidth="true" hidden="false" outlineLevel="0" max="5" min="5" style="1" width="18"/>
    <col collapsed="false" customWidth="true" hidden="false" outlineLevel="0" max="7" min="6" style="1" width="15"/>
    <col collapsed="false" customWidth="true" hidden="false" outlineLevel="0" max="8" min="8" style="1" width="16"/>
    <col collapsed="false" customWidth="true" hidden="false" outlineLevel="0" max="9" min="9" style="1" width="13"/>
    <col collapsed="false" customWidth="true" hidden="false" outlineLevel="0" max="10" min="10" style="1" width="8"/>
    <col collapsed="false" customWidth="true" hidden="false" outlineLevel="0" max="12" min="11" style="1" width="16"/>
    <col collapsed="false" customWidth="true" hidden="false" outlineLevel="0" max="13" min="13" style="1" width="14"/>
    <col collapsed="false" customWidth="true" hidden="false" outlineLevel="0" max="14" min="14" style="1" width="15"/>
    <col collapsed="false" customWidth="true" hidden="false" outlineLevel="0" max="15" min="15" style="1" width="13"/>
    <col collapsed="false" customWidth="true" hidden="false" outlineLevel="0" max="16" min="16" style="1" width="16"/>
    <col collapsed="false" customWidth="true" hidden="false" outlineLevel="0" max="18" min="17" style="1" width="15"/>
    <col collapsed="false" customWidth="true" hidden="false" outlineLevel="0" max="21" min="19" style="1" width="16"/>
    <col collapsed="false" customWidth="true" hidden="false" outlineLevel="0" max="22" min="22" style="1" width="11"/>
    <col collapsed="false" customWidth="true" hidden="false" outlineLevel="0" max="23" min="23" style="1" width="16"/>
    <col collapsed="false" customWidth="true" hidden="false" outlineLevel="0" max="24" min="24" style="1" width="17"/>
    <col collapsed="false" customWidth="true" hidden="false" outlineLevel="0" max="25" min="25" style="1" width="15"/>
    <col collapsed="false" customWidth="true" hidden="false" outlineLevel="0" max="26" min="26" style="1" width="12"/>
    <col collapsed="false" customWidth="true" hidden="false" outlineLevel="0" max="27" min="27" style="1" width="13"/>
    <col collapsed="false" customWidth="true" hidden="false" outlineLevel="0" max="29" min="28" style="1" width="16"/>
    <col collapsed="false" customWidth="true" hidden="false" outlineLevel="0" max="30" min="30" style="1" width="15"/>
    <col collapsed="false" customWidth="true" hidden="false" outlineLevel="0" max="31" min="31" style="1" width="17"/>
    <col collapsed="false" customWidth="true" hidden="false" outlineLevel="0" max="37" min="32" style="1" width="13"/>
    <col collapsed="false" customWidth="true" hidden="false" outlineLevel="0" max="38" min="38" style="1" width="16"/>
    <col collapsed="false" customWidth="true" hidden="false" outlineLevel="0" max="39" min="39" style="1" width="18"/>
    <col collapsed="false" customWidth="true" hidden="false" outlineLevel="0" max="40" min="40" style="1" width="34"/>
  </cols>
  <sheetData>
    <row r="1" customFormat="false" ht="15" hidden="false" customHeight="true" outlineLevel="0" collapsed="false">
      <c r="A1" s="17" t="s">
        <v>94</v>
      </c>
      <c r="B1" s="17"/>
      <c r="C1" s="17"/>
      <c r="D1" s="17"/>
      <c r="E1" s="17"/>
      <c r="F1" s="17"/>
      <c r="G1" s="17"/>
      <c r="H1" s="17"/>
      <c r="J1" s="18" t="s">
        <v>95</v>
      </c>
      <c r="K1" s="19" t="s">
        <v>96</v>
      </c>
    </row>
    <row r="3" customFormat="false" ht="42" hidden="false" customHeight="true" outlineLevel="0" collapsed="false">
      <c r="A3" s="20" t="s">
        <v>97</v>
      </c>
      <c r="B3" s="21" t="s">
        <v>98</v>
      </c>
      <c r="C3" s="21" t="s">
        <v>99</v>
      </c>
      <c r="D3" s="21" t="s">
        <v>100</v>
      </c>
      <c r="E3" s="21" t="s">
        <v>101</v>
      </c>
      <c r="F3" s="21" t="s">
        <v>102</v>
      </c>
      <c r="G3" s="21" t="s">
        <v>103</v>
      </c>
      <c r="H3" s="21" t="s">
        <v>104</v>
      </c>
      <c r="I3" s="21" t="s">
        <v>105</v>
      </c>
      <c r="J3" s="21" t="s">
        <v>106</v>
      </c>
      <c r="K3" s="22" t="s">
        <v>107</v>
      </c>
      <c r="L3" s="22" t="s">
        <v>108</v>
      </c>
      <c r="M3" s="22" t="s">
        <v>109</v>
      </c>
      <c r="N3" s="22" t="s">
        <v>110</v>
      </c>
      <c r="O3" s="23" t="s">
        <v>62</v>
      </c>
      <c r="P3" s="23" t="s">
        <v>81</v>
      </c>
      <c r="Q3" s="23" t="s">
        <v>111</v>
      </c>
      <c r="R3" s="24" t="s">
        <v>112</v>
      </c>
      <c r="S3" s="24" t="s">
        <v>113</v>
      </c>
      <c r="T3" s="24" t="s">
        <v>114</v>
      </c>
      <c r="U3" s="24" t="s">
        <v>115</v>
      </c>
      <c r="V3" s="25" t="s">
        <v>116</v>
      </c>
      <c r="W3" s="25" t="s">
        <v>117</v>
      </c>
      <c r="X3" s="25" t="s">
        <v>118</v>
      </c>
      <c r="Y3" s="25" t="s">
        <v>119</v>
      </c>
      <c r="Z3" s="26" t="s">
        <v>120</v>
      </c>
      <c r="AA3" s="26" t="s">
        <v>121</v>
      </c>
      <c r="AB3" s="26" t="s">
        <v>122</v>
      </c>
      <c r="AC3" s="26" t="s">
        <v>123</v>
      </c>
      <c r="AD3" s="27" t="s">
        <v>124</v>
      </c>
      <c r="AE3" s="27" t="s">
        <v>125</v>
      </c>
      <c r="AF3" s="28" t="s">
        <v>46</v>
      </c>
      <c r="AG3" s="28" t="s">
        <v>48</v>
      </c>
      <c r="AH3" s="28" t="s">
        <v>50</v>
      </c>
      <c r="AI3" s="28" t="s">
        <v>52</v>
      </c>
      <c r="AJ3" s="28" t="s">
        <v>54</v>
      </c>
      <c r="AK3" s="28" t="s">
        <v>56</v>
      </c>
      <c r="AL3" s="29" t="s">
        <v>126</v>
      </c>
      <c r="AM3" s="29" t="s">
        <v>127</v>
      </c>
      <c r="AN3" s="29" t="s">
        <v>128</v>
      </c>
    </row>
    <row r="4" customFormat="false" ht="15" hidden="false" customHeight="true" outlineLevel="0" collapsed="false">
      <c r="A4" s="30" t="n">
        <f aca="false">IF($B4="","",ROW()-3)</f>
        <v>1</v>
      </c>
      <c r="B4" s="31" t="s">
        <v>129</v>
      </c>
      <c r="C4" s="31" t="s">
        <v>130</v>
      </c>
      <c r="D4" s="31" t="s">
        <v>131</v>
      </c>
      <c r="E4" s="31" t="s">
        <v>132</v>
      </c>
      <c r="F4" s="32" t="n">
        <v>46083</v>
      </c>
      <c r="G4" s="32"/>
      <c r="H4" s="31" t="s">
        <v>133</v>
      </c>
      <c r="I4" s="31" t="s">
        <v>75</v>
      </c>
      <c r="J4" s="33" t="n">
        <v>30</v>
      </c>
      <c r="K4" s="34" t="n">
        <v>314997.76</v>
      </c>
      <c r="L4" s="34" t="n">
        <v>0</v>
      </c>
      <c r="M4" s="34" t="n">
        <v>0</v>
      </c>
      <c r="N4" s="35" t="n">
        <f aca="false">IF($K4="","",$K4-N($L4)-N($M4))</f>
        <v>314997.76</v>
      </c>
      <c r="O4" s="31" t="s">
        <v>68</v>
      </c>
      <c r="P4" s="31" t="s">
        <v>68</v>
      </c>
      <c r="Q4" s="31"/>
      <c r="R4" s="32"/>
      <c r="S4" s="32"/>
      <c r="T4" s="32"/>
      <c r="U4" s="32"/>
      <c r="V4" s="31" t="s">
        <v>134</v>
      </c>
      <c r="W4" s="36" t="n">
        <f aca="false">IF(OR($F4="",$J4=""),"",$F4+$J4)</f>
        <v>46113</v>
      </c>
      <c r="X4" s="32"/>
      <c r="Y4" s="34"/>
      <c r="Z4" s="31"/>
      <c r="AA4" s="31"/>
      <c r="AB4" s="32"/>
      <c r="AC4" s="31"/>
      <c r="AD4" s="32"/>
      <c r="AE4" s="31"/>
      <c r="AF4" s="37" t="str">
        <f aca="false">IF(OR($R4="",$S4=""),"",$S4-$R4)</f>
        <v/>
      </c>
      <c r="AG4" s="37" t="str">
        <f aca="false">IF(OR($S4="",$T4=""),"",$T4-$S4)</f>
        <v/>
      </c>
      <c r="AH4" s="37" t="str">
        <f aca="false">IF(OR($T4="",$U4=""),"",$U4-$T4)</f>
        <v/>
      </c>
      <c r="AI4" s="37" t="str">
        <f aca="false">IF(OR($R4="",$U4=""),"",$U4-$R4)</f>
        <v/>
      </c>
      <c r="AJ4" s="37" t="str">
        <f aca="false">IF(OR($U4="",$AB4=""),"",$AB4-$U4)</f>
        <v/>
      </c>
      <c r="AK4" s="37" t="str">
        <f aca="false">IF(OR($R4="",$AD4=""),"",$AD4-$R4)</f>
        <v/>
      </c>
      <c r="AL4" s="31"/>
      <c r="AM4" s="32"/>
      <c r="AN4" s="31" t="s">
        <v>135</v>
      </c>
    </row>
    <row r="5" customFormat="false" ht="15" hidden="false" customHeight="true" outlineLevel="0" collapsed="false">
      <c r="A5" s="30" t="n">
        <f aca="false">IF($B5="","",ROW()-3)</f>
        <v>2</v>
      </c>
      <c r="B5" s="31" t="s">
        <v>129</v>
      </c>
      <c r="C5" s="31" t="s">
        <v>130</v>
      </c>
      <c r="D5" s="31" t="s">
        <v>131</v>
      </c>
      <c r="E5" s="31" t="s">
        <v>136</v>
      </c>
      <c r="F5" s="32" t="n">
        <v>46083</v>
      </c>
      <c r="G5" s="32"/>
      <c r="H5" s="31" t="s">
        <v>133</v>
      </c>
      <c r="I5" s="31" t="s">
        <v>71</v>
      </c>
      <c r="J5" s="33" t="n">
        <v>30</v>
      </c>
      <c r="K5" s="34" t="n">
        <v>726056.45</v>
      </c>
      <c r="L5" s="34" t="n">
        <v>0</v>
      </c>
      <c r="M5" s="34" t="n">
        <v>0</v>
      </c>
      <c r="N5" s="35" t="n">
        <f aca="false">IF($K5="","",$K5-N($L5)-N($M5))</f>
        <v>726056.45</v>
      </c>
      <c r="O5" s="31" t="s">
        <v>68</v>
      </c>
      <c r="P5" s="31" t="s">
        <v>68</v>
      </c>
      <c r="Q5" s="31"/>
      <c r="R5" s="32"/>
      <c r="S5" s="32"/>
      <c r="T5" s="32"/>
      <c r="U5" s="32"/>
      <c r="V5" s="31" t="s">
        <v>134</v>
      </c>
      <c r="W5" s="36" t="n">
        <f aca="false">IF(OR($F5="",$J5=""),"",$F5+$J5)</f>
        <v>46113</v>
      </c>
      <c r="X5" s="32"/>
      <c r="Y5" s="34"/>
      <c r="Z5" s="31"/>
      <c r="AA5" s="31"/>
      <c r="AB5" s="32"/>
      <c r="AC5" s="31"/>
      <c r="AD5" s="32"/>
      <c r="AE5" s="31"/>
      <c r="AF5" s="37" t="str">
        <f aca="false">IF(OR($R5="",$S5=""),"",$S5-$R5)</f>
        <v/>
      </c>
      <c r="AG5" s="37" t="str">
        <f aca="false">IF(OR($S5="",$T5=""),"",$T5-$S5)</f>
        <v/>
      </c>
      <c r="AH5" s="37" t="str">
        <f aca="false">IF(OR($T5="",$U5=""),"",$U5-$T5)</f>
        <v/>
      </c>
      <c r="AI5" s="37" t="str">
        <f aca="false">IF(OR($R5="",$U5=""),"",$U5-$R5)</f>
        <v/>
      </c>
      <c r="AJ5" s="37" t="str">
        <f aca="false">IF(OR($U5="",$AB5=""),"",$AB5-$U5)</f>
        <v/>
      </c>
      <c r="AK5" s="37" t="str">
        <f aca="false">IF(OR($R5="",$AD5=""),"",$AD5-$R5)</f>
        <v/>
      </c>
      <c r="AL5" s="31"/>
      <c r="AM5" s="32"/>
      <c r="AN5" s="31" t="s">
        <v>135</v>
      </c>
    </row>
    <row r="6" customFormat="false" ht="15" hidden="false" customHeight="true" outlineLevel="0" collapsed="false">
      <c r="A6" s="38" t="n">
        <f aca="false">IF($B6="","",ROW()-3)</f>
        <v>3</v>
      </c>
      <c r="B6" s="31" t="s">
        <v>129</v>
      </c>
      <c r="C6" s="31" t="s">
        <v>130</v>
      </c>
      <c r="D6" s="31" t="s">
        <v>131</v>
      </c>
      <c r="E6" s="31" t="s">
        <v>137</v>
      </c>
      <c r="F6" s="32" t="n">
        <v>46083</v>
      </c>
      <c r="G6" s="32"/>
      <c r="H6" s="31" t="s">
        <v>133</v>
      </c>
      <c r="I6" s="31" t="s">
        <v>69</v>
      </c>
      <c r="J6" s="33" t="n">
        <v>30</v>
      </c>
      <c r="K6" s="34" t="n">
        <v>2955934.54</v>
      </c>
      <c r="L6" s="34" t="n">
        <v>0</v>
      </c>
      <c r="M6" s="34" t="n">
        <v>0</v>
      </c>
      <c r="N6" s="39" t="n">
        <f aca="false">IF($K6="","",$K6-N($L6)-N($M6))</f>
        <v>2955934.54</v>
      </c>
      <c r="O6" s="31" t="s">
        <v>68</v>
      </c>
      <c r="P6" s="31" t="s">
        <v>68</v>
      </c>
      <c r="Q6" s="31"/>
      <c r="R6" s="32"/>
      <c r="S6" s="32"/>
      <c r="T6" s="32"/>
      <c r="U6" s="32"/>
      <c r="V6" s="31" t="s">
        <v>134</v>
      </c>
      <c r="W6" s="40" t="n">
        <f aca="false">IF(OR($F6="",$J6=""),"",$F6+$J6)</f>
        <v>46113</v>
      </c>
      <c r="X6" s="32"/>
      <c r="Y6" s="34"/>
      <c r="Z6" s="31"/>
      <c r="AA6" s="31"/>
      <c r="AB6" s="32"/>
      <c r="AC6" s="31"/>
      <c r="AD6" s="32"/>
      <c r="AE6" s="31"/>
      <c r="AF6" s="41" t="str">
        <f aca="false">IF(OR($R6="",$S6=""),"",$S6-$R6)</f>
        <v/>
      </c>
      <c r="AG6" s="41" t="str">
        <f aca="false">IF(OR($S6="",$T6=""),"",$T6-$S6)</f>
        <v/>
      </c>
      <c r="AH6" s="41" t="str">
        <f aca="false">IF(OR($T6="",$U6=""),"",$U6-$T6)</f>
        <v/>
      </c>
      <c r="AI6" s="41" t="str">
        <f aca="false">IF(OR($R6="",$U6=""),"",$U6-$R6)</f>
        <v/>
      </c>
      <c r="AJ6" s="41" t="str">
        <f aca="false">IF(OR($U6="",$AB6=""),"",$AB6-$U6)</f>
        <v/>
      </c>
      <c r="AK6" s="41" t="str">
        <f aca="false">IF(OR($R6="",$AD6=""),"",$AD6-$R6)</f>
        <v/>
      </c>
      <c r="AL6" s="31"/>
      <c r="AM6" s="32"/>
      <c r="AN6" s="31" t="s">
        <v>135</v>
      </c>
    </row>
    <row r="7" customFormat="false" ht="15" hidden="false" customHeight="true" outlineLevel="0" collapsed="false">
      <c r="A7" s="38" t="n">
        <f aca="false">IF($B7="","",ROW()-3)</f>
        <v>4</v>
      </c>
      <c r="B7" s="31" t="s">
        <v>129</v>
      </c>
      <c r="C7" s="31" t="s">
        <v>130</v>
      </c>
      <c r="D7" s="31" t="s">
        <v>131</v>
      </c>
      <c r="E7" s="31" t="s">
        <v>138</v>
      </c>
      <c r="F7" s="32" t="n">
        <v>46083</v>
      </c>
      <c r="G7" s="32"/>
      <c r="H7" s="31" t="s">
        <v>139</v>
      </c>
      <c r="I7" s="31" t="s">
        <v>67</v>
      </c>
      <c r="J7" s="33" t="n">
        <v>30</v>
      </c>
      <c r="K7" s="34" t="n">
        <v>14374.8</v>
      </c>
      <c r="L7" s="34" t="n">
        <v>0</v>
      </c>
      <c r="M7" s="34" t="n">
        <v>0</v>
      </c>
      <c r="N7" s="39" t="n">
        <f aca="false">IF($K7="","",$K7-N($L7)-N($M7))</f>
        <v>14374.8</v>
      </c>
      <c r="O7" s="31" t="s">
        <v>68</v>
      </c>
      <c r="P7" s="31" t="s">
        <v>68</v>
      </c>
      <c r="Q7" s="31"/>
      <c r="R7" s="32"/>
      <c r="S7" s="32"/>
      <c r="T7" s="32"/>
      <c r="U7" s="32"/>
      <c r="V7" s="31" t="s">
        <v>134</v>
      </c>
      <c r="W7" s="40" t="n">
        <f aca="false">IF(OR($F7="",$J7=""),"",$F7+$J7)</f>
        <v>46113</v>
      </c>
      <c r="X7" s="32"/>
      <c r="Y7" s="34"/>
      <c r="Z7" s="31"/>
      <c r="AA7" s="31"/>
      <c r="AB7" s="32"/>
      <c r="AC7" s="31"/>
      <c r="AD7" s="32"/>
      <c r="AE7" s="31"/>
      <c r="AF7" s="41" t="str">
        <f aca="false">IF(OR($R7="",$S7=""),"",$S7-$R7)</f>
        <v/>
      </c>
      <c r="AG7" s="41" t="str">
        <f aca="false">IF(OR($S7="",$T7=""),"",$T7-$S7)</f>
        <v/>
      </c>
      <c r="AH7" s="41" t="str">
        <f aca="false">IF(OR($T7="",$U7=""),"",$U7-$T7)</f>
        <v/>
      </c>
      <c r="AI7" s="41" t="str">
        <f aca="false">IF(OR($R7="",$U7=""),"",$U7-$R7)</f>
        <v/>
      </c>
      <c r="AJ7" s="41" t="str">
        <f aca="false">IF(OR($U7="",$AB7=""),"",$AB7-$U7)</f>
        <v/>
      </c>
      <c r="AK7" s="41" t="str">
        <f aca="false">IF(OR($R7="",$AD7=""),"",$AD7-$R7)</f>
        <v/>
      </c>
      <c r="AL7" s="31"/>
      <c r="AM7" s="32"/>
      <c r="AN7" s="31" t="s">
        <v>135</v>
      </c>
    </row>
    <row r="8" customFormat="false" ht="15" hidden="false" customHeight="true" outlineLevel="0" collapsed="false">
      <c r="A8" s="38" t="n">
        <f aca="false">IF($B8="","",ROW()-3)</f>
        <v>5</v>
      </c>
      <c r="B8" s="31" t="s">
        <v>129</v>
      </c>
      <c r="C8" s="31" t="s">
        <v>130</v>
      </c>
      <c r="D8" s="31" t="s">
        <v>131</v>
      </c>
      <c r="E8" s="31" t="s">
        <v>140</v>
      </c>
      <c r="F8" s="32" t="n">
        <v>46143</v>
      </c>
      <c r="G8" s="32"/>
      <c r="H8" s="31" t="s">
        <v>139</v>
      </c>
      <c r="I8" s="31" t="s">
        <v>67</v>
      </c>
      <c r="J8" s="33" t="n">
        <v>30</v>
      </c>
      <c r="K8" s="34" t="n">
        <v>14374.8</v>
      </c>
      <c r="L8" s="34" t="n">
        <v>2494.8</v>
      </c>
      <c r="M8" s="34" t="n">
        <v>0</v>
      </c>
      <c r="N8" s="39" t="n">
        <f aca="false">IF($K8="","",$K8-N($L8)-N($M8))</f>
        <v>11880</v>
      </c>
      <c r="O8" s="31" t="s">
        <v>68</v>
      </c>
      <c r="P8" s="31" t="s">
        <v>68</v>
      </c>
      <c r="Q8" s="31"/>
      <c r="R8" s="32"/>
      <c r="S8" s="32"/>
      <c r="T8" s="32"/>
      <c r="U8" s="32"/>
      <c r="V8" s="31" t="s">
        <v>134</v>
      </c>
      <c r="W8" s="40" t="n">
        <f aca="false">IF(OR($F8="",$J8=""),"",$F8+$J8)</f>
        <v>46173</v>
      </c>
      <c r="X8" s="32"/>
      <c r="Y8" s="34"/>
      <c r="Z8" s="31"/>
      <c r="AA8" s="31"/>
      <c r="AB8" s="32"/>
      <c r="AC8" s="31"/>
      <c r="AD8" s="32"/>
      <c r="AE8" s="31"/>
      <c r="AF8" s="41" t="str">
        <f aca="false">IF(OR($R8="",$S8=""),"",$S8-$R8)</f>
        <v/>
      </c>
      <c r="AG8" s="41" t="str">
        <f aca="false">IF(OR($S8="",$T8=""),"",$T8-$S8)</f>
        <v/>
      </c>
      <c r="AH8" s="41" t="str">
        <f aca="false">IF(OR($T8="",$U8=""),"",$U8-$T8)</f>
        <v/>
      </c>
      <c r="AI8" s="41" t="str">
        <f aca="false">IF(OR($R8="",$U8=""),"",$U8-$R8)</f>
        <v/>
      </c>
      <c r="AJ8" s="41" t="str">
        <f aca="false">IF(OR($U8="",$AB8=""),"",$AB8-$U8)</f>
        <v/>
      </c>
      <c r="AK8" s="41" t="str">
        <f aca="false">IF(OR($R8="",$AD8=""),"",$AD8-$R8)</f>
        <v/>
      </c>
      <c r="AL8" s="31"/>
      <c r="AM8" s="32"/>
      <c r="AN8" s="31" t="s">
        <v>135</v>
      </c>
    </row>
    <row r="9" customFormat="false" ht="15" hidden="false" customHeight="true" outlineLevel="0" collapsed="false">
      <c r="A9" s="38" t="n">
        <f aca="false">IF($B9="","",ROW()-3)</f>
        <v>6</v>
      </c>
      <c r="B9" s="31" t="s">
        <v>129</v>
      </c>
      <c r="C9" s="31" t="s">
        <v>130</v>
      </c>
      <c r="D9" s="31" t="s">
        <v>131</v>
      </c>
      <c r="E9" s="31" t="s">
        <v>141</v>
      </c>
      <c r="F9" s="32" t="n">
        <v>46083</v>
      </c>
      <c r="G9" s="32"/>
      <c r="H9" s="31" t="s">
        <v>142</v>
      </c>
      <c r="I9" s="31" t="s">
        <v>67</v>
      </c>
      <c r="J9" s="33" t="n">
        <v>30</v>
      </c>
      <c r="K9" s="34" t="n">
        <v>1034649.57</v>
      </c>
      <c r="L9" s="34" t="n">
        <v>98600.81</v>
      </c>
      <c r="M9" s="34" t="n">
        <v>0</v>
      </c>
      <c r="N9" s="39" t="n">
        <f aca="false">IF($K9="","",$K9-N($L9)-N($M9))</f>
        <v>936048.76</v>
      </c>
      <c r="O9" s="31" t="s">
        <v>68</v>
      </c>
      <c r="P9" s="31" t="s">
        <v>68</v>
      </c>
      <c r="Q9" s="31"/>
      <c r="R9" s="32"/>
      <c r="S9" s="32"/>
      <c r="T9" s="32"/>
      <c r="U9" s="32"/>
      <c r="V9" s="31" t="s">
        <v>134</v>
      </c>
      <c r="W9" s="40" t="n">
        <f aca="false">IF(OR($F9="",$J9=""),"",$F9+$J9)</f>
        <v>46113</v>
      </c>
      <c r="X9" s="32"/>
      <c r="Y9" s="34"/>
      <c r="Z9" s="31"/>
      <c r="AA9" s="31"/>
      <c r="AB9" s="32"/>
      <c r="AC9" s="31"/>
      <c r="AD9" s="32"/>
      <c r="AE9" s="31"/>
      <c r="AF9" s="41" t="str">
        <f aca="false">IF(OR($R9="",$S9=""),"",$S9-$R9)</f>
        <v/>
      </c>
      <c r="AG9" s="41" t="str">
        <f aca="false">IF(OR($S9="",$T9=""),"",$T9-$S9)</f>
        <v/>
      </c>
      <c r="AH9" s="41" t="str">
        <f aca="false">IF(OR($T9="",$U9=""),"",$U9-$T9)</f>
        <v/>
      </c>
      <c r="AI9" s="41" t="str">
        <f aca="false">IF(OR($R9="",$U9=""),"",$U9-$R9)</f>
        <v/>
      </c>
      <c r="AJ9" s="41" t="str">
        <f aca="false">IF(OR($U9="",$AB9=""),"",$AB9-$U9)</f>
        <v/>
      </c>
      <c r="AK9" s="41" t="str">
        <f aca="false">IF(OR($R9="",$AD9=""),"",$AD9-$R9)</f>
        <v/>
      </c>
      <c r="AL9" s="31"/>
      <c r="AM9" s="32"/>
      <c r="AN9" s="31" t="s">
        <v>135</v>
      </c>
    </row>
    <row r="10" customFormat="false" ht="15" hidden="false" customHeight="true" outlineLevel="0" collapsed="false">
      <c r="A10" s="38" t="n">
        <f aca="false">IF($B10="","",ROW()-3)</f>
        <v>7</v>
      </c>
      <c r="B10" s="31" t="s">
        <v>129</v>
      </c>
      <c r="C10" s="31" t="s">
        <v>130</v>
      </c>
      <c r="D10" s="31" t="s">
        <v>131</v>
      </c>
      <c r="E10" s="31" t="s">
        <v>143</v>
      </c>
      <c r="F10" s="32" t="n">
        <v>46083</v>
      </c>
      <c r="G10" s="32"/>
      <c r="H10" s="31" t="s">
        <v>142</v>
      </c>
      <c r="I10" s="31" t="s">
        <v>67</v>
      </c>
      <c r="J10" s="33" t="n">
        <v>30</v>
      </c>
      <c r="K10" s="34" t="n">
        <v>2028447.33</v>
      </c>
      <c r="L10" s="34" t="n">
        <v>562560.09</v>
      </c>
      <c r="M10" s="34" t="n">
        <v>0</v>
      </c>
      <c r="N10" s="39" t="n">
        <f aca="false">IF($K10="","",$K10-N($L10)-N($M10))</f>
        <v>1465887.24</v>
      </c>
      <c r="O10" s="31" t="s">
        <v>68</v>
      </c>
      <c r="P10" s="31" t="s">
        <v>68</v>
      </c>
      <c r="Q10" s="31"/>
      <c r="R10" s="32"/>
      <c r="S10" s="32"/>
      <c r="T10" s="32"/>
      <c r="U10" s="32"/>
      <c r="V10" s="31" t="s">
        <v>134</v>
      </c>
      <c r="W10" s="40" t="n">
        <f aca="false">IF(OR($F10="",$J10=""),"",$F10+$J10)</f>
        <v>46113</v>
      </c>
      <c r="X10" s="32"/>
      <c r="Y10" s="34"/>
      <c r="Z10" s="31"/>
      <c r="AA10" s="31"/>
      <c r="AB10" s="32"/>
      <c r="AC10" s="31"/>
      <c r="AD10" s="32"/>
      <c r="AE10" s="31"/>
      <c r="AF10" s="41" t="str">
        <f aca="false">IF(OR($R10="",$S10=""),"",$S10-$R10)</f>
        <v/>
      </c>
      <c r="AG10" s="41" t="str">
        <f aca="false">IF(OR($S10="",$T10=""),"",$T10-$S10)</f>
        <v/>
      </c>
      <c r="AH10" s="41" t="str">
        <f aca="false">IF(OR($T10="",$U10=""),"",$U10-$T10)</f>
        <v/>
      </c>
      <c r="AI10" s="41" t="str">
        <f aca="false">IF(OR($R10="",$U10=""),"",$U10-$R10)</f>
        <v/>
      </c>
      <c r="AJ10" s="41" t="str">
        <f aca="false">IF(OR($U10="",$AB10=""),"",$AB10-$U10)</f>
        <v/>
      </c>
      <c r="AK10" s="41" t="str">
        <f aca="false">IF(OR($R10="",$AD10=""),"",$AD10-$R10)</f>
        <v/>
      </c>
      <c r="AL10" s="31"/>
      <c r="AM10" s="32"/>
      <c r="AN10" s="31" t="s">
        <v>135</v>
      </c>
    </row>
    <row r="11" customFormat="false" ht="15" hidden="false" customHeight="true" outlineLevel="0" collapsed="false">
      <c r="A11" s="38" t="n">
        <f aca="false">IF($B11="","",ROW()-3)</f>
        <v>8</v>
      </c>
      <c r="B11" s="31" t="s">
        <v>144</v>
      </c>
      <c r="C11" s="31" t="s">
        <v>145</v>
      </c>
      <c r="D11" s="31" t="s">
        <v>131</v>
      </c>
      <c r="E11" s="31" t="s">
        <v>146</v>
      </c>
      <c r="F11" s="32" t="n">
        <v>46087</v>
      </c>
      <c r="G11" s="32"/>
      <c r="H11" s="31" t="s">
        <v>139</v>
      </c>
      <c r="I11" s="31" t="s">
        <v>69</v>
      </c>
      <c r="J11" s="33" t="n">
        <v>30</v>
      </c>
      <c r="K11" s="34" t="n">
        <v>2993255.52</v>
      </c>
      <c r="L11" s="34" t="n">
        <v>2993255.52</v>
      </c>
      <c r="M11" s="34" t="n">
        <v>0</v>
      </c>
      <c r="N11" s="39" t="n">
        <f aca="false">IF($K11="","",$K11-N($L11)-N($M11))</f>
        <v>0</v>
      </c>
      <c r="O11" s="31" t="s">
        <v>68</v>
      </c>
      <c r="P11" s="31" t="s">
        <v>68</v>
      </c>
      <c r="Q11" s="31"/>
      <c r="R11" s="32"/>
      <c r="S11" s="32"/>
      <c r="T11" s="32"/>
      <c r="U11" s="32"/>
      <c r="V11" s="31" t="s">
        <v>134</v>
      </c>
      <c r="W11" s="40" t="n">
        <f aca="false">IF(OR($F11="",$J11=""),"",$F11+$J11)</f>
        <v>46117</v>
      </c>
      <c r="X11" s="32"/>
      <c r="Y11" s="34"/>
      <c r="Z11" s="31"/>
      <c r="AA11" s="31"/>
      <c r="AB11" s="32"/>
      <c r="AC11" s="31"/>
      <c r="AD11" s="32"/>
      <c r="AE11" s="31"/>
      <c r="AF11" s="41" t="str">
        <f aca="false">IF(OR($R11="",$S11=""),"",$S11-$R11)</f>
        <v/>
      </c>
      <c r="AG11" s="41" t="str">
        <f aca="false">IF(OR($S11="",$T11=""),"",$T11-$S11)</f>
        <v/>
      </c>
      <c r="AH11" s="41" t="str">
        <f aca="false">IF(OR($T11="",$U11=""),"",$U11-$T11)</f>
        <v/>
      </c>
      <c r="AI11" s="41" t="str">
        <f aca="false">IF(OR($R11="",$U11=""),"",$U11-$R11)</f>
        <v/>
      </c>
      <c r="AJ11" s="41" t="str">
        <f aca="false">IF(OR($U11="",$AB11=""),"",$AB11-$U11)</f>
        <v/>
      </c>
      <c r="AK11" s="41" t="str">
        <f aca="false">IF(OR($R11="",$AD11=""),"",$AD11-$R11)</f>
        <v/>
      </c>
      <c r="AL11" s="31"/>
      <c r="AM11" s="32"/>
      <c r="AN11" s="31" t="s">
        <v>135</v>
      </c>
    </row>
    <row r="12" customFormat="false" ht="15" hidden="false" customHeight="true" outlineLevel="0" collapsed="false">
      <c r="A12" s="38" t="n">
        <f aca="false">IF($B12="","",ROW()-3)</f>
        <v>9</v>
      </c>
      <c r="B12" s="31" t="s">
        <v>147</v>
      </c>
      <c r="C12" s="31" t="s">
        <v>148</v>
      </c>
      <c r="D12" s="31" t="s">
        <v>131</v>
      </c>
      <c r="E12" s="31" t="s">
        <v>149</v>
      </c>
      <c r="F12" s="32" t="n">
        <v>46090</v>
      </c>
      <c r="G12" s="32"/>
      <c r="H12" s="31" t="s">
        <v>139</v>
      </c>
      <c r="I12" s="31" t="s">
        <v>71</v>
      </c>
      <c r="J12" s="33" t="n">
        <v>45</v>
      </c>
      <c r="K12" s="34" t="n">
        <v>113487.37</v>
      </c>
      <c r="L12" s="34" t="n">
        <v>8400</v>
      </c>
      <c r="M12" s="34" t="n">
        <v>0</v>
      </c>
      <c r="N12" s="39" t="n">
        <f aca="false">IF($K12="","",$K12-N($L12)-N($M12))</f>
        <v>105087.37</v>
      </c>
      <c r="O12" s="31" t="s">
        <v>68</v>
      </c>
      <c r="P12" s="31" t="s">
        <v>68</v>
      </c>
      <c r="Q12" s="31"/>
      <c r="R12" s="32"/>
      <c r="S12" s="32"/>
      <c r="T12" s="32"/>
      <c r="U12" s="32"/>
      <c r="V12" s="31" t="s">
        <v>134</v>
      </c>
      <c r="W12" s="40" t="n">
        <f aca="false">IF(OR($F12="",$J12=""),"",$F12+$J12)</f>
        <v>46135</v>
      </c>
      <c r="X12" s="32"/>
      <c r="Y12" s="34"/>
      <c r="Z12" s="31"/>
      <c r="AA12" s="31"/>
      <c r="AB12" s="32"/>
      <c r="AC12" s="31"/>
      <c r="AD12" s="32"/>
      <c r="AE12" s="31"/>
      <c r="AF12" s="41" t="str">
        <f aca="false">IF(OR($R12="",$S12=""),"",$S12-$R12)</f>
        <v/>
      </c>
      <c r="AG12" s="41" t="str">
        <f aca="false">IF(OR($S12="",$T12=""),"",$T12-$S12)</f>
        <v/>
      </c>
      <c r="AH12" s="41" t="str">
        <f aca="false">IF(OR($T12="",$U12=""),"",$U12-$T12)</f>
        <v/>
      </c>
      <c r="AI12" s="41" t="str">
        <f aca="false">IF(OR($R12="",$U12=""),"",$U12-$R12)</f>
        <v/>
      </c>
      <c r="AJ12" s="41" t="str">
        <f aca="false">IF(OR($U12="",$AB12=""),"",$AB12-$U12)</f>
        <v/>
      </c>
      <c r="AK12" s="41" t="str">
        <f aca="false">IF(OR($R12="",$AD12=""),"",$AD12-$R12)</f>
        <v/>
      </c>
      <c r="AL12" s="31"/>
      <c r="AM12" s="32"/>
      <c r="AN12" s="31" t="s">
        <v>135</v>
      </c>
    </row>
    <row r="13" customFormat="false" ht="15" hidden="false" customHeight="true" outlineLevel="0" collapsed="false">
      <c r="A13" s="38" t="n">
        <f aca="false">IF($B13="","",ROW()-3)</f>
        <v>10</v>
      </c>
      <c r="B13" s="31" t="s">
        <v>147</v>
      </c>
      <c r="C13" s="31" t="s">
        <v>148</v>
      </c>
      <c r="D13" s="31" t="s">
        <v>131</v>
      </c>
      <c r="E13" s="31" t="s">
        <v>150</v>
      </c>
      <c r="F13" s="32" t="n">
        <v>46090</v>
      </c>
      <c r="G13" s="32"/>
      <c r="H13" s="31" t="s">
        <v>139</v>
      </c>
      <c r="I13" s="31" t="s">
        <v>69</v>
      </c>
      <c r="J13" s="33" t="n">
        <v>45</v>
      </c>
      <c r="K13" s="34" t="n">
        <v>1296612.84</v>
      </c>
      <c r="L13" s="34" t="n">
        <v>518860.75</v>
      </c>
      <c r="M13" s="34" t="n">
        <v>0</v>
      </c>
      <c r="N13" s="39" t="n">
        <f aca="false">IF($K13="","",$K13-N($L13)-N($M13))</f>
        <v>777752.09</v>
      </c>
      <c r="O13" s="31" t="s">
        <v>68</v>
      </c>
      <c r="P13" s="31" t="s">
        <v>68</v>
      </c>
      <c r="Q13" s="31"/>
      <c r="R13" s="32"/>
      <c r="S13" s="32"/>
      <c r="T13" s="32"/>
      <c r="U13" s="32"/>
      <c r="V13" s="31" t="s">
        <v>134</v>
      </c>
      <c r="W13" s="40" t="n">
        <f aca="false">IF(OR($F13="",$J13=""),"",$F13+$J13)</f>
        <v>46135</v>
      </c>
      <c r="X13" s="32"/>
      <c r="Y13" s="34"/>
      <c r="Z13" s="31"/>
      <c r="AA13" s="31"/>
      <c r="AB13" s="32"/>
      <c r="AC13" s="31"/>
      <c r="AD13" s="32"/>
      <c r="AE13" s="31"/>
      <c r="AF13" s="41" t="str">
        <f aca="false">IF(OR($R13="",$S13=""),"",$S13-$R13)</f>
        <v/>
      </c>
      <c r="AG13" s="41" t="str">
        <f aca="false">IF(OR($S13="",$T13=""),"",$T13-$S13)</f>
        <v/>
      </c>
      <c r="AH13" s="41" t="str">
        <f aca="false">IF(OR($T13="",$U13=""),"",$U13-$T13)</f>
        <v/>
      </c>
      <c r="AI13" s="41" t="str">
        <f aca="false">IF(OR($R13="",$U13=""),"",$U13-$R13)</f>
        <v/>
      </c>
      <c r="AJ13" s="41" t="str">
        <f aca="false">IF(OR($U13="",$AB13=""),"",$AB13-$U13)</f>
        <v/>
      </c>
      <c r="AK13" s="41" t="str">
        <f aca="false">IF(OR($R13="",$AD13=""),"",$AD13-$R13)</f>
        <v/>
      </c>
      <c r="AL13" s="31"/>
      <c r="AM13" s="32"/>
      <c r="AN13" s="31" t="s">
        <v>135</v>
      </c>
    </row>
    <row r="14" customFormat="false" ht="15" hidden="false" customHeight="true" outlineLevel="0" collapsed="false">
      <c r="A14" s="38" t="n">
        <f aca="false">IF($B14="","",ROW()-3)</f>
        <v>11</v>
      </c>
      <c r="B14" s="31" t="s">
        <v>147</v>
      </c>
      <c r="C14" s="31" t="s">
        <v>148</v>
      </c>
      <c r="D14" s="31" t="s">
        <v>131</v>
      </c>
      <c r="E14" s="31" t="s">
        <v>151</v>
      </c>
      <c r="F14" s="32" t="n">
        <v>46090</v>
      </c>
      <c r="G14" s="32"/>
      <c r="H14" s="31" t="s">
        <v>139</v>
      </c>
      <c r="I14" s="31" t="s">
        <v>67</v>
      </c>
      <c r="J14" s="33" t="n">
        <v>45</v>
      </c>
      <c r="K14" s="34" t="n">
        <v>4854948.2</v>
      </c>
      <c r="L14" s="34" t="n">
        <v>247299.75</v>
      </c>
      <c r="M14" s="34" t="n">
        <v>0</v>
      </c>
      <c r="N14" s="39" t="n">
        <f aca="false">IF($K14="","",$K14-N($L14)-N($M14))</f>
        <v>4607648.45</v>
      </c>
      <c r="O14" s="31" t="s">
        <v>68</v>
      </c>
      <c r="P14" s="31" t="s">
        <v>68</v>
      </c>
      <c r="Q14" s="31"/>
      <c r="R14" s="32"/>
      <c r="S14" s="32"/>
      <c r="T14" s="32"/>
      <c r="U14" s="32"/>
      <c r="V14" s="31" t="s">
        <v>134</v>
      </c>
      <c r="W14" s="40" t="n">
        <f aca="false">IF(OR($F14="",$J14=""),"",$F14+$J14)</f>
        <v>46135</v>
      </c>
      <c r="X14" s="32"/>
      <c r="Y14" s="34"/>
      <c r="Z14" s="31"/>
      <c r="AA14" s="31"/>
      <c r="AB14" s="32"/>
      <c r="AC14" s="31"/>
      <c r="AD14" s="32"/>
      <c r="AE14" s="31"/>
      <c r="AF14" s="41" t="str">
        <f aca="false">IF(OR($R14="",$S14=""),"",$S14-$R14)</f>
        <v/>
      </c>
      <c r="AG14" s="41" t="str">
        <f aca="false">IF(OR($S14="",$T14=""),"",$T14-$S14)</f>
        <v/>
      </c>
      <c r="AH14" s="41" t="str">
        <f aca="false">IF(OR($T14="",$U14=""),"",$U14-$T14)</f>
        <v/>
      </c>
      <c r="AI14" s="41" t="str">
        <f aca="false">IF(OR($R14="",$U14=""),"",$U14-$R14)</f>
        <v/>
      </c>
      <c r="AJ14" s="41" t="str">
        <f aca="false">IF(OR($U14="",$AB14=""),"",$AB14-$U14)</f>
        <v/>
      </c>
      <c r="AK14" s="41" t="str">
        <f aca="false">IF(OR($R14="",$AD14=""),"",$AD14-$R14)</f>
        <v/>
      </c>
      <c r="AL14" s="31"/>
      <c r="AM14" s="32"/>
      <c r="AN14" s="31" t="s">
        <v>135</v>
      </c>
    </row>
    <row r="15" customFormat="false" ht="15" hidden="false" customHeight="true" outlineLevel="0" collapsed="false">
      <c r="A15" s="38" t="n">
        <f aca="false">IF($B15="","",ROW()-3)</f>
        <v>12</v>
      </c>
      <c r="B15" s="31" t="s">
        <v>147</v>
      </c>
      <c r="C15" s="31" t="s">
        <v>148</v>
      </c>
      <c r="D15" s="31" t="s">
        <v>131</v>
      </c>
      <c r="E15" s="31" t="s">
        <v>152</v>
      </c>
      <c r="F15" s="32" t="n">
        <v>46090</v>
      </c>
      <c r="G15" s="32"/>
      <c r="H15" s="31" t="s">
        <v>139</v>
      </c>
      <c r="I15" s="31" t="s">
        <v>75</v>
      </c>
      <c r="J15" s="33" t="n">
        <v>45</v>
      </c>
      <c r="K15" s="34" t="n">
        <v>125892.02</v>
      </c>
      <c r="L15" s="34" t="n">
        <v>5600</v>
      </c>
      <c r="M15" s="34" t="n">
        <v>0</v>
      </c>
      <c r="N15" s="39" t="n">
        <f aca="false">IF($K15="","",$K15-N($L15)-N($M15))</f>
        <v>120292.02</v>
      </c>
      <c r="O15" s="31" t="s">
        <v>68</v>
      </c>
      <c r="P15" s="31" t="s">
        <v>68</v>
      </c>
      <c r="Q15" s="31"/>
      <c r="R15" s="32"/>
      <c r="S15" s="32"/>
      <c r="T15" s="32"/>
      <c r="U15" s="32"/>
      <c r="V15" s="31" t="s">
        <v>134</v>
      </c>
      <c r="W15" s="40" t="n">
        <f aca="false">IF(OR($F15="",$J15=""),"",$F15+$J15)</f>
        <v>46135</v>
      </c>
      <c r="X15" s="32"/>
      <c r="Y15" s="34"/>
      <c r="Z15" s="31"/>
      <c r="AA15" s="31"/>
      <c r="AB15" s="32"/>
      <c r="AC15" s="31"/>
      <c r="AD15" s="32"/>
      <c r="AE15" s="31"/>
      <c r="AF15" s="41" t="str">
        <f aca="false">IF(OR($R15="",$S15=""),"",$S15-$R15)</f>
        <v/>
      </c>
      <c r="AG15" s="41" t="str">
        <f aca="false">IF(OR($S15="",$T15=""),"",$T15-$S15)</f>
        <v/>
      </c>
      <c r="AH15" s="41" t="str">
        <f aca="false">IF(OR($T15="",$U15=""),"",$U15-$T15)</f>
        <v/>
      </c>
      <c r="AI15" s="41" t="str">
        <f aca="false">IF(OR($R15="",$U15=""),"",$U15-$R15)</f>
        <v/>
      </c>
      <c r="AJ15" s="41" t="str">
        <f aca="false">IF(OR($U15="",$AB15=""),"",$AB15-$U15)</f>
        <v/>
      </c>
      <c r="AK15" s="41" t="str">
        <f aca="false">IF(OR($R15="",$AD15=""),"",$AD15-$R15)</f>
        <v/>
      </c>
      <c r="AL15" s="31"/>
      <c r="AM15" s="32"/>
      <c r="AN15" s="31" t="s">
        <v>135</v>
      </c>
    </row>
    <row r="16" customFormat="false" ht="15" hidden="false" customHeight="true" outlineLevel="0" collapsed="false">
      <c r="A16" s="38" t="n">
        <f aca="false">IF($B16="","",ROW()-3)</f>
        <v>13</v>
      </c>
      <c r="B16" s="31" t="s">
        <v>153</v>
      </c>
      <c r="C16" s="31" t="s">
        <v>154</v>
      </c>
      <c r="D16" s="31" t="s">
        <v>131</v>
      </c>
      <c r="E16" s="31" t="s">
        <v>155</v>
      </c>
      <c r="F16" s="32" t="n">
        <v>46091</v>
      </c>
      <c r="G16" s="32"/>
      <c r="H16" s="31" t="s">
        <v>139</v>
      </c>
      <c r="I16" s="31" t="s">
        <v>69</v>
      </c>
      <c r="J16" s="33" t="n">
        <v>45</v>
      </c>
      <c r="K16" s="34" t="n">
        <v>15000</v>
      </c>
      <c r="L16" s="34" t="n">
        <v>0</v>
      </c>
      <c r="M16" s="34" t="n">
        <v>0</v>
      </c>
      <c r="N16" s="39" t="n">
        <f aca="false">IF($K16="","",$K16-N($L16)-N($M16))</f>
        <v>15000</v>
      </c>
      <c r="O16" s="31" t="s">
        <v>68</v>
      </c>
      <c r="P16" s="31" t="s">
        <v>68</v>
      </c>
      <c r="Q16" s="31"/>
      <c r="R16" s="32"/>
      <c r="S16" s="32"/>
      <c r="T16" s="32"/>
      <c r="U16" s="32"/>
      <c r="V16" s="31" t="s">
        <v>134</v>
      </c>
      <c r="W16" s="40" t="n">
        <f aca="false">IF(OR($F16="",$J16=""),"",$F16+$J16)</f>
        <v>46136</v>
      </c>
      <c r="X16" s="32"/>
      <c r="Y16" s="34"/>
      <c r="Z16" s="31"/>
      <c r="AA16" s="31"/>
      <c r="AB16" s="32"/>
      <c r="AC16" s="31"/>
      <c r="AD16" s="32"/>
      <c r="AE16" s="31"/>
      <c r="AF16" s="41" t="str">
        <f aca="false">IF(OR($R16="",$S16=""),"",$S16-$R16)</f>
        <v/>
      </c>
      <c r="AG16" s="41" t="str">
        <f aca="false">IF(OR($S16="",$T16=""),"",$T16-$S16)</f>
        <v/>
      </c>
      <c r="AH16" s="41" t="str">
        <f aca="false">IF(OR($T16="",$U16=""),"",$U16-$T16)</f>
        <v/>
      </c>
      <c r="AI16" s="41" t="str">
        <f aca="false">IF(OR($R16="",$U16=""),"",$U16-$R16)</f>
        <v/>
      </c>
      <c r="AJ16" s="41" t="str">
        <f aca="false">IF(OR($U16="",$AB16=""),"",$AB16-$U16)</f>
        <v/>
      </c>
      <c r="AK16" s="41" t="str">
        <f aca="false">IF(OR($R16="",$AD16=""),"",$AD16-$R16)</f>
        <v/>
      </c>
      <c r="AL16" s="31"/>
      <c r="AM16" s="32"/>
      <c r="AN16" s="31" t="s">
        <v>135</v>
      </c>
    </row>
    <row r="17" customFormat="false" ht="15" hidden="false" customHeight="true" outlineLevel="0" collapsed="false">
      <c r="A17" s="38" t="n">
        <f aca="false">IF($B17="","",ROW()-3)</f>
        <v>14</v>
      </c>
      <c r="B17" s="31" t="s">
        <v>153</v>
      </c>
      <c r="C17" s="31" t="s">
        <v>154</v>
      </c>
      <c r="D17" s="31" t="s">
        <v>131</v>
      </c>
      <c r="E17" s="31" t="s">
        <v>156</v>
      </c>
      <c r="F17" s="32" t="n">
        <v>46091</v>
      </c>
      <c r="G17" s="32"/>
      <c r="H17" s="31" t="s">
        <v>139</v>
      </c>
      <c r="I17" s="31" t="s">
        <v>67</v>
      </c>
      <c r="J17" s="33" t="n">
        <v>45</v>
      </c>
      <c r="K17" s="34" t="n">
        <v>22460</v>
      </c>
      <c r="L17" s="34" t="n">
        <v>0</v>
      </c>
      <c r="M17" s="34" t="n">
        <v>0</v>
      </c>
      <c r="N17" s="39" t="n">
        <f aca="false">IF($K17="","",$K17-N($L17)-N($M17))</f>
        <v>22460</v>
      </c>
      <c r="O17" s="31" t="s">
        <v>68</v>
      </c>
      <c r="P17" s="31" t="s">
        <v>68</v>
      </c>
      <c r="Q17" s="31"/>
      <c r="R17" s="32"/>
      <c r="S17" s="32"/>
      <c r="T17" s="32"/>
      <c r="U17" s="32"/>
      <c r="V17" s="31" t="s">
        <v>134</v>
      </c>
      <c r="W17" s="40" t="n">
        <f aca="false">IF(OR($F17="",$J17=""),"",$F17+$J17)</f>
        <v>46136</v>
      </c>
      <c r="X17" s="32"/>
      <c r="Y17" s="34"/>
      <c r="Z17" s="31"/>
      <c r="AA17" s="31"/>
      <c r="AB17" s="32"/>
      <c r="AC17" s="31"/>
      <c r="AD17" s="32"/>
      <c r="AE17" s="31"/>
      <c r="AF17" s="41" t="str">
        <f aca="false">IF(OR($R17="",$S17=""),"",$S17-$R17)</f>
        <v/>
      </c>
      <c r="AG17" s="41" t="str">
        <f aca="false">IF(OR($S17="",$T17=""),"",$T17-$S17)</f>
        <v/>
      </c>
      <c r="AH17" s="41" t="str">
        <f aca="false">IF(OR($T17="",$U17=""),"",$U17-$T17)</f>
        <v/>
      </c>
      <c r="AI17" s="41" t="str">
        <f aca="false">IF(OR($R17="",$U17=""),"",$U17-$R17)</f>
        <v/>
      </c>
      <c r="AJ17" s="41" t="str">
        <f aca="false">IF(OR($U17="",$AB17=""),"",$AB17-$U17)</f>
        <v/>
      </c>
      <c r="AK17" s="41" t="str">
        <f aca="false">IF(OR($R17="",$AD17=""),"",$AD17-$R17)</f>
        <v/>
      </c>
      <c r="AL17" s="31"/>
      <c r="AM17" s="32"/>
      <c r="AN17" s="31" t="s">
        <v>135</v>
      </c>
    </row>
    <row r="18" customFormat="false" ht="15" hidden="false" customHeight="true" outlineLevel="0" collapsed="false">
      <c r="A18" s="38" t="n">
        <f aca="false">IF($B18="","",ROW()-3)</f>
        <v>15</v>
      </c>
      <c r="B18" s="31" t="s">
        <v>157</v>
      </c>
      <c r="C18" s="31" t="s">
        <v>158</v>
      </c>
      <c r="D18" s="31" t="s">
        <v>131</v>
      </c>
      <c r="E18" s="31" t="s">
        <v>159</v>
      </c>
      <c r="F18" s="32" t="n">
        <v>46090</v>
      </c>
      <c r="G18" s="32"/>
      <c r="H18" s="31" t="s">
        <v>139</v>
      </c>
      <c r="I18" s="31" t="s">
        <v>67</v>
      </c>
      <c r="J18" s="33" t="n">
        <v>45</v>
      </c>
      <c r="K18" s="34" t="n">
        <v>25767642</v>
      </c>
      <c r="L18" s="34" t="n">
        <v>1687642</v>
      </c>
      <c r="M18" s="34" t="n">
        <v>0</v>
      </c>
      <c r="N18" s="39" t="n">
        <f aca="false">IF($K18="","",$K18-N($L18)-N($M18))</f>
        <v>24080000</v>
      </c>
      <c r="O18" s="31" t="s">
        <v>68</v>
      </c>
      <c r="P18" s="31" t="s">
        <v>68</v>
      </c>
      <c r="Q18" s="31"/>
      <c r="R18" s="32"/>
      <c r="S18" s="32"/>
      <c r="T18" s="32"/>
      <c r="U18" s="32"/>
      <c r="V18" s="31" t="s">
        <v>134</v>
      </c>
      <c r="W18" s="40" t="n">
        <f aca="false">IF(OR($F18="",$J18=""),"",$F18+$J18)</f>
        <v>46135</v>
      </c>
      <c r="X18" s="32"/>
      <c r="Y18" s="34"/>
      <c r="Z18" s="31"/>
      <c r="AA18" s="31"/>
      <c r="AB18" s="32"/>
      <c r="AC18" s="31"/>
      <c r="AD18" s="32"/>
      <c r="AE18" s="31"/>
      <c r="AF18" s="41" t="str">
        <f aca="false">IF(OR($R18="",$S18=""),"",$S18-$R18)</f>
        <v/>
      </c>
      <c r="AG18" s="41" t="str">
        <f aca="false">IF(OR($S18="",$T18=""),"",$T18-$S18)</f>
        <v/>
      </c>
      <c r="AH18" s="41" t="str">
        <f aca="false">IF(OR($T18="",$U18=""),"",$U18-$T18)</f>
        <v/>
      </c>
      <c r="AI18" s="41" t="str">
        <f aca="false">IF(OR($R18="",$U18=""),"",$U18-$R18)</f>
        <v/>
      </c>
      <c r="AJ18" s="41" t="str">
        <f aca="false">IF(OR($U18="",$AB18=""),"",$AB18-$U18)</f>
        <v/>
      </c>
      <c r="AK18" s="41" t="str">
        <f aca="false">IF(OR($R18="",$AD18=""),"",$AD18-$R18)</f>
        <v/>
      </c>
      <c r="AL18" s="31"/>
      <c r="AM18" s="32"/>
      <c r="AN18" s="31" t="s">
        <v>135</v>
      </c>
    </row>
    <row r="19" customFormat="false" ht="15" hidden="false" customHeight="true" outlineLevel="0" collapsed="false">
      <c r="A19" s="38" t="n">
        <f aca="false">IF($B19="","",ROW()-3)</f>
        <v>16</v>
      </c>
      <c r="B19" s="31" t="s">
        <v>157</v>
      </c>
      <c r="C19" s="31" t="s">
        <v>158</v>
      </c>
      <c r="D19" s="31" t="s">
        <v>131</v>
      </c>
      <c r="E19" s="31" t="s">
        <v>160</v>
      </c>
      <c r="F19" s="32" t="n">
        <v>46086</v>
      </c>
      <c r="G19" s="32"/>
      <c r="H19" s="31" t="s">
        <v>139</v>
      </c>
      <c r="I19" s="31" t="s">
        <v>69</v>
      </c>
      <c r="J19" s="33" t="n">
        <v>45</v>
      </c>
      <c r="K19" s="34" t="n">
        <v>7363524</v>
      </c>
      <c r="L19" s="34" t="n">
        <v>3708</v>
      </c>
      <c r="M19" s="34" t="n">
        <v>0</v>
      </c>
      <c r="N19" s="39" t="n">
        <f aca="false">IF($K19="","",$K19-N($L19)-N($M19))</f>
        <v>7359816</v>
      </c>
      <c r="O19" s="31" t="s">
        <v>68</v>
      </c>
      <c r="P19" s="31" t="s">
        <v>68</v>
      </c>
      <c r="Q19" s="31"/>
      <c r="R19" s="32"/>
      <c r="S19" s="32"/>
      <c r="T19" s="32"/>
      <c r="U19" s="32"/>
      <c r="V19" s="31" t="s">
        <v>134</v>
      </c>
      <c r="W19" s="40" t="n">
        <f aca="false">IF(OR($F19="",$J19=""),"",$F19+$J19)</f>
        <v>46131</v>
      </c>
      <c r="X19" s="32"/>
      <c r="Y19" s="34"/>
      <c r="Z19" s="31"/>
      <c r="AA19" s="31"/>
      <c r="AB19" s="32"/>
      <c r="AC19" s="31"/>
      <c r="AD19" s="32"/>
      <c r="AE19" s="31"/>
      <c r="AF19" s="41" t="str">
        <f aca="false">IF(OR($R19="",$S19=""),"",$S19-$R19)</f>
        <v/>
      </c>
      <c r="AG19" s="41" t="str">
        <f aca="false">IF(OR($S19="",$T19=""),"",$T19-$S19)</f>
        <v/>
      </c>
      <c r="AH19" s="41" t="str">
        <f aca="false">IF(OR($T19="",$U19=""),"",$U19-$T19)</f>
        <v/>
      </c>
      <c r="AI19" s="41" t="str">
        <f aca="false">IF(OR($R19="",$U19=""),"",$U19-$R19)</f>
        <v/>
      </c>
      <c r="AJ19" s="41" t="str">
        <f aca="false">IF(OR($U19="",$AB19=""),"",$AB19-$U19)</f>
        <v/>
      </c>
      <c r="AK19" s="41" t="str">
        <f aca="false">IF(OR($R19="",$AD19=""),"",$AD19-$R19)</f>
        <v/>
      </c>
      <c r="AL19" s="31"/>
      <c r="AM19" s="32"/>
      <c r="AN19" s="31" t="s">
        <v>135</v>
      </c>
    </row>
    <row r="20" customFormat="false" ht="15" hidden="false" customHeight="true" outlineLevel="0" collapsed="false">
      <c r="A20" s="38" t="n">
        <f aca="false">IF($B20="","",ROW()-3)</f>
        <v>17</v>
      </c>
      <c r="B20" s="31" t="s">
        <v>161</v>
      </c>
      <c r="C20" s="31" t="s">
        <v>162</v>
      </c>
      <c r="D20" s="31" t="s">
        <v>131</v>
      </c>
      <c r="E20" s="31" t="s">
        <v>163</v>
      </c>
      <c r="F20" s="32" t="n">
        <v>46084</v>
      </c>
      <c r="G20" s="32"/>
      <c r="H20" s="31" t="s">
        <v>139</v>
      </c>
      <c r="I20" s="31" t="s">
        <v>67</v>
      </c>
      <c r="J20" s="33" t="n">
        <v>60</v>
      </c>
      <c r="K20" s="34" t="n">
        <v>147144</v>
      </c>
      <c r="L20" s="34" t="n">
        <v>36536.56</v>
      </c>
      <c r="M20" s="34" t="n">
        <v>0</v>
      </c>
      <c r="N20" s="39" t="n">
        <f aca="false">IF($K20="","",$K20-N($L20)-N($M20))</f>
        <v>110607.44</v>
      </c>
      <c r="O20" s="31" t="s">
        <v>68</v>
      </c>
      <c r="P20" s="31" t="s">
        <v>68</v>
      </c>
      <c r="Q20" s="31"/>
      <c r="R20" s="32"/>
      <c r="S20" s="32"/>
      <c r="T20" s="32"/>
      <c r="U20" s="32"/>
      <c r="V20" s="31" t="s">
        <v>134</v>
      </c>
      <c r="W20" s="40" t="n">
        <f aca="false">IF(OR($F20="",$J20=""),"",$F20+$J20)</f>
        <v>46144</v>
      </c>
      <c r="X20" s="32"/>
      <c r="Y20" s="34"/>
      <c r="Z20" s="31"/>
      <c r="AA20" s="31"/>
      <c r="AB20" s="32"/>
      <c r="AC20" s="31"/>
      <c r="AD20" s="32"/>
      <c r="AE20" s="31"/>
      <c r="AF20" s="41" t="str">
        <f aca="false">IF(OR($R20="",$S20=""),"",$S20-$R20)</f>
        <v/>
      </c>
      <c r="AG20" s="41" t="str">
        <f aca="false">IF(OR($S20="",$T20=""),"",$T20-$S20)</f>
        <v/>
      </c>
      <c r="AH20" s="41" t="str">
        <f aca="false">IF(OR($T20="",$U20=""),"",$U20-$T20)</f>
        <v/>
      </c>
      <c r="AI20" s="41" t="str">
        <f aca="false">IF(OR($R20="",$U20=""),"",$U20-$R20)</f>
        <v/>
      </c>
      <c r="AJ20" s="41" t="str">
        <f aca="false">IF(OR($U20="",$AB20=""),"",$AB20-$U20)</f>
        <v/>
      </c>
      <c r="AK20" s="41" t="str">
        <f aca="false">IF(OR($R20="",$AD20=""),"",$AD20-$R20)</f>
        <v/>
      </c>
      <c r="AL20" s="31"/>
      <c r="AM20" s="32"/>
      <c r="AN20" s="31" t="s">
        <v>135</v>
      </c>
    </row>
    <row r="21" customFormat="false" ht="15" hidden="false" customHeight="true" outlineLevel="0" collapsed="false">
      <c r="A21" s="38" t="n">
        <f aca="false">IF($B21="","",ROW()-3)</f>
        <v>18</v>
      </c>
      <c r="B21" s="31" t="s">
        <v>164</v>
      </c>
      <c r="C21" s="31" t="s">
        <v>165</v>
      </c>
      <c r="D21" s="31" t="s">
        <v>131</v>
      </c>
      <c r="E21" s="31" t="s">
        <v>166</v>
      </c>
      <c r="F21" s="32" t="n">
        <v>46086</v>
      </c>
      <c r="G21" s="32"/>
      <c r="H21" s="31" t="s">
        <v>167</v>
      </c>
      <c r="I21" s="31" t="s">
        <v>69</v>
      </c>
      <c r="J21" s="33" t="n">
        <v>60</v>
      </c>
      <c r="K21" s="34" t="n">
        <v>700582.15</v>
      </c>
      <c r="L21" s="34" t="n">
        <v>0</v>
      </c>
      <c r="M21" s="34" t="n">
        <v>0</v>
      </c>
      <c r="N21" s="39" t="n">
        <f aca="false">IF($K21="","",$K21-N($L21)-N($M21))</f>
        <v>700582.15</v>
      </c>
      <c r="O21" s="31" t="s">
        <v>68</v>
      </c>
      <c r="P21" s="31" t="s">
        <v>68</v>
      </c>
      <c r="Q21" s="31"/>
      <c r="R21" s="32"/>
      <c r="S21" s="32"/>
      <c r="T21" s="32"/>
      <c r="U21" s="32"/>
      <c r="V21" s="31" t="s">
        <v>134</v>
      </c>
      <c r="W21" s="40" t="n">
        <f aca="false">IF(OR($F21="",$J21=""),"",$F21+$J21)</f>
        <v>46146</v>
      </c>
      <c r="X21" s="32"/>
      <c r="Y21" s="34"/>
      <c r="Z21" s="31"/>
      <c r="AA21" s="31"/>
      <c r="AB21" s="32"/>
      <c r="AC21" s="31"/>
      <c r="AD21" s="32"/>
      <c r="AE21" s="31"/>
      <c r="AF21" s="41" t="str">
        <f aca="false">IF(OR($R21="",$S21=""),"",$S21-$R21)</f>
        <v/>
      </c>
      <c r="AG21" s="41" t="str">
        <f aca="false">IF(OR($S21="",$T21=""),"",$T21-$S21)</f>
        <v/>
      </c>
      <c r="AH21" s="41" t="str">
        <f aca="false">IF(OR($T21="",$U21=""),"",$U21-$T21)</f>
        <v/>
      </c>
      <c r="AI21" s="41" t="str">
        <f aca="false">IF(OR($R21="",$U21=""),"",$U21-$R21)</f>
        <v/>
      </c>
      <c r="AJ21" s="41" t="str">
        <f aca="false">IF(OR($U21="",$AB21=""),"",$AB21-$U21)</f>
        <v/>
      </c>
      <c r="AK21" s="41" t="str">
        <f aca="false">IF(OR($R21="",$AD21=""),"",$AD21-$R21)</f>
        <v/>
      </c>
      <c r="AL21" s="31"/>
      <c r="AM21" s="32"/>
      <c r="AN21" s="31" t="s">
        <v>135</v>
      </c>
    </row>
    <row r="22" customFormat="false" ht="15" hidden="false" customHeight="true" outlineLevel="0" collapsed="false">
      <c r="A22" s="38" t="n">
        <f aca="false">IF($B22="","",ROW()-3)</f>
        <v>19</v>
      </c>
      <c r="B22" s="31" t="s">
        <v>164</v>
      </c>
      <c r="C22" s="31" t="s">
        <v>165</v>
      </c>
      <c r="D22" s="31" t="s">
        <v>131</v>
      </c>
      <c r="E22" s="31" t="s">
        <v>168</v>
      </c>
      <c r="F22" s="32" t="n">
        <v>46086</v>
      </c>
      <c r="G22" s="32"/>
      <c r="H22" s="31" t="s">
        <v>167</v>
      </c>
      <c r="I22" s="31" t="s">
        <v>67</v>
      </c>
      <c r="J22" s="33" t="n">
        <v>60</v>
      </c>
      <c r="K22" s="34" t="n">
        <v>31660582.55</v>
      </c>
      <c r="L22" s="34" t="n">
        <v>0</v>
      </c>
      <c r="M22" s="34" t="n">
        <v>12733255.43</v>
      </c>
      <c r="N22" s="39" t="n">
        <f aca="false">IF($K22="","",$K22-N($L22)-N($M22))</f>
        <v>18927327.12</v>
      </c>
      <c r="O22" s="31" t="s">
        <v>68</v>
      </c>
      <c r="P22" s="31" t="s">
        <v>68</v>
      </c>
      <c r="Q22" s="31"/>
      <c r="R22" s="32"/>
      <c r="S22" s="32"/>
      <c r="T22" s="32"/>
      <c r="U22" s="32"/>
      <c r="V22" s="31" t="s">
        <v>134</v>
      </c>
      <c r="W22" s="40" t="n">
        <f aca="false">IF(OR($F22="",$J22=""),"",$F22+$J22)</f>
        <v>46146</v>
      </c>
      <c r="X22" s="32"/>
      <c r="Y22" s="34"/>
      <c r="Z22" s="31"/>
      <c r="AA22" s="31"/>
      <c r="AB22" s="32"/>
      <c r="AC22" s="31"/>
      <c r="AD22" s="32"/>
      <c r="AE22" s="31"/>
      <c r="AF22" s="41" t="str">
        <f aca="false">IF(OR($R22="",$S22=""),"",$S22-$R22)</f>
        <v/>
      </c>
      <c r="AG22" s="41" t="str">
        <f aca="false">IF(OR($S22="",$T22=""),"",$T22-$S22)</f>
        <v/>
      </c>
      <c r="AH22" s="41" t="str">
        <f aca="false">IF(OR($T22="",$U22=""),"",$U22-$T22)</f>
        <v/>
      </c>
      <c r="AI22" s="41" t="str">
        <f aca="false">IF(OR($R22="",$U22=""),"",$U22-$R22)</f>
        <v/>
      </c>
      <c r="AJ22" s="41" t="str">
        <f aca="false">IF(OR($U22="",$AB22=""),"",$AB22-$U22)</f>
        <v/>
      </c>
      <c r="AK22" s="41" t="str">
        <f aca="false">IF(OR($R22="",$AD22=""),"",$AD22-$R22)</f>
        <v/>
      </c>
      <c r="AL22" s="31"/>
      <c r="AM22" s="32"/>
      <c r="AN22" s="31" t="s">
        <v>135</v>
      </c>
    </row>
    <row r="23" customFormat="false" ht="15" hidden="false" customHeight="true" outlineLevel="0" collapsed="false">
      <c r="A23" s="38" t="n">
        <f aca="false">IF($B23="","",ROW()-3)</f>
        <v>20</v>
      </c>
      <c r="B23" s="31" t="s">
        <v>164</v>
      </c>
      <c r="C23" s="31" t="s">
        <v>165</v>
      </c>
      <c r="D23" s="31" t="s">
        <v>131</v>
      </c>
      <c r="E23" s="31" t="s">
        <v>169</v>
      </c>
      <c r="F23" s="32" t="n">
        <v>46086</v>
      </c>
      <c r="G23" s="32"/>
      <c r="H23" s="31" t="s">
        <v>139</v>
      </c>
      <c r="I23" s="31" t="s">
        <v>71</v>
      </c>
      <c r="J23" s="33" t="n">
        <v>30</v>
      </c>
      <c r="K23" s="34" t="n">
        <v>116530</v>
      </c>
      <c r="L23" s="34" t="n">
        <v>28797</v>
      </c>
      <c r="M23" s="34" t="n">
        <v>0</v>
      </c>
      <c r="N23" s="39" t="n">
        <f aca="false">IF($K23="","",$K23-N($L23)-N($M23))</f>
        <v>87733</v>
      </c>
      <c r="O23" s="31" t="s">
        <v>68</v>
      </c>
      <c r="P23" s="31" t="s">
        <v>68</v>
      </c>
      <c r="Q23" s="31"/>
      <c r="R23" s="32"/>
      <c r="S23" s="32"/>
      <c r="T23" s="32"/>
      <c r="U23" s="32"/>
      <c r="V23" s="31" t="s">
        <v>134</v>
      </c>
      <c r="W23" s="40" t="n">
        <f aca="false">IF(OR($F23="",$J23=""),"",$F23+$J23)</f>
        <v>46116</v>
      </c>
      <c r="X23" s="32"/>
      <c r="Y23" s="34"/>
      <c r="Z23" s="31"/>
      <c r="AA23" s="31"/>
      <c r="AB23" s="32"/>
      <c r="AC23" s="31"/>
      <c r="AD23" s="32"/>
      <c r="AE23" s="31"/>
      <c r="AF23" s="41" t="str">
        <f aca="false">IF(OR($R23="",$S23=""),"",$S23-$R23)</f>
        <v/>
      </c>
      <c r="AG23" s="41" t="str">
        <f aca="false">IF(OR($S23="",$T23=""),"",$T23-$S23)</f>
        <v/>
      </c>
      <c r="AH23" s="41" t="str">
        <f aca="false">IF(OR($T23="",$U23=""),"",$U23-$T23)</f>
        <v/>
      </c>
      <c r="AI23" s="41" t="str">
        <f aca="false">IF(OR($R23="",$U23=""),"",$U23-$R23)</f>
        <v/>
      </c>
      <c r="AJ23" s="41" t="str">
        <f aca="false">IF(OR($U23="",$AB23=""),"",$AB23-$U23)</f>
        <v/>
      </c>
      <c r="AK23" s="41" t="str">
        <f aca="false">IF(OR($R23="",$AD23=""),"",$AD23-$R23)</f>
        <v/>
      </c>
      <c r="AL23" s="31"/>
      <c r="AM23" s="32"/>
      <c r="AN23" s="31" t="s">
        <v>135</v>
      </c>
    </row>
    <row r="24" customFormat="false" ht="15" hidden="false" customHeight="true" outlineLevel="0" collapsed="false">
      <c r="A24" s="38" t="n">
        <f aca="false">IF($B24="","",ROW()-3)</f>
        <v>21</v>
      </c>
      <c r="B24" s="31" t="s">
        <v>164</v>
      </c>
      <c r="C24" s="31" t="s">
        <v>165</v>
      </c>
      <c r="D24" s="31" t="s">
        <v>131</v>
      </c>
      <c r="E24" s="31" t="s">
        <v>170</v>
      </c>
      <c r="F24" s="32" t="n">
        <v>46086</v>
      </c>
      <c r="G24" s="32"/>
      <c r="H24" s="31" t="s">
        <v>139</v>
      </c>
      <c r="I24" s="31" t="s">
        <v>69</v>
      </c>
      <c r="J24" s="33" t="n">
        <v>60</v>
      </c>
      <c r="K24" s="34" t="n">
        <v>358065</v>
      </c>
      <c r="L24" s="34" t="n">
        <v>16400</v>
      </c>
      <c r="M24" s="34" t="n">
        <v>0</v>
      </c>
      <c r="N24" s="39" t="n">
        <f aca="false">IF($K24="","",$K24-N($L24)-N($M24))</f>
        <v>341665</v>
      </c>
      <c r="O24" s="31" t="s">
        <v>68</v>
      </c>
      <c r="P24" s="31" t="s">
        <v>68</v>
      </c>
      <c r="Q24" s="31"/>
      <c r="R24" s="32"/>
      <c r="S24" s="32"/>
      <c r="T24" s="32"/>
      <c r="U24" s="32"/>
      <c r="V24" s="31" t="s">
        <v>134</v>
      </c>
      <c r="W24" s="40" t="n">
        <f aca="false">IF(OR($F24="",$J24=""),"",$F24+$J24)</f>
        <v>46146</v>
      </c>
      <c r="X24" s="32"/>
      <c r="Y24" s="34"/>
      <c r="Z24" s="31"/>
      <c r="AA24" s="31"/>
      <c r="AB24" s="32"/>
      <c r="AC24" s="31"/>
      <c r="AD24" s="32"/>
      <c r="AE24" s="31"/>
      <c r="AF24" s="41" t="str">
        <f aca="false">IF(OR($R24="",$S24=""),"",$S24-$R24)</f>
        <v/>
      </c>
      <c r="AG24" s="41" t="str">
        <f aca="false">IF(OR($S24="",$T24=""),"",$T24-$S24)</f>
        <v/>
      </c>
      <c r="AH24" s="41" t="str">
        <f aca="false">IF(OR($T24="",$U24=""),"",$U24-$T24)</f>
        <v/>
      </c>
      <c r="AI24" s="41" t="str">
        <f aca="false">IF(OR($R24="",$U24=""),"",$U24-$R24)</f>
        <v/>
      </c>
      <c r="AJ24" s="41" t="str">
        <f aca="false">IF(OR($U24="",$AB24=""),"",$AB24-$U24)</f>
        <v/>
      </c>
      <c r="AK24" s="41" t="str">
        <f aca="false">IF(OR($R24="",$AD24=""),"",$AD24-$R24)</f>
        <v/>
      </c>
      <c r="AL24" s="31"/>
      <c r="AM24" s="32"/>
      <c r="AN24" s="31" t="s">
        <v>135</v>
      </c>
    </row>
    <row r="25" customFormat="false" ht="15" hidden="false" customHeight="true" outlineLevel="0" collapsed="false">
      <c r="A25" s="38" t="n">
        <f aca="false">IF($B25="","",ROW()-3)</f>
        <v>22</v>
      </c>
      <c r="B25" s="31" t="s">
        <v>164</v>
      </c>
      <c r="C25" s="31" t="s">
        <v>165</v>
      </c>
      <c r="D25" s="31" t="s">
        <v>131</v>
      </c>
      <c r="E25" s="31" t="s">
        <v>171</v>
      </c>
      <c r="F25" s="32" t="n">
        <v>46086</v>
      </c>
      <c r="G25" s="32"/>
      <c r="H25" s="31" t="s">
        <v>139</v>
      </c>
      <c r="I25" s="31" t="s">
        <v>67</v>
      </c>
      <c r="J25" s="33" t="n">
        <v>30</v>
      </c>
      <c r="K25" s="34" t="n">
        <v>1213637</v>
      </c>
      <c r="L25" s="34" t="n">
        <v>363658</v>
      </c>
      <c r="M25" s="34" t="n">
        <v>0</v>
      </c>
      <c r="N25" s="39" t="n">
        <f aca="false">IF($K25="","",$K25-N($L25)-N($M25))</f>
        <v>849979</v>
      </c>
      <c r="O25" s="31" t="s">
        <v>68</v>
      </c>
      <c r="P25" s="31" t="s">
        <v>68</v>
      </c>
      <c r="Q25" s="31"/>
      <c r="R25" s="32"/>
      <c r="S25" s="32"/>
      <c r="T25" s="32"/>
      <c r="U25" s="32"/>
      <c r="V25" s="31" t="s">
        <v>134</v>
      </c>
      <c r="W25" s="40" t="n">
        <f aca="false">IF(OR($F25="",$J25=""),"",$F25+$J25)</f>
        <v>46116</v>
      </c>
      <c r="X25" s="32"/>
      <c r="Y25" s="34"/>
      <c r="Z25" s="31"/>
      <c r="AA25" s="31"/>
      <c r="AB25" s="32"/>
      <c r="AC25" s="31"/>
      <c r="AD25" s="32"/>
      <c r="AE25" s="31"/>
      <c r="AF25" s="41" t="str">
        <f aca="false">IF(OR($R25="",$S25=""),"",$S25-$R25)</f>
        <v/>
      </c>
      <c r="AG25" s="41" t="str">
        <f aca="false">IF(OR($S25="",$T25=""),"",$T25-$S25)</f>
        <v/>
      </c>
      <c r="AH25" s="41" t="str">
        <f aca="false">IF(OR($T25="",$U25=""),"",$U25-$T25)</f>
        <v/>
      </c>
      <c r="AI25" s="41" t="str">
        <f aca="false">IF(OR($R25="",$U25=""),"",$U25-$R25)</f>
        <v/>
      </c>
      <c r="AJ25" s="41" t="str">
        <f aca="false">IF(OR($U25="",$AB25=""),"",$AB25-$U25)</f>
        <v/>
      </c>
      <c r="AK25" s="41" t="str">
        <f aca="false">IF(OR($R25="",$AD25=""),"",$AD25-$R25)</f>
        <v/>
      </c>
      <c r="AL25" s="31"/>
      <c r="AM25" s="32"/>
      <c r="AN25" s="31" t="s">
        <v>135</v>
      </c>
    </row>
    <row r="26" customFormat="false" ht="15" hidden="false" customHeight="true" outlineLevel="0" collapsed="false">
      <c r="A26" s="38" t="n">
        <f aca="false">IF($B26="","",ROW()-3)</f>
        <v>23</v>
      </c>
      <c r="B26" s="31" t="s">
        <v>172</v>
      </c>
      <c r="C26" s="31" t="s">
        <v>173</v>
      </c>
      <c r="D26" s="31" t="s">
        <v>131</v>
      </c>
      <c r="E26" s="31" t="s">
        <v>174</v>
      </c>
      <c r="F26" s="32" t="n">
        <v>46081</v>
      </c>
      <c r="G26" s="32"/>
      <c r="H26" s="31" t="s">
        <v>139</v>
      </c>
      <c r="I26" s="31" t="s">
        <v>75</v>
      </c>
      <c r="J26" s="33" t="n">
        <v>60</v>
      </c>
      <c r="K26" s="34" t="n">
        <v>704.33</v>
      </c>
      <c r="L26" s="34" t="n">
        <v>0</v>
      </c>
      <c r="M26" s="34" t="n">
        <v>0</v>
      </c>
      <c r="N26" s="39" t="n">
        <f aca="false">IF($K26="","",$K26-N($L26)-N($M26))</f>
        <v>704.33</v>
      </c>
      <c r="O26" s="31" t="s">
        <v>68</v>
      </c>
      <c r="P26" s="31" t="s">
        <v>68</v>
      </c>
      <c r="Q26" s="31"/>
      <c r="R26" s="32"/>
      <c r="S26" s="32"/>
      <c r="T26" s="32"/>
      <c r="U26" s="32"/>
      <c r="V26" s="31" t="s">
        <v>134</v>
      </c>
      <c r="W26" s="40" t="n">
        <f aca="false">IF(OR($F26="",$J26=""),"",$F26+$J26)</f>
        <v>46141</v>
      </c>
      <c r="X26" s="32"/>
      <c r="Y26" s="34"/>
      <c r="Z26" s="31"/>
      <c r="AA26" s="31"/>
      <c r="AB26" s="32"/>
      <c r="AC26" s="31"/>
      <c r="AD26" s="32"/>
      <c r="AE26" s="31"/>
      <c r="AF26" s="41" t="str">
        <f aca="false">IF(OR($R26="",$S26=""),"",$S26-$R26)</f>
        <v/>
      </c>
      <c r="AG26" s="41" t="str">
        <f aca="false">IF(OR($S26="",$T26=""),"",$T26-$S26)</f>
        <v/>
      </c>
      <c r="AH26" s="41" t="str">
        <f aca="false">IF(OR($T26="",$U26=""),"",$U26-$T26)</f>
        <v/>
      </c>
      <c r="AI26" s="41" t="str">
        <f aca="false">IF(OR($R26="",$U26=""),"",$U26-$R26)</f>
        <v/>
      </c>
      <c r="AJ26" s="41" t="str">
        <f aca="false">IF(OR($U26="",$AB26=""),"",$AB26-$U26)</f>
        <v/>
      </c>
      <c r="AK26" s="41" t="str">
        <f aca="false">IF(OR($R26="",$AD26=""),"",$AD26-$R26)</f>
        <v/>
      </c>
      <c r="AL26" s="31"/>
      <c r="AM26" s="32"/>
      <c r="AN26" s="31" t="s">
        <v>135</v>
      </c>
    </row>
    <row r="27" customFormat="false" ht="15" hidden="false" customHeight="true" outlineLevel="0" collapsed="false">
      <c r="A27" s="38" t="n">
        <f aca="false">IF($B27="","",ROW()-3)</f>
        <v>24</v>
      </c>
      <c r="B27" s="31" t="s">
        <v>172</v>
      </c>
      <c r="C27" s="31" t="s">
        <v>173</v>
      </c>
      <c r="D27" s="31" t="s">
        <v>131</v>
      </c>
      <c r="E27" s="31" t="s">
        <v>175</v>
      </c>
      <c r="F27" s="32" t="n">
        <v>46081</v>
      </c>
      <c r="G27" s="32"/>
      <c r="H27" s="31" t="s">
        <v>139</v>
      </c>
      <c r="I27" s="31" t="s">
        <v>71</v>
      </c>
      <c r="J27" s="33" t="n">
        <v>60</v>
      </c>
      <c r="K27" s="34" t="n">
        <v>13408.66</v>
      </c>
      <c r="L27" s="34" t="n">
        <v>0</v>
      </c>
      <c r="M27" s="34" t="n">
        <v>0</v>
      </c>
      <c r="N27" s="39" t="n">
        <f aca="false">IF($K27="","",$K27-N($L27)-N($M27))</f>
        <v>13408.66</v>
      </c>
      <c r="O27" s="31" t="s">
        <v>68</v>
      </c>
      <c r="P27" s="31" t="s">
        <v>68</v>
      </c>
      <c r="Q27" s="31"/>
      <c r="R27" s="32"/>
      <c r="S27" s="32"/>
      <c r="T27" s="32"/>
      <c r="U27" s="32"/>
      <c r="V27" s="31" t="s">
        <v>134</v>
      </c>
      <c r="W27" s="40" t="n">
        <f aca="false">IF(OR($F27="",$J27=""),"",$F27+$J27)</f>
        <v>46141</v>
      </c>
      <c r="X27" s="32"/>
      <c r="Y27" s="34"/>
      <c r="Z27" s="31"/>
      <c r="AA27" s="31"/>
      <c r="AB27" s="32"/>
      <c r="AC27" s="31"/>
      <c r="AD27" s="32"/>
      <c r="AE27" s="31"/>
      <c r="AF27" s="41" t="str">
        <f aca="false">IF(OR($R27="",$S27=""),"",$S27-$R27)</f>
        <v/>
      </c>
      <c r="AG27" s="41" t="str">
        <f aca="false">IF(OR($S27="",$T27=""),"",$T27-$S27)</f>
        <v/>
      </c>
      <c r="AH27" s="41" t="str">
        <f aca="false">IF(OR($T27="",$U27=""),"",$U27-$T27)</f>
        <v/>
      </c>
      <c r="AI27" s="41" t="str">
        <f aca="false">IF(OR($R27="",$U27=""),"",$U27-$R27)</f>
        <v/>
      </c>
      <c r="AJ27" s="41" t="str">
        <f aca="false">IF(OR($U27="",$AB27=""),"",$AB27-$U27)</f>
        <v/>
      </c>
      <c r="AK27" s="41" t="str">
        <f aca="false">IF(OR($R27="",$AD27=""),"",$AD27-$R27)</f>
        <v/>
      </c>
      <c r="AL27" s="31"/>
      <c r="AM27" s="32"/>
      <c r="AN27" s="31" t="s">
        <v>135</v>
      </c>
    </row>
    <row r="28" customFormat="false" ht="15" hidden="false" customHeight="true" outlineLevel="0" collapsed="false">
      <c r="A28" s="38" t="n">
        <f aca="false">IF($B28="","",ROW()-3)</f>
        <v>25</v>
      </c>
      <c r="B28" s="31" t="s">
        <v>172</v>
      </c>
      <c r="C28" s="31" t="s">
        <v>173</v>
      </c>
      <c r="D28" s="31" t="s">
        <v>131</v>
      </c>
      <c r="E28" s="31" t="s">
        <v>176</v>
      </c>
      <c r="F28" s="32" t="n">
        <v>46081</v>
      </c>
      <c r="G28" s="32"/>
      <c r="H28" s="31" t="s">
        <v>139</v>
      </c>
      <c r="I28" s="31" t="s">
        <v>67</v>
      </c>
      <c r="J28" s="33" t="n">
        <v>60</v>
      </c>
      <c r="K28" s="34" t="n">
        <v>149852.2</v>
      </c>
      <c r="L28" s="34" t="n">
        <v>8400</v>
      </c>
      <c r="M28" s="34" t="n">
        <v>0</v>
      </c>
      <c r="N28" s="39" t="n">
        <f aca="false">IF($K28="","",$K28-N($L28)-N($M28))</f>
        <v>141452.2</v>
      </c>
      <c r="O28" s="31" t="s">
        <v>68</v>
      </c>
      <c r="P28" s="31" t="s">
        <v>68</v>
      </c>
      <c r="Q28" s="31"/>
      <c r="R28" s="32"/>
      <c r="S28" s="32"/>
      <c r="T28" s="32"/>
      <c r="U28" s="32"/>
      <c r="V28" s="31" t="s">
        <v>134</v>
      </c>
      <c r="W28" s="40" t="n">
        <f aca="false">IF(OR($F28="",$J28=""),"",$F28+$J28)</f>
        <v>46141</v>
      </c>
      <c r="X28" s="32"/>
      <c r="Y28" s="34"/>
      <c r="Z28" s="31"/>
      <c r="AA28" s="31"/>
      <c r="AB28" s="32"/>
      <c r="AC28" s="31"/>
      <c r="AD28" s="32"/>
      <c r="AE28" s="31"/>
      <c r="AF28" s="41" t="str">
        <f aca="false">IF(OR($R28="",$S28=""),"",$S28-$R28)</f>
        <v/>
      </c>
      <c r="AG28" s="41" t="str">
        <f aca="false">IF(OR($S28="",$T28=""),"",$T28-$S28)</f>
        <v/>
      </c>
      <c r="AH28" s="41" t="str">
        <f aca="false">IF(OR($T28="",$U28=""),"",$U28-$T28)</f>
        <v/>
      </c>
      <c r="AI28" s="41" t="str">
        <f aca="false">IF(OR($R28="",$U28=""),"",$U28-$R28)</f>
        <v/>
      </c>
      <c r="AJ28" s="41" t="str">
        <f aca="false">IF(OR($U28="",$AB28=""),"",$AB28-$U28)</f>
        <v/>
      </c>
      <c r="AK28" s="41" t="str">
        <f aca="false">IF(OR($R28="",$AD28=""),"",$AD28-$R28)</f>
        <v/>
      </c>
      <c r="AL28" s="31"/>
      <c r="AM28" s="32"/>
      <c r="AN28" s="31" t="s">
        <v>135</v>
      </c>
    </row>
    <row r="29" customFormat="false" ht="15" hidden="false" customHeight="true" outlineLevel="0" collapsed="false">
      <c r="A29" s="38" t="n">
        <f aca="false">IF($B29="","",ROW()-3)</f>
        <v>26</v>
      </c>
      <c r="B29" s="31" t="s">
        <v>177</v>
      </c>
      <c r="C29" s="31" t="s">
        <v>178</v>
      </c>
      <c r="D29" s="31" t="s">
        <v>131</v>
      </c>
      <c r="E29" s="31" t="s">
        <v>179</v>
      </c>
      <c r="F29" s="32" t="n">
        <v>46086</v>
      </c>
      <c r="G29" s="32"/>
      <c r="H29" s="31" t="s">
        <v>139</v>
      </c>
      <c r="I29" s="31" t="s">
        <v>69</v>
      </c>
      <c r="J29" s="33" t="n">
        <v>60</v>
      </c>
      <c r="K29" s="34" t="n">
        <v>325637.55</v>
      </c>
      <c r="L29" s="34" t="n">
        <v>63243.7</v>
      </c>
      <c r="M29" s="34" t="n">
        <v>0</v>
      </c>
      <c r="N29" s="39" t="n">
        <f aca="false">IF($K29="","",$K29-N($L29)-N($M29))</f>
        <v>262393.85</v>
      </c>
      <c r="O29" s="31" t="s">
        <v>68</v>
      </c>
      <c r="P29" s="31" t="s">
        <v>68</v>
      </c>
      <c r="Q29" s="31"/>
      <c r="R29" s="32"/>
      <c r="S29" s="32"/>
      <c r="T29" s="32"/>
      <c r="U29" s="32"/>
      <c r="V29" s="31" t="s">
        <v>134</v>
      </c>
      <c r="W29" s="40" t="n">
        <f aca="false">IF(OR($F29="",$J29=""),"",$F29+$J29)</f>
        <v>46146</v>
      </c>
      <c r="X29" s="32"/>
      <c r="Y29" s="34"/>
      <c r="Z29" s="31"/>
      <c r="AA29" s="31"/>
      <c r="AB29" s="32"/>
      <c r="AC29" s="31"/>
      <c r="AD29" s="32"/>
      <c r="AE29" s="31"/>
      <c r="AF29" s="41" t="str">
        <f aca="false">IF(OR($R29="",$S29=""),"",$S29-$R29)</f>
        <v/>
      </c>
      <c r="AG29" s="41" t="str">
        <f aca="false">IF(OR($S29="",$T29=""),"",$T29-$S29)</f>
        <v/>
      </c>
      <c r="AH29" s="41" t="str">
        <f aca="false">IF(OR($T29="",$U29=""),"",$U29-$T29)</f>
        <v/>
      </c>
      <c r="AI29" s="41" t="str">
        <f aca="false">IF(OR($R29="",$U29=""),"",$U29-$R29)</f>
        <v/>
      </c>
      <c r="AJ29" s="41" t="str">
        <f aca="false">IF(OR($U29="",$AB29=""),"",$AB29-$U29)</f>
        <v/>
      </c>
      <c r="AK29" s="41" t="str">
        <f aca="false">IF(OR($R29="",$AD29=""),"",$AD29-$R29)</f>
        <v/>
      </c>
      <c r="AL29" s="31"/>
      <c r="AM29" s="32"/>
      <c r="AN29" s="31" t="s">
        <v>135</v>
      </c>
    </row>
    <row r="30" customFormat="false" ht="15" hidden="false" customHeight="true" outlineLevel="0" collapsed="false">
      <c r="A30" s="38" t="n">
        <f aca="false">IF($B30="","",ROW()-3)</f>
        <v>27</v>
      </c>
      <c r="B30" s="31" t="s">
        <v>180</v>
      </c>
      <c r="C30" s="31" t="s">
        <v>181</v>
      </c>
      <c r="D30" s="31" t="s">
        <v>131</v>
      </c>
      <c r="E30" s="31" t="s">
        <v>182</v>
      </c>
      <c r="F30" s="32" t="n">
        <v>46087</v>
      </c>
      <c r="G30" s="32"/>
      <c r="H30" s="31" t="s">
        <v>139</v>
      </c>
      <c r="I30" s="31" t="s">
        <v>67</v>
      </c>
      <c r="J30" s="33" t="n">
        <v>45</v>
      </c>
      <c r="K30" s="34" t="n">
        <v>117481</v>
      </c>
      <c r="L30" s="34" t="n">
        <v>0</v>
      </c>
      <c r="M30" s="34" t="n">
        <v>0</v>
      </c>
      <c r="N30" s="39" t="n">
        <f aca="false">IF($K30="","",$K30-N($L30)-N($M30))</f>
        <v>117481</v>
      </c>
      <c r="O30" s="31" t="s">
        <v>68</v>
      </c>
      <c r="P30" s="31" t="s">
        <v>68</v>
      </c>
      <c r="Q30" s="31"/>
      <c r="R30" s="32"/>
      <c r="S30" s="32"/>
      <c r="T30" s="32"/>
      <c r="U30" s="32"/>
      <c r="V30" s="31" t="s">
        <v>134</v>
      </c>
      <c r="W30" s="40" t="n">
        <f aca="false">IF(OR($F30="",$J30=""),"",$F30+$J30)</f>
        <v>46132</v>
      </c>
      <c r="X30" s="32"/>
      <c r="Y30" s="34"/>
      <c r="Z30" s="31"/>
      <c r="AA30" s="31"/>
      <c r="AB30" s="32"/>
      <c r="AC30" s="31"/>
      <c r="AD30" s="32"/>
      <c r="AE30" s="31"/>
      <c r="AF30" s="41" t="str">
        <f aca="false">IF(OR($R30="",$S30=""),"",$S30-$R30)</f>
        <v/>
      </c>
      <c r="AG30" s="41" t="str">
        <f aca="false">IF(OR($S30="",$T30=""),"",$T30-$S30)</f>
        <v/>
      </c>
      <c r="AH30" s="41" t="str">
        <f aca="false">IF(OR($T30="",$U30=""),"",$U30-$T30)</f>
        <v/>
      </c>
      <c r="AI30" s="41" t="str">
        <f aca="false">IF(OR($R30="",$U30=""),"",$U30-$R30)</f>
        <v/>
      </c>
      <c r="AJ30" s="41" t="str">
        <f aca="false">IF(OR($U30="",$AB30=""),"",$AB30-$U30)</f>
        <v/>
      </c>
      <c r="AK30" s="41" t="str">
        <f aca="false">IF(OR($R30="",$AD30=""),"",$AD30-$R30)</f>
        <v/>
      </c>
      <c r="AL30" s="31"/>
      <c r="AM30" s="32"/>
      <c r="AN30" s="31" t="s">
        <v>135</v>
      </c>
    </row>
    <row r="31" customFormat="false" ht="15" hidden="false" customHeight="true" outlineLevel="0" collapsed="false">
      <c r="A31" s="38" t="n">
        <f aca="false">IF($B31="","",ROW()-3)</f>
        <v>28</v>
      </c>
      <c r="B31" s="31" t="s">
        <v>183</v>
      </c>
      <c r="C31" s="31" t="s">
        <v>184</v>
      </c>
      <c r="D31" s="31" t="s">
        <v>131</v>
      </c>
      <c r="E31" s="31" t="s">
        <v>185</v>
      </c>
      <c r="F31" s="32" t="n">
        <v>46081</v>
      </c>
      <c r="G31" s="32"/>
      <c r="H31" s="31" t="s">
        <v>139</v>
      </c>
      <c r="I31" s="31" t="s">
        <v>69</v>
      </c>
      <c r="J31" s="33" t="n">
        <v>45</v>
      </c>
      <c r="K31" s="34" t="n">
        <v>10464</v>
      </c>
      <c r="L31" s="34" t="n">
        <v>0</v>
      </c>
      <c r="M31" s="34" t="n">
        <v>0</v>
      </c>
      <c r="N31" s="39" t="n">
        <f aca="false">IF($K31="","",$K31-N($L31)-N($M31))</f>
        <v>10464</v>
      </c>
      <c r="O31" s="31" t="s">
        <v>68</v>
      </c>
      <c r="P31" s="31" t="s">
        <v>68</v>
      </c>
      <c r="Q31" s="31"/>
      <c r="R31" s="32"/>
      <c r="S31" s="32"/>
      <c r="T31" s="32"/>
      <c r="U31" s="32"/>
      <c r="V31" s="31" t="s">
        <v>134</v>
      </c>
      <c r="W31" s="40" t="n">
        <f aca="false">IF(OR($F31="",$J31=""),"",$F31+$J31)</f>
        <v>46126</v>
      </c>
      <c r="X31" s="32"/>
      <c r="Y31" s="34"/>
      <c r="Z31" s="31"/>
      <c r="AA31" s="31"/>
      <c r="AB31" s="32"/>
      <c r="AC31" s="31"/>
      <c r="AD31" s="32"/>
      <c r="AE31" s="31"/>
      <c r="AF31" s="41" t="str">
        <f aca="false">IF(OR($R31="",$S31=""),"",$S31-$R31)</f>
        <v/>
      </c>
      <c r="AG31" s="41" t="str">
        <f aca="false">IF(OR($S31="",$T31=""),"",$T31-$S31)</f>
        <v/>
      </c>
      <c r="AH31" s="41" t="str">
        <f aca="false">IF(OR($T31="",$U31=""),"",$U31-$T31)</f>
        <v/>
      </c>
      <c r="AI31" s="41" t="str">
        <f aca="false">IF(OR($R31="",$U31=""),"",$U31-$R31)</f>
        <v/>
      </c>
      <c r="AJ31" s="41" t="str">
        <f aca="false">IF(OR($U31="",$AB31=""),"",$AB31-$U31)</f>
        <v/>
      </c>
      <c r="AK31" s="41" t="str">
        <f aca="false">IF(OR($R31="",$AD31=""),"",$AD31-$R31)</f>
        <v/>
      </c>
      <c r="AL31" s="31"/>
      <c r="AM31" s="32"/>
      <c r="AN31" s="31" t="s">
        <v>135</v>
      </c>
    </row>
    <row r="32" customFormat="false" ht="15" hidden="false" customHeight="true" outlineLevel="0" collapsed="false">
      <c r="A32" s="38" t="n">
        <f aca="false">IF($B32="","",ROW()-3)</f>
        <v>29</v>
      </c>
      <c r="B32" s="31" t="s">
        <v>183</v>
      </c>
      <c r="C32" s="31" t="s">
        <v>184</v>
      </c>
      <c r="D32" s="31" t="s">
        <v>131</v>
      </c>
      <c r="E32" s="31" t="s">
        <v>186</v>
      </c>
      <c r="F32" s="32" t="n">
        <v>46081</v>
      </c>
      <c r="G32" s="32"/>
      <c r="H32" s="31" t="s">
        <v>139</v>
      </c>
      <c r="I32" s="31" t="s">
        <v>67</v>
      </c>
      <c r="J32" s="33" t="n">
        <v>45</v>
      </c>
      <c r="K32" s="34" t="n">
        <v>1197987.38</v>
      </c>
      <c r="L32" s="34" t="n">
        <v>675088.69</v>
      </c>
      <c r="M32" s="34" t="n">
        <v>0</v>
      </c>
      <c r="N32" s="39" t="n">
        <f aca="false">IF($K32="","",$K32-N($L32)-N($M32))</f>
        <v>522898.69</v>
      </c>
      <c r="O32" s="31" t="s">
        <v>68</v>
      </c>
      <c r="P32" s="31" t="s">
        <v>68</v>
      </c>
      <c r="Q32" s="31"/>
      <c r="R32" s="32"/>
      <c r="S32" s="32"/>
      <c r="T32" s="32"/>
      <c r="U32" s="32"/>
      <c r="V32" s="31" t="s">
        <v>134</v>
      </c>
      <c r="W32" s="40" t="n">
        <f aca="false">IF(OR($F32="",$J32=""),"",$F32+$J32)</f>
        <v>46126</v>
      </c>
      <c r="X32" s="32"/>
      <c r="Y32" s="34"/>
      <c r="Z32" s="31"/>
      <c r="AA32" s="31"/>
      <c r="AB32" s="32"/>
      <c r="AC32" s="31"/>
      <c r="AD32" s="32"/>
      <c r="AE32" s="31"/>
      <c r="AF32" s="41" t="str">
        <f aca="false">IF(OR($R32="",$S32=""),"",$S32-$R32)</f>
        <v/>
      </c>
      <c r="AG32" s="41" t="str">
        <f aca="false">IF(OR($S32="",$T32=""),"",$T32-$S32)</f>
        <v/>
      </c>
      <c r="AH32" s="41" t="str">
        <f aca="false">IF(OR($T32="",$U32=""),"",$U32-$T32)</f>
        <v/>
      </c>
      <c r="AI32" s="41" t="str">
        <f aca="false">IF(OR($R32="",$U32=""),"",$U32-$R32)</f>
        <v/>
      </c>
      <c r="AJ32" s="41" t="str">
        <f aca="false">IF(OR($U32="",$AB32=""),"",$AB32-$U32)</f>
        <v/>
      </c>
      <c r="AK32" s="41" t="str">
        <f aca="false">IF(OR($R32="",$AD32=""),"",$AD32-$R32)</f>
        <v/>
      </c>
      <c r="AL32" s="31"/>
      <c r="AM32" s="32"/>
      <c r="AN32" s="31" t="s">
        <v>135</v>
      </c>
    </row>
    <row r="33" customFormat="false" ht="15" hidden="false" customHeight="true" outlineLevel="0" collapsed="false">
      <c r="A33" s="38" t="n">
        <f aca="false">IF($B33="","",ROW()-3)</f>
        <v>30</v>
      </c>
      <c r="B33" s="31" t="s">
        <v>187</v>
      </c>
      <c r="C33" s="31" t="s">
        <v>188</v>
      </c>
      <c r="D33" s="31" t="s">
        <v>131</v>
      </c>
      <c r="E33" s="31" t="s">
        <v>189</v>
      </c>
      <c r="F33" s="32" t="n">
        <v>46086</v>
      </c>
      <c r="G33" s="32"/>
      <c r="H33" s="31" t="s">
        <v>167</v>
      </c>
      <c r="I33" s="31" t="s">
        <v>67</v>
      </c>
      <c r="J33" s="33" t="n">
        <v>60</v>
      </c>
      <c r="K33" s="34" t="n">
        <v>15768041.7</v>
      </c>
      <c r="L33" s="34" t="n">
        <v>0</v>
      </c>
      <c r="M33" s="34" t="n">
        <v>355203.49</v>
      </c>
      <c r="N33" s="39" t="n">
        <f aca="false">IF($K33="","",$K33-N($L33)-N($M33))</f>
        <v>15412838.21</v>
      </c>
      <c r="O33" s="31" t="s">
        <v>68</v>
      </c>
      <c r="P33" s="31" t="s">
        <v>68</v>
      </c>
      <c r="Q33" s="31"/>
      <c r="R33" s="32"/>
      <c r="S33" s="32"/>
      <c r="T33" s="32"/>
      <c r="U33" s="32"/>
      <c r="V33" s="31" t="s">
        <v>134</v>
      </c>
      <c r="W33" s="40" t="n">
        <f aca="false">IF(OR($F33="",$J33=""),"",$F33+$J33)</f>
        <v>46146</v>
      </c>
      <c r="X33" s="32"/>
      <c r="Y33" s="34"/>
      <c r="Z33" s="31"/>
      <c r="AA33" s="31"/>
      <c r="AB33" s="32"/>
      <c r="AC33" s="31"/>
      <c r="AD33" s="32"/>
      <c r="AE33" s="31"/>
      <c r="AF33" s="41" t="str">
        <f aca="false">IF(OR($R33="",$S33=""),"",$S33-$R33)</f>
        <v/>
      </c>
      <c r="AG33" s="41" t="str">
        <f aca="false">IF(OR($S33="",$T33=""),"",$T33-$S33)</f>
        <v/>
      </c>
      <c r="AH33" s="41" t="str">
        <f aca="false">IF(OR($T33="",$U33=""),"",$U33-$T33)</f>
        <v/>
      </c>
      <c r="AI33" s="41" t="str">
        <f aca="false">IF(OR($R33="",$U33=""),"",$U33-$R33)</f>
        <v/>
      </c>
      <c r="AJ33" s="41" t="str">
        <f aca="false">IF(OR($U33="",$AB33=""),"",$AB33-$U33)</f>
        <v/>
      </c>
      <c r="AK33" s="41" t="str">
        <f aca="false">IF(OR($R33="",$AD33=""),"",$AD33-$R33)</f>
        <v/>
      </c>
      <c r="AL33" s="31"/>
      <c r="AM33" s="32"/>
      <c r="AN33" s="31" t="s">
        <v>135</v>
      </c>
    </row>
    <row r="34" customFormat="false" ht="15" hidden="false" customHeight="true" outlineLevel="0" collapsed="false">
      <c r="A34" s="38" t="n">
        <f aca="false">IF($B34="","",ROW()-3)</f>
        <v>31</v>
      </c>
      <c r="B34" s="31" t="s">
        <v>187</v>
      </c>
      <c r="C34" s="31" t="s">
        <v>188</v>
      </c>
      <c r="D34" s="31" t="s">
        <v>131</v>
      </c>
      <c r="E34" s="31" t="s">
        <v>190</v>
      </c>
      <c r="F34" s="32" t="n">
        <v>46085</v>
      </c>
      <c r="G34" s="32"/>
      <c r="H34" s="31" t="s">
        <v>139</v>
      </c>
      <c r="I34" s="31" t="s">
        <v>67</v>
      </c>
      <c r="J34" s="33" t="n">
        <v>60</v>
      </c>
      <c r="K34" s="34" t="n">
        <v>210298.32</v>
      </c>
      <c r="L34" s="34" t="n">
        <v>4620</v>
      </c>
      <c r="M34" s="34" t="n">
        <v>0</v>
      </c>
      <c r="N34" s="39" t="n">
        <f aca="false">IF($K34="","",$K34-N($L34)-N($M34))</f>
        <v>205678.32</v>
      </c>
      <c r="O34" s="31" t="s">
        <v>68</v>
      </c>
      <c r="P34" s="31" t="s">
        <v>68</v>
      </c>
      <c r="Q34" s="31"/>
      <c r="R34" s="32"/>
      <c r="S34" s="32"/>
      <c r="T34" s="32"/>
      <c r="U34" s="32"/>
      <c r="V34" s="31" t="s">
        <v>134</v>
      </c>
      <c r="W34" s="40" t="n">
        <f aca="false">IF(OR($F34="",$J34=""),"",$F34+$J34)</f>
        <v>46145</v>
      </c>
      <c r="X34" s="32"/>
      <c r="Y34" s="34"/>
      <c r="Z34" s="31"/>
      <c r="AA34" s="31"/>
      <c r="AB34" s="32"/>
      <c r="AC34" s="31"/>
      <c r="AD34" s="32"/>
      <c r="AE34" s="31"/>
      <c r="AF34" s="41" t="str">
        <f aca="false">IF(OR($R34="",$S34=""),"",$S34-$R34)</f>
        <v/>
      </c>
      <c r="AG34" s="41" t="str">
        <f aca="false">IF(OR($S34="",$T34=""),"",$T34-$S34)</f>
        <v/>
      </c>
      <c r="AH34" s="41" t="str">
        <f aca="false">IF(OR($T34="",$U34=""),"",$U34-$T34)</f>
        <v/>
      </c>
      <c r="AI34" s="41" t="str">
        <f aca="false">IF(OR($R34="",$U34=""),"",$U34-$R34)</f>
        <v/>
      </c>
      <c r="AJ34" s="41" t="str">
        <f aca="false">IF(OR($U34="",$AB34=""),"",$AB34-$U34)</f>
        <v/>
      </c>
      <c r="AK34" s="41" t="str">
        <f aca="false">IF(OR($R34="",$AD34=""),"",$AD34-$R34)</f>
        <v/>
      </c>
      <c r="AL34" s="31"/>
      <c r="AM34" s="32"/>
      <c r="AN34" s="31" t="s">
        <v>135</v>
      </c>
    </row>
    <row r="35" customFormat="false" ht="15" hidden="false" customHeight="true" outlineLevel="0" collapsed="false">
      <c r="A35" s="38" t="n">
        <f aca="false">IF($B35="","",ROW()-3)</f>
        <v>32</v>
      </c>
      <c r="B35" s="31" t="s">
        <v>191</v>
      </c>
      <c r="C35" s="31" t="s">
        <v>192</v>
      </c>
      <c r="D35" s="31" t="s">
        <v>131</v>
      </c>
      <c r="E35" s="31" t="s">
        <v>193</v>
      </c>
      <c r="F35" s="32" t="n">
        <v>46085</v>
      </c>
      <c r="G35" s="32"/>
      <c r="H35" s="31" t="s">
        <v>139</v>
      </c>
      <c r="I35" s="31" t="s">
        <v>69</v>
      </c>
      <c r="J35" s="33" t="n">
        <v>45</v>
      </c>
      <c r="K35" s="34" t="n">
        <v>542500</v>
      </c>
      <c r="L35" s="34" t="n">
        <v>0</v>
      </c>
      <c r="M35" s="34" t="n">
        <v>0</v>
      </c>
      <c r="N35" s="39" t="n">
        <f aca="false">IF($K35="","",$K35-N($L35)-N($M35))</f>
        <v>542500</v>
      </c>
      <c r="O35" s="31" t="s">
        <v>68</v>
      </c>
      <c r="P35" s="31" t="s">
        <v>68</v>
      </c>
      <c r="Q35" s="31"/>
      <c r="R35" s="32"/>
      <c r="S35" s="32"/>
      <c r="T35" s="32"/>
      <c r="U35" s="32"/>
      <c r="V35" s="31" t="s">
        <v>134</v>
      </c>
      <c r="W35" s="40" t="n">
        <f aca="false">IF(OR($F35="",$J35=""),"",$F35+$J35)</f>
        <v>46130</v>
      </c>
      <c r="X35" s="32"/>
      <c r="Y35" s="34"/>
      <c r="Z35" s="31"/>
      <c r="AA35" s="31"/>
      <c r="AB35" s="32"/>
      <c r="AC35" s="31"/>
      <c r="AD35" s="32"/>
      <c r="AE35" s="31"/>
      <c r="AF35" s="41" t="str">
        <f aca="false">IF(OR($R35="",$S35=""),"",$S35-$R35)</f>
        <v/>
      </c>
      <c r="AG35" s="41" t="str">
        <f aca="false">IF(OR($S35="",$T35=""),"",$T35-$S35)</f>
        <v/>
      </c>
      <c r="AH35" s="41" t="str">
        <f aca="false">IF(OR($T35="",$U35=""),"",$U35-$T35)</f>
        <v/>
      </c>
      <c r="AI35" s="41" t="str">
        <f aca="false">IF(OR($R35="",$U35=""),"",$U35-$R35)</f>
        <v/>
      </c>
      <c r="AJ35" s="41" t="str">
        <f aca="false">IF(OR($U35="",$AB35=""),"",$AB35-$U35)</f>
        <v/>
      </c>
      <c r="AK35" s="41" t="str">
        <f aca="false">IF(OR($R35="",$AD35=""),"",$AD35-$R35)</f>
        <v/>
      </c>
      <c r="AL35" s="31"/>
      <c r="AM35" s="32"/>
      <c r="AN35" s="31" t="s">
        <v>135</v>
      </c>
    </row>
    <row r="36" customFormat="false" ht="15" hidden="false" customHeight="true" outlineLevel="0" collapsed="false">
      <c r="A36" s="38" t="n">
        <f aca="false">IF($B36="","",ROW()-3)</f>
        <v>33</v>
      </c>
      <c r="B36" s="31" t="s">
        <v>194</v>
      </c>
      <c r="C36" s="31" t="s">
        <v>195</v>
      </c>
      <c r="D36" s="31" t="s">
        <v>131</v>
      </c>
      <c r="E36" s="31" t="s">
        <v>196</v>
      </c>
      <c r="F36" s="32" t="n">
        <v>46091</v>
      </c>
      <c r="G36" s="32"/>
      <c r="H36" s="31" t="s">
        <v>139</v>
      </c>
      <c r="I36" s="31" t="s">
        <v>69</v>
      </c>
      <c r="J36" s="33" t="n">
        <v>45</v>
      </c>
      <c r="K36" s="34" t="n">
        <v>170658.8</v>
      </c>
      <c r="L36" s="34" t="n">
        <v>9650</v>
      </c>
      <c r="M36" s="34" t="n">
        <v>0</v>
      </c>
      <c r="N36" s="39" t="n">
        <f aca="false">IF($K36="","",$K36-N($L36)-N($M36))</f>
        <v>161008.8</v>
      </c>
      <c r="O36" s="31" t="s">
        <v>68</v>
      </c>
      <c r="P36" s="31" t="s">
        <v>68</v>
      </c>
      <c r="Q36" s="31"/>
      <c r="R36" s="32"/>
      <c r="S36" s="32"/>
      <c r="T36" s="32"/>
      <c r="U36" s="32"/>
      <c r="V36" s="31" t="s">
        <v>134</v>
      </c>
      <c r="W36" s="40" t="n">
        <f aca="false">IF(OR($F36="",$J36=""),"",$F36+$J36)</f>
        <v>46136</v>
      </c>
      <c r="X36" s="32"/>
      <c r="Y36" s="34"/>
      <c r="Z36" s="31"/>
      <c r="AA36" s="31"/>
      <c r="AB36" s="32"/>
      <c r="AC36" s="31"/>
      <c r="AD36" s="32"/>
      <c r="AE36" s="31"/>
      <c r="AF36" s="41" t="str">
        <f aca="false">IF(OR($R36="",$S36=""),"",$S36-$R36)</f>
        <v/>
      </c>
      <c r="AG36" s="41" t="str">
        <f aca="false">IF(OR($S36="",$T36=""),"",$T36-$S36)</f>
        <v/>
      </c>
      <c r="AH36" s="41" t="str">
        <f aca="false">IF(OR($T36="",$U36=""),"",$U36-$T36)</f>
        <v/>
      </c>
      <c r="AI36" s="41" t="str">
        <f aca="false">IF(OR($R36="",$U36=""),"",$U36-$R36)</f>
        <v/>
      </c>
      <c r="AJ36" s="41" t="str">
        <f aca="false">IF(OR($U36="",$AB36=""),"",$AB36-$U36)</f>
        <v/>
      </c>
      <c r="AK36" s="41" t="str">
        <f aca="false">IF(OR($R36="",$AD36=""),"",$AD36-$R36)</f>
        <v/>
      </c>
      <c r="AL36" s="31"/>
      <c r="AM36" s="32"/>
      <c r="AN36" s="31" t="s">
        <v>135</v>
      </c>
    </row>
    <row r="37" customFormat="false" ht="15" hidden="false" customHeight="true" outlineLevel="0" collapsed="false">
      <c r="A37" s="38" t="n">
        <f aca="false">IF($B37="","",ROW()-3)</f>
        <v>34</v>
      </c>
      <c r="B37" s="31" t="s">
        <v>197</v>
      </c>
      <c r="C37" s="31" t="s">
        <v>198</v>
      </c>
      <c r="D37" s="31" t="s">
        <v>131</v>
      </c>
      <c r="E37" s="31" t="s">
        <v>199</v>
      </c>
      <c r="F37" s="32" t="n">
        <v>46092</v>
      </c>
      <c r="G37" s="32"/>
      <c r="H37" s="31" t="s">
        <v>139</v>
      </c>
      <c r="I37" s="31" t="s">
        <v>71</v>
      </c>
      <c r="J37" s="33" t="n">
        <v>45</v>
      </c>
      <c r="K37" s="34" t="n">
        <v>34625.04</v>
      </c>
      <c r="L37" s="34" t="n">
        <v>0</v>
      </c>
      <c r="M37" s="34" t="n">
        <v>0</v>
      </c>
      <c r="N37" s="39" t="n">
        <f aca="false">IF($K37="","",$K37-N($L37)-N($M37))</f>
        <v>34625.04</v>
      </c>
      <c r="O37" s="31" t="s">
        <v>68</v>
      </c>
      <c r="P37" s="31" t="s">
        <v>68</v>
      </c>
      <c r="Q37" s="31"/>
      <c r="R37" s="32"/>
      <c r="S37" s="32"/>
      <c r="T37" s="32"/>
      <c r="U37" s="32"/>
      <c r="V37" s="31" t="s">
        <v>134</v>
      </c>
      <c r="W37" s="40" t="n">
        <f aca="false">IF(OR($F37="",$J37=""),"",$F37+$J37)</f>
        <v>46137</v>
      </c>
      <c r="X37" s="32"/>
      <c r="Y37" s="34"/>
      <c r="Z37" s="31"/>
      <c r="AA37" s="31"/>
      <c r="AB37" s="32"/>
      <c r="AC37" s="31"/>
      <c r="AD37" s="32"/>
      <c r="AE37" s="31"/>
      <c r="AF37" s="41" t="str">
        <f aca="false">IF(OR($R37="",$S37=""),"",$S37-$R37)</f>
        <v/>
      </c>
      <c r="AG37" s="41" t="str">
        <f aca="false">IF(OR($S37="",$T37=""),"",$T37-$S37)</f>
        <v/>
      </c>
      <c r="AH37" s="41" t="str">
        <f aca="false">IF(OR($T37="",$U37=""),"",$U37-$T37)</f>
        <v/>
      </c>
      <c r="AI37" s="41" t="str">
        <f aca="false">IF(OR($R37="",$U37=""),"",$U37-$R37)</f>
        <v/>
      </c>
      <c r="AJ37" s="41" t="str">
        <f aca="false">IF(OR($U37="",$AB37=""),"",$AB37-$U37)</f>
        <v/>
      </c>
      <c r="AK37" s="41" t="str">
        <f aca="false">IF(OR($R37="",$AD37=""),"",$AD37-$R37)</f>
        <v/>
      </c>
      <c r="AL37" s="31"/>
      <c r="AM37" s="32"/>
      <c r="AN37" s="31" t="s">
        <v>135</v>
      </c>
    </row>
    <row r="38" customFormat="false" ht="15" hidden="false" customHeight="true" outlineLevel="0" collapsed="false">
      <c r="A38" s="38" t="n">
        <f aca="false">IF($B38="","",ROW()-3)</f>
        <v>35</v>
      </c>
      <c r="B38" s="31" t="s">
        <v>197</v>
      </c>
      <c r="C38" s="31" t="s">
        <v>198</v>
      </c>
      <c r="D38" s="31" t="s">
        <v>131</v>
      </c>
      <c r="E38" s="31" t="s">
        <v>200</v>
      </c>
      <c r="F38" s="32" t="n">
        <v>46092</v>
      </c>
      <c r="G38" s="32"/>
      <c r="H38" s="31" t="s">
        <v>139</v>
      </c>
      <c r="I38" s="31" t="s">
        <v>67</v>
      </c>
      <c r="J38" s="33" t="n">
        <v>45</v>
      </c>
      <c r="K38" s="34" t="n">
        <v>357358.85</v>
      </c>
      <c r="L38" s="34" t="n">
        <v>0</v>
      </c>
      <c r="M38" s="34" t="n">
        <v>0</v>
      </c>
      <c r="N38" s="39" t="n">
        <f aca="false">IF($K38="","",$K38-N($L38)-N($M38))</f>
        <v>357358.85</v>
      </c>
      <c r="O38" s="31" t="s">
        <v>68</v>
      </c>
      <c r="P38" s="31" t="s">
        <v>68</v>
      </c>
      <c r="Q38" s="31"/>
      <c r="R38" s="32"/>
      <c r="S38" s="32"/>
      <c r="T38" s="32"/>
      <c r="U38" s="32"/>
      <c r="V38" s="31" t="s">
        <v>134</v>
      </c>
      <c r="W38" s="40" t="n">
        <f aca="false">IF(OR($F38="",$J38=""),"",$F38+$J38)</f>
        <v>46137</v>
      </c>
      <c r="X38" s="32"/>
      <c r="Y38" s="34"/>
      <c r="Z38" s="31"/>
      <c r="AA38" s="31"/>
      <c r="AB38" s="32"/>
      <c r="AC38" s="31"/>
      <c r="AD38" s="32"/>
      <c r="AE38" s="31"/>
      <c r="AF38" s="41" t="str">
        <f aca="false">IF(OR($R38="",$S38=""),"",$S38-$R38)</f>
        <v/>
      </c>
      <c r="AG38" s="41" t="str">
        <f aca="false">IF(OR($S38="",$T38=""),"",$T38-$S38)</f>
        <v/>
      </c>
      <c r="AH38" s="41" t="str">
        <f aca="false">IF(OR($T38="",$U38=""),"",$U38-$T38)</f>
        <v/>
      </c>
      <c r="AI38" s="41" t="str">
        <f aca="false">IF(OR($R38="",$U38=""),"",$U38-$R38)</f>
        <v/>
      </c>
      <c r="AJ38" s="41" t="str">
        <f aca="false">IF(OR($U38="",$AB38=""),"",$AB38-$U38)</f>
        <v/>
      </c>
      <c r="AK38" s="41" t="str">
        <f aca="false">IF(OR($R38="",$AD38=""),"",$AD38-$R38)</f>
        <v/>
      </c>
      <c r="AL38" s="31"/>
      <c r="AM38" s="32"/>
      <c r="AN38" s="31" t="s">
        <v>135</v>
      </c>
    </row>
    <row r="39" customFormat="false" ht="15" hidden="false" customHeight="true" outlineLevel="0" collapsed="false">
      <c r="A39" s="38" t="n">
        <f aca="false">IF($B39="","",ROW()-3)</f>
        <v>36</v>
      </c>
      <c r="B39" s="31" t="s">
        <v>197</v>
      </c>
      <c r="C39" s="31" t="s">
        <v>198</v>
      </c>
      <c r="D39" s="31" t="s">
        <v>131</v>
      </c>
      <c r="E39" s="31" t="s">
        <v>201</v>
      </c>
      <c r="F39" s="32" t="n">
        <v>46092</v>
      </c>
      <c r="G39" s="32"/>
      <c r="H39" s="31" t="s">
        <v>139</v>
      </c>
      <c r="I39" s="31" t="s">
        <v>67</v>
      </c>
      <c r="J39" s="33" t="n">
        <v>45</v>
      </c>
      <c r="K39" s="34" t="n">
        <v>2261898.74</v>
      </c>
      <c r="L39" s="34" t="n">
        <v>114466.34</v>
      </c>
      <c r="M39" s="34" t="n">
        <v>0</v>
      </c>
      <c r="N39" s="39" t="n">
        <f aca="false">IF($K39="","",$K39-N($L39)-N($M39))</f>
        <v>2147432.4</v>
      </c>
      <c r="O39" s="31" t="s">
        <v>68</v>
      </c>
      <c r="P39" s="31" t="s">
        <v>68</v>
      </c>
      <c r="Q39" s="31"/>
      <c r="R39" s="32"/>
      <c r="S39" s="32"/>
      <c r="T39" s="32"/>
      <c r="U39" s="32"/>
      <c r="V39" s="31" t="s">
        <v>134</v>
      </c>
      <c r="W39" s="40" t="n">
        <f aca="false">IF(OR($F39="",$J39=""),"",$F39+$J39)</f>
        <v>46137</v>
      </c>
      <c r="X39" s="32"/>
      <c r="Y39" s="34"/>
      <c r="Z39" s="31"/>
      <c r="AA39" s="31"/>
      <c r="AB39" s="32"/>
      <c r="AC39" s="31"/>
      <c r="AD39" s="32"/>
      <c r="AE39" s="31"/>
      <c r="AF39" s="41" t="str">
        <f aca="false">IF(OR($R39="",$S39=""),"",$S39-$R39)</f>
        <v/>
      </c>
      <c r="AG39" s="41" t="str">
        <f aca="false">IF(OR($S39="",$T39=""),"",$T39-$S39)</f>
        <v/>
      </c>
      <c r="AH39" s="41" t="str">
        <f aca="false">IF(OR($T39="",$U39=""),"",$U39-$T39)</f>
        <v/>
      </c>
      <c r="AI39" s="41" t="str">
        <f aca="false">IF(OR($R39="",$U39=""),"",$U39-$R39)</f>
        <v/>
      </c>
      <c r="AJ39" s="41" t="str">
        <f aca="false">IF(OR($U39="",$AB39=""),"",$AB39-$U39)</f>
        <v/>
      </c>
      <c r="AK39" s="41" t="str">
        <f aca="false">IF(OR($R39="",$AD39=""),"",$AD39-$R39)</f>
        <v/>
      </c>
      <c r="AL39" s="31"/>
      <c r="AM39" s="32"/>
      <c r="AN39" s="31" t="s">
        <v>135</v>
      </c>
    </row>
    <row r="40" customFormat="false" ht="15" hidden="false" customHeight="true" outlineLevel="0" collapsed="false">
      <c r="A40" s="38" t="n">
        <f aca="false">IF($B40="","",ROW()-3)</f>
        <v>37</v>
      </c>
      <c r="B40" s="31" t="s">
        <v>197</v>
      </c>
      <c r="C40" s="31" t="s">
        <v>198</v>
      </c>
      <c r="D40" s="31" t="s">
        <v>131</v>
      </c>
      <c r="E40" s="31" t="s">
        <v>202</v>
      </c>
      <c r="F40" s="32" t="n">
        <v>46064</v>
      </c>
      <c r="G40" s="32"/>
      <c r="H40" s="31" t="s">
        <v>139</v>
      </c>
      <c r="I40" s="31" t="s">
        <v>69</v>
      </c>
      <c r="J40" s="33" t="n">
        <v>60</v>
      </c>
      <c r="K40" s="34" t="n">
        <v>90303</v>
      </c>
      <c r="L40" s="34" t="n">
        <v>0</v>
      </c>
      <c r="M40" s="34" t="n">
        <v>0</v>
      </c>
      <c r="N40" s="39" t="n">
        <f aca="false">IF($K40="","",$K40-N($L40)-N($M40))</f>
        <v>90303</v>
      </c>
      <c r="O40" s="31" t="s">
        <v>68</v>
      </c>
      <c r="P40" s="31" t="s">
        <v>68</v>
      </c>
      <c r="Q40" s="31"/>
      <c r="R40" s="32"/>
      <c r="S40" s="32"/>
      <c r="T40" s="32"/>
      <c r="U40" s="32"/>
      <c r="V40" s="31" t="s">
        <v>134</v>
      </c>
      <c r="W40" s="40" t="n">
        <f aca="false">IF(OR($F40="",$J40=""),"",$F40+$J40)</f>
        <v>46124</v>
      </c>
      <c r="X40" s="32"/>
      <c r="Y40" s="34"/>
      <c r="Z40" s="31"/>
      <c r="AA40" s="31"/>
      <c r="AB40" s="32"/>
      <c r="AC40" s="31"/>
      <c r="AD40" s="32"/>
      <c r="AE40" s="31"/>
      <c r="AF40" s="41" t="str">
        <f aca="false">IF(OR($R40="",$S40=""),"",$S40-$R40)</f>
        <v/>
      </c>
      <c r="AG40" s="41" t="str">
        <f aca="false">IF(OR($S40="",$T40=""),"",$T40-$S40)</f>
        <v/>
      </c>
      <c r="AH40" s="41" t="str">
        <f aca="false">IF(OR($T40="",$U40=""),"",$U40-$T40)</f>
        <v/>
      </c>
      <c r="AI40" s="41" t="str">
        <f aca="false">IF(OR($R40="",$U40=""),"",$U40-$R40)</f>
        <v/>
      </c>
      <c r="AJ40" s="41" t="str">
        <f aca="false">IF(OR($U40="",$AB40=""),"",$AB40-$U40)</f>
        <v/>
      </c>
      <c r="AK40" s="41" t="str">
        <f aca="false">IF(OR($R40="",$AD40=""),"",$AD40-$R40)</f>
        <v/>
      </c>
      <c r="AL40" s="31"/>
      <c r="AM40" s="32"/>
      <c r="AN40" s="31" t="s">
        <v>135</v>
      </c>
    </row>
    <row r="41" customFormat="false" ht="15" hidden="false" customHeight="true" outlineLevel="0" collapsed="false">
      <c r="A41" s="38" t="n">
        <f aca="false">IF($B41="","",ROW()-3)</f>
        <v>38</v>
      </c>
      <c r="B41" s="31" t="s">
        <v>203</v>
      </c>
      <c r="C41" s="31" t="s">
        <v>204</v>
      </c>
      <c r="D41" s="31" t="s">
        <v>131</v>
      </c>
      <c r="E41" s="31" t="s">
        <v>205</v>
      </c>
      <c r="F41" s="32" t="n">
        <v>46091</v>
      </c>
      <c r="G41" s="32"/>
      <c r="H41" s="31" t="s">
        <v>167</v>
      </c>
      <c r="I41" s="31" t="s">
        <v>71</v>
      </c>
      <c r="J41" s="33" t="n">
        <v>60</v>
      </c>
      <c r="K41" s="34" t="n">
        <v>490898.21</v>
      </c>
      <c r="L41" s="34" t="n">
        <v>0</v>
      </c>
      <c r="M41" s="34" t="n">
        <v>0</v>
      </c>
      <c r="N41" s="39" t="n">
        <f aca="false">IF($K41="","",$K41-N($L41)-N($M41))</f>
        <v>490898.21</v>
      </c>
      <c r="O41" s="31" t="s">
        <v>68</v>
      </c>
      <c r="P41" s="31" t="s">
        <v>68</v>
      </c>
      <c r="Q41" s="31"/>
      <c r="R41" s="32"/>
      <c r="S41" s="32"/>
      <c r="T41" s="32"/>
      <c r="U41" s="32"/>
      <c r="V41" s="31" t="s">
        <v>134</v>
      </c>
      <c r="W41" s="40" t="n">
        <f aca="false">IF(OR($F41="",$J41=""),"",$F41+$J41)</f>
        <v>46151</v>
      </c>
      <c r="X41" s="32"/>
      <c r="Y41" s="34"/>
      <c r="Z41" s="31"/>
      <c r="AA41" s="31"/>
      <c r="AB41" s="32"/>
      <c r="AC41" s="31"/>
      <c r="AD41" s="32"/>
      <c r="AE41" s="31"/>
      <c r="AF41" s="41" t="str">
        <f aca="false">IF(OR($R41="",$S41=""),"",$S41-$R41)</f>
        <v/>
      </c>
      <c r="AG41" s="41" t="str">
        <f aca="false">IF(OR($S41="",$T41=""),"",$T41-$S41)</f>
        <v/>
      </c>
      <c r="AH41" s="41" t="str">
        <f aca="false">IF(OR($T41="",$U41=""),"",$U41-$T41)</f>
        <v/>
      </c>
      <c r="AI41" s="41" t="str">
        <f aca="false">IF(OR($R41="",$U41=""),"",$U41-$R41)</f>
        <v/>
      </c>
      <c r="AJ41" s="41" t="str">
        <f aca="false">IF(OR($U41="",$AB41=""),"",$AB41-$U41)</f>
        <v/>
      </c>
      <c r="AK41" s="41" t="str">
        <f aca="false">IF(OR($R41="",$AD41=""),"",$AD41-$R41)</f>
        <v/>
      </c>
      <c r="AL41" s="31"/>
      <c r="AM41" s="32"/>
      <c r="AN41" s="31" t="s">
        <v>135</v>
      </c>
    </row>
    <row r="42" customFormat="false" ht="15" hidden="false" customHeight="true" outlineLevel="0" collapsed="false">
      <c r="A42" s="38" t="n">
        <f aca="false">IF($B42="","",ROW()-3)</f>
        <v>39</v>
      </c>
      <c r="B42" s="31" t="s">
        <v>203</v>
      </c>
      <c r="C42" s="31" t="s">
        <v>204</v>
      </c>
      <c r="D42" s="31" t="s">
        <v>131</v>
      </c>
      <c r="E42" s="31" t="s">
        <v>206</v>
      </c>
      <c r="F42" s="32" t="n">
        <v>46091</v>
      </c>
      <c r="G42" s="32"/>
      <c r="H42" s="31" t="s">
        <v>167</v>
      </c>
      <c r="I42" s="31" t="s">
        <v>71</v>
      </c>
      <c r="J42" s="33" t="n">
        <v>60</v>
      </c>
      <c r="K42" s="34" t="n">
        <v>1163913</v>
      </c>
      <c r="L42" s="34" t="n">
        <v>0</v>
      </c>
      <c r="M42" s="34" t="n">
        <v>37237.72</v>
      </c>
      <c r="N42" s="39" t="n">
        <f aca="false">IF($K42="","",$K42-N($L42)-N($M42))</f>
        <v>1126675.28</v>
      </c>
      <c r="O42" s="31" t="s">
        <v>68</v>
      </c>
      <c r="P42" s="31" t="s">
        <v>68</v>
      </c>
      <c r="Q42" s="31"/>
      <c r="R42" s="32"/>
      <c r="S42" s="32"/>
      <c r="T42" s="32"/>
      <c r="U42" s="32"/>
      <c r="V42" s="31" t="s">
        <v>134</v>
      </c>
      <c r="W42" s="40" t="n">
        <f aca="false">IF(OR($F42="",$J42=""),"",$F42+$J42)</f>
        <v>46151</v>
      </c>
      <c r="X42" s="32"/>
      <c r="Y42" s="34"/>
      <c r="Z42" s="31"/>
      <c r="AA42" s="31"/>
      <c r="AB42" s="32"/>
      <c r="AC42" s="31"/>
      <c r="AD42" s="32"/>
      <c r="AE42" s="31"/>
      <c r="AF42" s="41" t="str">
        <f aca="false">IF(OR($R42="",$S42=""),"",$S42-$R42)</f>
        <v/>
      </c>
      <c r="AG42" s="41" t="str">
        <f aca="false">IF(OR($S42="",$T42=""),"",$T42-$S42)</f>
        <v/>
      </c>
      <c r="AH42" s="41" t="str">
        <f aca="false">IF(OR($T42="",$U42=""),"",$U42-$T42)</f>
        <v/>
      </c>
      <c r="AI42" s="41" t="str">
        <f aca="false">IF(OR($R42="",$U42=""),"",$U42-$R42)</f>
        <v/>
      </c>
      <c r="AJ42" s="41" t="str">
        <f aca="false">IF(OR($U42="",$AB42=""),"",$AB42-$U42)</f>
        <v/>
      </c>
      <c r="AK42" s="41" t="str">
        <f aca="false">IF(OR($R42="",$AD42=""),"",$AD42-$R42)</f>
        <v/>
      </c>
      <c r="AL42" s="31"/>
      <c r="AM42" s="32"/>
      <c r="AN42" s="31" t="s">
        <v>135</v>
      </c>
    </row>
    <row r="43" customFormat="false" ht="15" hidden="false" customHeight="true" outlineLevel="0" collapsed="false">
      <c r="A43" s="38" t="n">
        <f aca="false">IF($B43="","",ROW()-3)</f>
        <v>40</v>
      </c>
      <c r="B43" s="31" t="s">
        <v>203</v>
      </c>
      <c r="C43" s="31" t="s">
        <v>204</v>
      </c>
      <c r="D43" s="31" t="s">
        <v>131</v>
      </c>
      <c r="E43" s="31" t="s">
        <v>207</v>
      </c>
      <c r="F43" s="32" t="n">
        <v>46091</v>
      </c>
      <c r="G43" s="32"/>
      <c r="H43" s="31" t="s">
        <v>167</v>
      </c>
      <c r="I43" s="31" t="s">
        <v>67</v>
      </c>
      <c r="J43" s="33" t="n">
        <v>60</v>
      </c>
      <c r="K43" s="34" t="n">
        <v>861907.95</v>
      </c>
      <c r="L43" s="34" t="n">
        <v>0</v>
      </c>
      <c r="M43" s="34" t="n">
        <v>95767.55</v>
      </c>
      <c r="N43" s="39" t="n">
        <f aca="false">IF($K43="","",$K43-N($L43)-N($M43))</f>
        <v>766140.4</v>
      </c>
      <c r="O43" s="31" t="s">
        <v>68</v>
      </c>
      <c r="P43" s="31" t="s">
        <v>68</v>
      </c>
      <c r="Q43" s="31"/>
      <c r="R43" s="32"/>
      <c r="S43" s="32"/>
      <c r="T43" s="32"/>
      <c r="U43" s="32"/>
      <c r="V43" s="31" t="s">
        <v>134</v>
      </c>
      <c r="W43" s="40" t="n">
        <f aca="false">IF(OR($F43="",$J43=""),"",$F43+$J43)</f>
        <v>46151</v>
      </c>
      <c r="X43" s="32"/>
      <c r="Y43" s="34"/>
      <c r="Z43" s="31"/>
      <c r="AA43" s="31"/>
      <c r="AB43" s="32"/>
      <c r="AC43" s="31"/>
      <c r="AD43" s="32"/>
      <c r="AE43" s="31"/>
      <c r="AF43" s="41" t="str">
        <f aca="false">IF(OR($R43="",$S43=""),"",$S43-$R43)</f>
        <v/>
      </c>
      <c r="AG43" s="41" t="str">
        <f aca="false">IF(OR($S43="",$T43=""),"",$T43-$S43)</f>
        <v/>
      </c>
      <c r="AH43" s="41" t="str">
        <f aca="false">IF(OR($T43="",$U43=""),"",$U43-$T43)</f>
        <v/>
      </c>
      <c r="AI43" s="41" t="str">
        <f aca="false">IF(OR($R43="",$U43=""),"",$U43-$R43)</f>
        <v/>
      </c>
      <c r="AJ43" s="41" t="str">
        <f aca="false">IF(OR($U43="",$AB43=""),"",$AB43-$U43)</f>
        <v/>
      </c>
      <c r="AK43" s="41" t="str">
        <f aca="false">IF(OR($R43="",$AD43=""),"",$AD43-$R43)</f>
        <v/>
      </c>
      <c r="AL43" s="31"/>
      <c r="AM43" s="32"/>
      <c r="AN43" s="31" t="s">
        <v>135</v>
      </c>
    </row>
    <row r="44" customFormat="false" ht="15" hidden="false" customHeight="true" outlineLevel="0" collapsed="false">
      <c r="A44" s="38" t="n">
        <f aca="false">IF($B44="","",ROW()-3)</f>
        <v>41</v>
      </c>
      <c r="B44" s="31" t="s">
        <v>203</v>
      </c>
      <c r="C44" s="31" t="s">
        <v>204</v>
      </c>
      <c r="D44" s="31" t="s">
        <v>131</v>
      </c>
      <c r="E44" s="31" t="s">
        <v>208</v>
      </c>
      <c r="F44" s="32" t="n">
        <v>46091</v>
      </c>
      <c r="G44" s="32"/>
      <c r="H44" s="31" t="s">
        <v>167</v>
      </c>
      <c r="I44" s="31" t="s">
        <v>69</v>
      </c>
      <c r="J44" s="33" t="n">
        <v>60</v>
      </c>
      <c r="K44" s="34" t="n">
        <v>1792991</v>
      </c>
      <c r="L44" s="34" t="n">
        <v>0</v>
      </c>
      <c r="M44" s="34" t="n">
        <v>0</v>
      </c>
      <c r="N44" s="39" t="n">
        <f aca="false">IF($K44="","",$K44-N($L44)-N($M44))</f>
        <v>1792991</v>
      </c>
      <c r="O44" s="31" t="s">
        <v>68</v>
      </c>
      <c r="P44" s="31" t="s">
        <v>68</v>
      </c>
      <c r="Q44" s="31"/>
      <c r="R44" s="32"/>
      <c r="S44" s="32"/>
      <c r="T44" s="32"/>
      <c r="U44" s="32"/>
      <c r="V44" s="31" t="s">
        <v>134</v>
      </c>
      <c r="W44" s="40" t="n">
        <f aca="false">IF(OR($F44="",$J44=""),"",$F44+$J44)</f>
        <v>46151</v>
      </c>
      <c r="X44" s="32"/>
      <c r="Y44" s="34"/>
      <c r="Z44" s="31"/>
      <c r="AA44" s="31"/>
      <c r="AB44" s="32"/>
      <c r="AC44" s="31"/>
      <c r="AD44" s="32"/>
      <c r="AE44" s="31"/>
      <c r="AF44" s="41" t="str">
        <f aca="false">IF(OR($R44="",$S44=""),"",$S44-$R44)</f>
        <v/>
      </c>
      <c r="AG44" s="41" t="str">
        <f aca="false">IF(OR($S44="",$T44=""),"",$T44-$S44)</f>
        <v/>
      </c>
      <c r="AH44" s="41" t="str">
        <f aca="false">IF(OR($T44="",$U44=""),"",$U44-$T44)</f>
        <v/>
      </c>
      <c r="AI44" s="41" t="str">
        <f aca="false">IF(OR($R44="",$U44=""),"",$U44-$R44)</f>
        <v/>
      </c>
      <c r="AJ44" s="41" t="str">
        <f aca="false">IF(OR($U44="",$AB44=""),"",$AB44-$U44)</f>
        <v/>
      </c>
      <c r="AK44" s="41" t="str">
        <f aca="false">IF(OR($R44="",$AD44=""),"",$AD44-$R44)</f>
        <v/>
      </c>
      <c r="AL44" s="31"/>
      <c r="AM44" s="32"/>
      <c r="AN44" s="31" t="s">
        <v>135</v>
      </c>
    </row>
    <row r="45" customFormat="false" ht="15" hidden="false" customHeight="true" outlineLevel="0" collapsed="false">
      <c r="A45" s="38" t="n">
        <f aca="false">IF($B45="","",ROW()-3)</f>
        <v>42</v>
      </c>
      <c r="B45" s="31" t="s">
        <v>203</v>
      </c>
      <c r="C45" s="31" t="s">
        <v>204</v>
      </c>
      <c r="D45" s="31" t="s">
        <v>131</v>
      </c>
      <c r="E45" s="31" t="s">
        <v>209</v>
      </c>
      <c r="F45" s="32" t="n">
        <v>46091</v>
      </c>
      <c r="G45" s="32"/>
      <c r="H45" s="31" t="s">
        <v>167</v>
      </c>
      <c r="I45" s="31" t="s">
        <v>75</v>
      </c>
      <c r="J45" s="33" t="n">
        <v>60</v>
      </c>
      <c r="K45" s="34" t="n">
        <v>5170441</v>
      </c>
      <c r="L45" s="34" t="n">
        <v>0</v>
      </c>
      <c r="M45" s="34" t="n">
        <v>0</v>
      </c>
      <c r="N45" s="39" t="n">
        <f aca="false">IF($K45="","",$K45-N($L45)-N($M45))</f>
        <v>5170441</v>
      </c>
      <c r="O45" s="31" t="s">
        <v>68</v>
      </c>
      <c r="P45" s="31" t="s">
        <v>68</v>
      </c>
      <c r="Q45" s="31"/>
      <c r="R45" s="32"/>
      <c r="S45" s="32"/>
      <c r="T45" s="32"/>
      <c r="U45" s="32"/>
      <c r="V45" s="31" t="s">
        <v>134</v>
      </c>
      <c r="W45" s="40" t="n">
        <f aca="false">IF(OR($F45="",$J45=""),"",$F45+$J45)</f>
        <v>46151</v>
      </c>
      <c r="X45" s="32"/>
      <c r="Y45" s="34"/>
      <c r="Z45" s="31"/>
      <c r="AA45" s="31"/>
      <c r="AB45" s="32"/>
      <c r="AC45" s="31"/>
      <c r="AD45" s="32"/>
      <c r="AE45" s="31"/>
      <c r="AF45" s="41" t="str">
        <f aca="false">IF(OR($R45="",$S45=""),"",$S45-$R45)</f>
        <v/>
      </c>
      <c r="AG45" s="41" t="str">
        <f aca="false">IF(OR($S45="",$T45=""),"",$T45-$S45)</f>
        <v/>
      </c>
      <c r="AH45" s="41" t="str">
        <f aca="false">IF(OR($T45="",$U45=""),"",$U45-$T45)</f>
        <v/>
      </c>
      <c r="AI45" s="41" t="str">
        <f aca="false">IF(OR($R45="",$U45=""),"",$U45-$R45)</f>
        <v/>
      </c>
      <c r="AJ45" s="41" t="str">
        <f aca="false">IF(OR($U45="",$AB45=""),"",$AB45-$U45)</f>
        <v/>
      </c>
      <c r="AK45" s="41" t="str">
        <f aca="false">IF(OR($R45="",$AD45=""),"",$AD45-$R45)</f>
        <v/>
      </c>
      <c r="AL45" s="31"/>
      <c r="AM45" s="32"/>
      <c r="AN45" s="31" t="s">
        <v>135</v>
      </c>
    </row>
    <row r="46" customFormat="false" ht="15" hidden="false" customHeight="true" outlineLevel="0" collapsed="false">
      <c r="A46" s="38" t="n">
        <f aca="false">IF($B46="","",ROW()-3)</f>
        <v>43</v>
      </c>
      <c r="B46" s="31" t="s">
        <v>203</v>
      </c>
      <c r="C46" s="31" t="s">
        <v>204</v>
      </c>
      <c r="D46" s="31" t="s">
        <v>131</v>
      </c>
      <c r="E46" s="31" t="s">
        <v>210</v>
      </c>
      <c r="F46" s="32" t="n">
        <v>46091</v>
      </c>
      <c r="G46" s="32"/>
      <c r="H46" s="31" t="s">
        <v>139</v>
      </c>
      <c r="I46" s="31" t="s">
        <v>71</v>
      </c>
      <c r="J46" s="33" t="n">
        <v>60</v>
      </c>
      <c r="K46" s="34" t="n">
        <v>158116.1</v>
      </c>
      <c r="L46" s="34" t="n">
        <v>94195.2</v>
      </c>
      <c r="M46" s="34" t="n">
        <v>0</v>
      </c>
      <c r="N46" s="39" t="n">
        <f aca="false">IF($K46="","",$K46-N($L46)-N($M46))</f>
        <v>63920.9</v>
      </c>
      <c r="O46" s="31" t="s">
        <v>68</v>
      </c>
      <c r="P46" s="31" t="s">
        <v>68</v>
      </c>
      <c r="Q46" s="31"/>
      <c r="R46" s="32"/>
      <c r="S46" s="32"/>
      <c r="T46" s="32"/>
      <c r="U46" s="32"/>
      <c r="V46" s="31" t="s">
        <v>134</v>
      </c>
      <c r="W46" s="40" t="n">
        <f aca="false">IF(OR($F46="",$J46=""),"",$F46+$J46)</f>
        <v>46151</v>
      </c>
      <c r="X46" s="32"/>
      <c r="Y46" s="34"/>
      <c r="Z46" s="31"/>
      <c r="AA46" s="31"/>
      <c r="AB46" s="32"/>
      <c r="AC46" s="31"/>
      <c r="AD46" s="32"/>
      <c r="AE46" s="31"/>
      <c r="AF46" s="41" t="str">
        <f aca="false">IF(OR($R46="",$S46=""),"",$S46-$R46)</f>
        <v/>
      </c>
      <c r="AG46" s="41" t="str">
        <f aca="false">IF(OR($S46="",$T46=""),"",$T46-$S46)</f>
        <v/>
      </c>
      <c r="AH46" s="41" t="str">
        <f aca="false">IF(OR($T46="",$U46=""),"",$U46-$T46)</f>
        <v/>
      </c>
      <c r="AI46" s="41" t="str">
        <f aca="false">IF(OR($R46="",$U46=""),"",$U46-$R46)</f>
        <v/>
      </c>
      <c r="AJ46" s="41" t="str">
        <f aca="false">IF(OR($U46="",$AB46=""),"",$AB46-$U46)</f>
        <v/>
      </c>
      <c r="AK46" s="41" t="str">
        <f aca="false">IF(OR($R46="",$AD46=""),"",$AD46-$R46)</f>
        <v/>
      </c>
      <c r="AL46" s="31"/>
      <c r="AM46" s="32"/>
      <c r="AN46" s="31" t="s">
        <v>135</v>
      </c>
    </row>
    <row r="47" customFormat="false" ht="15" hidden="false" customHeight="true" outlineLevel="0" collapsed="false">
      <c r="A47" s="38" t="n">
        <f aca="false">IF($B47="","",ROW()-3)</f>
        <v>44</v>
      </c>
      <c r="B47" s="31" t="s">
        <v>203</v>
      </c>
      <c r="C47" s="31" t="s">
        <v>204</v>
      </c>
      <c r="D47" s="31" t="s">
        <v>131</v>
      </c>
      <c r="E47" s="31" t="s">
        <v>211</v>
      </c>
      <c r="F47" s="32" t="n">
        <v>46091</v>
      </c>
      <c r="G47" s="32"/>
      <c r="H47" s="31" t="s">
        <v>139</v>
      </c>
      <c r="I47" s="31" t="s">
        <v>69</v>
      </c>
      <c r="J47" s="33" t="n">
        <v>60</v>
      </c>
      <c r="K47" s="34" t="n">
        <v>22706.72</v>
      </c>
      <c r="L47" s="34" t="n">
        <v>22706.72</v>
      </c>
      <c r="M47" s="34" t="n">
        <v>0</v>
      </c>
      <c r="N47" s="39" t="n">
        <f aca="false">IF($K47="","",$K47-N($L47)-N($M47))</f>
        <v>0</v>
      </c>
      <c r="O47" s="31" t="s">
        <v>68</v>
      </c>
      <c r="P47" s="31" t="s">
        <v>68</v>
      </c>
      <c r="Q47" s="31"/>
      <c r="R47" s="32"/>
      <c r="S47" s="32"/>
      <c r="T47" s="32"/>
      <c r="U47" s="32"/>
      <c r="V47" s="31" t="s">
        <v>134</v>
      </c>
      <c r="W47" s="40" t="n">
        <f aca="false">IF(OR($F47="",$J47=""),"",$F47+$J47)</f>
        <v>46151</v>
      </c>
      <c r="X47" s="32"/>
      <c r="Y47" s="34"/>
      <c r="Z47" s="31"/>
      <c r="AA47" s="31"/>
      <c r="AB47" s="32"/>
      <c r="AC47" s="31"/>
      <c r="AD47" s="32"/>
      <c r="AE47" s="31"/>
      <c r="AF47" s="41" t="str">
        <f aca="false">IF(OR($R47="",$S47=""),"",$S47-$R47)</f>
        <v/>
      </c>
      <c r="AG47" s="41" t="str">
        <f aca="false">IF(OR($S47="",$T47=""),"",$T47-$S47)</f>
        <v/>
      </c>
      <c r="AH47" s="41" t="str">
        <f aca="false">IF(OR($T47="",$U47=""),"",$U47-$T47)</f>
        <v/>
      </c>
      <c r="AI47" s="41" t="str">
        <f aca="false">IF(OR($R47="",$U47=""),"",$U47-$R47)</f>
        <v/>
      </c>
      <c r="AJ47" s="41" t="str">
        <f aca="false">IF(OR($U47="",$AB47=""),"",$AB47-$U47)</f>
        <v/>
      </c>
      <c r="AK47" s="41" t="str">
        <f aca="false">IF(OR($R47="",$AD47=""),"",$AD47-$R47)</f>
        <v/>
      </c>
      <c r="AL47" s="31"/>
      <c r="AM47" s="32"/>
      <c r="AN47" s="31" t="s">
        <v>135</v>
      </c>
    </row>
    <row r="48" customFormat="false" ht="15" hidden="false" customHeight="true" outlineLevel="0" collapsed="false">
      <c r="A48" s="38" t="n">
        <f aca="false">IF($B48="","",ROW()-3)</f>
        <v>45</v>
      </c>
      <c r="B48" s="31" t="s">
        <v>212</v>
      </c>
      <c r="C48" s="31" t="s">
        <v>213</v>
      </c>
      <c r="D48" s="31" t="s">
        <v>131</v>
      </c>
      <c r="E48" s="31" t="s">
        <v>214</v>
      </c>
      <c r="F48" s="32" t="n">
        <v>46086</v>
      </c>
      <c r="G48" s="32"/>
      <c r="H48" s="31" t="s">
        <v>167</v>
      </c>
      <c r="I48" s="31" t="s">
        <v>69</v>
      </c>
      <c r="J48" s="33" t="n">
        <v>60</v>
      </c>
      <c r="K48" s="34" t="n">
        <v>3204114.81</v>
      </c>
      <c r="L48" s="34" t="n">
        <v>289509.75</v>
      </c>
      <c r="M48" s="34" t="n">
        <v>184425.78</v>
      </c>
      <c r="N48" s="39" t="n">
        <f aca="false">IF($K48="","",$K48-N($L48)-N($M48))</f>
        <v>2730179.28</v>
      </c>
      <c r="O48" s="31" t="s">
        <v>68</v>
      </c>
      <c r="P48" s="31" t="s">
        <v>68</v>
      </c>
      <c r="Q48" s="31"/>
      <c r="R48" s="32"/>
      <c r="S48" s="32"/>
      <c r="T48" s="32"/>
      <c r="U48" s="32"/>
      <c r="V48" s="31" t="s">
        <v>134</v>
      </c>
      <c r="W48" s="40" t="n">
        <f aca="false">IF(OR($F48="",$J48=""),"",$F48+$J48)</f>
        <v>46146</v>
      </c>
      <c r="X48" s="32"/>
      <c r="Y48" s="34"/>
      <c r="Z48" s="31"/>
      <c r="AA48" s="31"/>
      <c r="AB48" s="32"/>
      <c r="AC48" s="31"/>
      <c r="AD48" s="32"/>
      <c r="AE48" s="31"/>
      <c r="AF48" s="41" t="str">
        <f aca="false">IF(OR($R48="",$S48=""),"",$S48-$R48)</f>
        <v/>
      </c>
      <c r="AG48" s="41" t="str">
        <f aca="false">IF(OR($S48="",$T48=""),"",$T48-$S48)</f>
        <v/>
      </c>
      <c r="AH48" s="41" t="str">
        <f aca="false">IF(OR($T48="",$U48=""),"",$U48-$T48)</f>
        <v/>
      </c>
      <c r="AI48" s="41" t="str">
        <f aca="false">IF(OR($R48="",$U48=""),"",$U48-$R48)</f>
        <v/>
      </c>
      <c r="AJ48" s="41" t="str">
        <f aca="false">IF(OR($U48="",$AB48=""),"",$AB48-$U48)</f>
        <v/>
      </c>
      <c r="AK48" s="41" t="str">
        <f aca="false">IF(OR($R48="",$AD48=""),"",$AD48-$R48)</f>
        <v/>
      </c>
      <c r="AL48" s="31"/>
      <c r="AM48" s="32"/>
      <c r="AN48" s="31" t="s">
        <v>135</v>
      </c>
    </row>
    <row r="49" customFormat="false" ht="15" hidden="false" customHeight="true" outlineLevel="0" collapsed="false">
      <c r="A49" s="38" t="n">
        <f aca="false">IF($B49="","",ROW()-3)</f>
        <v>46</v>
      </c>
      <c r="B49" s="31" t="s">
        <v>215</v>
      </c>
      <c r="C49" s="31" t="s">
        <v>216</v>
      </c>
      <c r="D49" s="31" t="s">
        <v>131</v>
      </c>
      <c r="E49" s="31" t="s">
        <v>217</v>
      </c>
      <c r="F49" s="32" t="n">
        <v>46086</v>
      </c>
      <c r="G49" s="32"/>
      <c r="H49" s="31" t="s">
        <v>139</v>
      </c>
      <c r="I49" s="31" t="s">
        <v>67</v>
      </c>
      <c r="J49" s="33" t="n">
        <v>60</v>
      </c>
      <c r="K49" s="34" t="n">
        <v>92109.63</v>
      </c>
      <c r="L49" s="34" t="n">
        <v>0</v>
      </c>
      <c r="M49" s="34" t="n">
        <v>0</v>
      </c>
      <c r="N49" s="39" t="n">
        <f aca="false">IF($K49="","",$K49-N($L49)-N($M49))</f>
        <v>92109.63</v>
      </c>
      <c r="O49" s="31" t="s">
        <v>68</v>
      </c>
      <c r="P49" s="31" t="s">
        <v>68</v>
      </c>
      <c r="Q49" s="31"/>
      <c r="R49" s="32"/>
      <c r="S49" s="32"/>
      <c r="T49" s="32"/>
      <c r="U49" s="32"/>
      <c r="V49" s="31" t="s">
        <v>134</v>
      </c>
      <c r="W49" s="40" t="n">
        <f aca="false">IF(OR($F49="",$J49=""),"",$F49+$J49)</f>
        <v>46146</v>
      </c>
      <c r="X49" s="32"/>
      <c r="Y49" s="34"/>
      <c r="Z49" s="31"/>
      <c r="AA49" s="31"/>
      <c r="AB49" s="32"/>
      <c r="AC49" s="31"/>
      <c r="AD49" s="32"/>
      <c r="AE49" s="31"/>
      <c r="AF49" s="41" t="str">
        <f aca="false">IF(OR($R49="",$S49=""),"",$S49-$R49)</f>
        <v/>
      </c>
      <c r="AG49" s="41" t="str">
        <f aca="false">IF(OR($S49="",$T49=""),"",$T49-$S49)</f>
        <v/>
      </c>
      <c r="AH49" s="41" t="str">
        <f aca="false">IF(OR($T49="",$U49=""),"",$U49-$T49)</f>
        <v/>
      </c>
      <c r="AI49" s="41" t="str">
        <f aca="false">IF(OR($R49="",$U49=""),"",$U49-$R49)</f>
        <v/>
      </c>
      <c r="AJ49" s="41" t="str">
        <f aca="false">IF(OR($U49="",$AB49=""),"",$AB49-$U49)</f>
        <v/>
      </c>
      <c r="AK49" s="41" t="str">
        <f aca="false">IF(OR($R49="",$AD49=""),"",$AD49-$R49)</f>
        <v/>
      </c>
      <c r="AL49" s="31"/>
      <c r="AM49" s="32"/>
      <c r="AN49" s="31" t="s">
        <v>135</v>
      </c>
    </row>
    <row r="50" customFormat="false" ht="15" hidden="false" customHeight="true" outlineLevel="0" collapsed="false">
      <c r="A50" s="38" t="n">
        <f aca="false">IF($B50="","",ROW()-3)</f>
        <v>47</v>
      </c>
      <c r="B50" s="31" t="s">
        <v>218</v>
      </c>
      <c r="C50" s="31" t="s">
        <v>219</v>
      </c>
      <c r="D50" s="31" t="s">
        <v>131</v>
      </c>
      <c r="E50" s="31" t="s">
        <v>220</v>
      </c>
      <c r="F50" s="32" t="n">
        <v>46083</v>
      </c>
      <c r="G50" s="32"/>
      <c r="H50" s="31"/>
      <c r="I50" s="31" t="s">
        <v>69</v>
      </c>
      <c r="J50" s="33"/>
      <c r="K50" s="34" t="n">
        <v>132240</v>
      </c>
      <c r="L50" s="34" t="n">
        <v>0</v>
      </c>
      <c r="M50" s="34" t="n">
        <v>0</v>
      </c>
      <c r="N50" s="39" t="n">
        <f aca="false">IF($K50="","",$K50-N($L50)-N($M50))</f>
        <v>132240</v>
      </c>
      <c r="O50" s="31" t="s">
        <v>68</v>
      </c>
      <c r="P50" s="31" t="s">
        <v>68</v>
      </c>
      <c r="Q50" s="31"/>
      <c r="R50" s="32"/>
      <c r="S50" s="32"/>
      <c r="T50" s="32"/>
      <c r="U50" s="32"/>
      <c r="V50" s="31" t="s">
        <v>134</v>
      </c>
      <c r="W50" s="40" t="str">
        <f aca="false">IF(OR($F50="",$J50=""),"",$F50+$J50)</f>
        <v/>
      </c>
      <c r="X50" s="32"/>
      <c r="Y50" s="34"/>
      <c r="Z50" s="31"/>
      <c r="AA50" s="31"/>
      <c r="AB50" s="32"/>
      <c r="AC50" s="31"/>
      <c r="AD50" s="32"/>
      <c r="AE50" s="31"/>
      <c r="AF50" s="41" t="str">
        <f aca="false">IF(OR($R50="",$S50=""),"",$S50-$R50)</f>
        <v/>
      </c>
      <c r="AG50" s="41" t="str">
        <f aca="false">IF(OR($S50="",$T50=""),"",$T50-$S50)</f>
        <v/>
      </c>
      <c r="AH50" s="41" t="str">
        <f aca="false">IF(OR($T50="",$U50=""),"",$U50-$T50)</f>
        <v/>
      </c>
      <c r="AI50" s="41" t="str">
        <f aca="false">IF(OR($R50="",$U50=""),"",$U50-$R50)</f>
        <v/>
      </c>
      <c r="AJ50" s="41" t="str">
        <f aca="false">IF(OR($U50="",$AB50=""),"",$AB50-$U50)</f>
        <v/>
      </c>
      <c r="AK50" s="41" t="str">
        <f aca="false">IF(OR($R50="",$AD50=""),"",$AD50-$R50)</f>
        <v/>
      </c>
      <c r="AL50" s="31"/>
      <c r="AM50" s="32"/>
      <c r="AN50" s="31" t="s">
        <v>135</v>
      </c>
    </row>
    <row r="51" customFormat="false" ht="15" hidden="false" customHeight="true" outlineLevel="0" collapsed="false">
      <c r="A51" s="38" t="n">
        <f aca="false">IF($B51="","",ROW()-3)</f>
        <v>48</v>
      </c>
      <c r="B51" s="31" t="s">
        <v>218</v>
      </c>
      <c r="C51" s="31" t="s">
        <v>219</v>
      </c>
      <c r="D51" s="31" t="s">
        <v>131</v>
      </c>
      <c r="E51" s="31" t="s">
        <v>221</v>
      </c>
      <c r="F51" s="32" t="n">
        <v>46083</v>
      </c>
      <c r="G51" s="32"/>
      <c r="H51" s="31"/>
      <c r="I51" s="31" t="s">
        <v>69</v>
      </c>
      <c r="J51" s="33"/>
      <c r="K51" s="34" t="n">
        <v>92102</v>
      </c>
      <c r="L51" s="34" t="n">
        <v>0</v>
      </c>
      <c r="M51" s="34" t="n">
        <v>0</v>
      </c>
      <c r="N51" s="39" t="n">
        <f aca="false">IF($K51="","",$K51-N($L51)-N($M51))</f>
        <v>92102</v>
      </c>
      <c r="O51" s="31" t="s">
        <v>68</v>
      </c>
      <c r="P51" s="31" t="s">
        <v>68</v>
      </c>
      <c r="Q51" s="31"/>
      <c r="R51" s="32"/>
      <c r="S51" s="32"/>
      <c r="T51" s="32"/>
      <c r="U51" s="32"/>
      <c r="V51" s="31" t="s">
        <v>134</v>
      </c>
      <c r="W51" s="40" t="str">
        <f aca="false">IF(OR($F51="",$J51=""),"",$F51+$J51)</f>
        <v/>
      </c>
      <c r="X51" s="32"/>
      <c r="Y51" s="34"/>
      <c r="Z51" s="31"/>
      <c r="AA51" s="31"/>
      <c r="AB51" s="32"/>
      <c r="AC51" s="31"/>
      <c r="AD51" s="32"/>
      <c r="AE51" s="31"/>
      <c r="AF51" s="41" t="str">
        <f aca="false">IF(OR($R51="",$S51=""),"",$S51-$R51)</f>
        <v/>
      </c>
      <c r="AG51" s="41" t="str">
        <f aca="false">IF(OR($S51="",$T51=""),"",$T51-$S51)</f>
        <v/>
      </c>
      <c r="AH51" s="41" t="str">
        <f aca="false">IF(OR($T51="",$U51=""),"",$U51-$T51)</f>
        <v/>
      </c>
      <c r="AI51" s="41" t="str">
        <f aca="false">IF(OR($R51="",$U51=""),"",$U51-$R51)</f>
        <v/>
      </c>
      <c r="AJ51" s="41" t="str">
        <f aca="false">IF(OR($U51="",$AB51=""),"",$AB51-$U51)</f>
        <v/>
      </c>
      <c r="AK51" s="41" t="str">
        <f aca="false">IF(OR($R51="",$AD51=""),"",$AD51-$R51)</f>
        <v/>
      </c>
      <c r="AL51" s="31"/>
      <c r="AM51" s="32"/>
      <c r="AN51" s="31" t="s">
        <v>135</v>
      </c>
    </row>
    <row r="52" customFormat="false" ht="15" hidden="false" customHeight="true" outlineLevel="0" collapsed="false">
      <c r="A52" s="38" t="n">
        <f aca="false">IF($B52="","",ROW()-3)</f>
        <v>49</v>
      </c>
      <c r="B52" s="31" t="s">
        <v>222</v>
      </c>
      <c r="C52" s="31" t="s">
        <v>223</v>
      </c>
      <c r="D52" s="31" t="s">
        <v>131</v>
      </c>
      <c r="E52" s="31" t="s">
        <v>224</v>
      </c>
      <c r="F52" s="32" t="n">
        <v>46083</v>
      </c>
      <c r="G52" s="32"/>
      <c r="H52" s="31" t="s">
        <v>139</v>
      </c>
      <c r="I52" s="31" t="s">
        <v>67</v>
      </c>
      <c r="J52" s="33" t="n">
        <v>60</v>
      </c>
      <c r="K52" s="34" t="n">
        <v>31748.4</v>
      </c>
      <c r="L52" s="34" t="n">
        <v>0</v>
      </c>
      <c r="M52" s="34" t="n">
        <v>0</v>
      </c>
      <c r="N52" s="39" t="n">
        <f aca="false">IF($K52="","",$K52-N($L52)-N($M52))</f>
        <v>31748.4</v>
      </c>
      <c r="O52" s="31" t="s">
        <v>68</v>
      </c>
      <c r="P52" s="31" t="s">
        <v>68</v>
      </c>
      <c r="Q52" s="31"/>
      <c r="R52" s="32"/>
      <c r="S52" s="32"/>
      <c r="T52" s="32"/>
      <c r="U52" s="32"/>
      <c r="V52" s="31" t="s">
        <v>134</v>
      </c>
      <c r="W52" s="40" t="n">
        <f aca="false">IF(OR($F52="",$J52=""),"",$F52+$J52)</f>
        <v>46143</v>
      </c>
      <c r="X52" s="32"/>
      <c r="Y52" s="34"/>
      <c r="Z52" s="31"/>
      <c r="AA52" s="31"/>
      <c r="AB52" s="32"/>
      <c r="AC52" s="31"/>
      <c r="AD52" s="32"/>
      <c r="AE52" s="31"/>
      <c r="AF52" s="41" t="str">
        <f aca="false">IF(OR($R52="",$S52=""),"",$S52-$R52)</f>
        <v/>
      </c>
      <c r="AG52" s="41" t="str">
        <f aca="false">IF(OR($S52="",$T52=""),"",$T52-$S52)</f>
        <v/>
      </c>
      <c r="AH52" s="41" t="str">
        <f aca="false">IF(OR($T52="",$U52=""),"",$U52-$T52)</f>
        <v/>
      </c>
      <c r="AI52" s="41" t="str">
        <f aca="false">IF(OR($R52="",$U52=""),"",$U52-$R52)</f>
        <v/>
      </c>
      <c r="AJ52" s="41" t="str">
        <f aca="false">IF(OR($U52="",$AB52=""),"",$AB52-$U52)</f>
        <v/>
      </c>
      <c r="AK52" s="41" t="str">
        <f aca="false">IF(OR($R52="",$AD52=""),"",$AD52-$R52)</f>
        <v/>
      </c>
      <c r="AL52" s="31"/>
      <c r="AM52" s="32"/>
      <c r="AN52" s="31" t="s">
        <v>135</v>
      </c>
    </row>
    <row r="53" customFormat="false" ht="15" hidden="false" customHeight="true" outlineLevel="0" collapsed="false">
      <c r="A53" s="38" t="n">
        <f aca="false">IF($B53="","",ROW()-3)</f>
        <v>50</v>
      </c>
      <c r="B53" s="31" t="s">
        <v>222</v>
      </c>
      <c r="C53" s="31" t="s">
        <v>223</v>
      </c>
      <c r="D53" s="31" t="s">
        <v>131</v>
      </c>
      <c r="E53" s="31" t="s">
        <v>225</v>
      </c>
      <c r="F53" s="32" t="n">
        <v>46086</v>
      </c>
      <c r="G53" s="32"/>
      <c r="H53" s="31" t="s">
        <v>139</v>
      </c>
      <c r="I53" s="31" t="s">
        <v>67</v>
      </c>
      <c r="J53" s="33" t="n">
        <v>60</v>
      </c>
      <c r="K53" s="34" t="n">
        <v>317307.52</v>
      </c>
      <c r="L53" s="34" t="n">
        <v>0</v>
      </c>
      <c r="M53" s="34" t="n">
        <v>0</v>
      </c>
      <c r="N53" s="39" t="n">
        <f aca="false">IF($K53="","",$K53-N($L53)-N($M53))</f>
        <v>317307.52</v>
      </c>
      <c r="O53" s="31" t="s">
        <v>68</v>
      </c>
      <c r="P53" s="31" t="s">
        <v>68</v>
      </c>
      <c r="Q53" s="31"/>
      <c r="R53" s="32"/>
      <c r="S53" s="32"/>
      <c r="T53" s="32"/>
      <c r="U53" s="32"/>
      <c r="V53" s="31" t="s">
        <v>134</v>
      </c>
      <c r="W53" s="40" t="n">
        <f aca="false">IF(OR($F53="",$J53=""),"",$F53+$J53)</f>
        <v>46146</v>
      </c>
      <c r="X53" s="32"/>
      <c r="Y53" s="34"/>
      <c r="Z53" s="31"/>
      <c r="AA53" s="31"/>
      <c r="AB53" s="32"/>
      <c r="AC53" s="31"/>
      <c r="AD53" s="32"/>
      <c r="AE53" s="31"/>
      <c r="AF53" s="41" t="str">
        <f aca="false">IF(OR($R53="",$S53=""),"",$S53-$R53)</f>
        <v/>
      </c>
      <c r="AG53" s="41" t="str">
        <f aca="false">IF(OR($S53="",$T53=""),"",$T53-$S53)</f>
        <v/>
      </c>
      <c r="AH53" s="41" t="str">
        <f aca="false">IF(OR($T53="",$U53=""),"",$U53-$T53)</f>
        <v/>
      </c>
      <c r="AI53" s="41" t="str">
        <f aca="false">IF(OR($R53="",$U53=""),"",$U53-$R53)</f>
        <v/>
      </c>
      <c r="AJ53" s="41" t="str">
        <f aca="false">IF(OR($U53="",$AB53=""),"",$AB53-$U53)</f>
        <v/>
      </c>
      <c r="AK53" s="41" t="str">
        <f aca="false">IF(OR($R53="",$AD53=""),"",$AD53-$R53)</f>
        <v/>
      </c>
      <c r="AL53" s="31"/>
      <c r="AM53" s="32"/>
      <c r="AN53" s="31" t="s">
        <v>135</v>
      </c>
    </row>
    <row r="54" customFormat="false" ht="15" hidden="false" customHeight="true" outlineLevel="0" collapsed="false">
      <c r="A54" s="38" t="n">
        <f aca="false">IF($B54="","",ROW()-3)</f>
        <v>51</v>
      </c>
      <c r="B54" s="31" t="s">
        <v>222</v>
      </c>
      <c r="C54" s="31" t="s">
        <v>223</v>
      </c>
      <c r="D54" s="31" t="s">
        <v>131</v>
      </c>
      <c r="E54" s="31" t="s">
        <v>226</v>
      </c>
      <c r="F54" s="32" t="n">
        <v>46086</v>
      </c>
      <c r="G54" s="32"/>
      <c r="H54" s="31" t="s">
        <v>139</v>
      </c>
      <c r="I54" s="31" t="s">
        <v>69</v>
      </c>
      <c r="J54" s="33" t="n">
        <v>60</v>
      </c>
      <c r="K54" s="34" t="n">
        <v>70037.5</v>
      </c>
      <c r="L54" s="34" t="n">
        <v>0</v>
      </c>
      <c r="M54" s="34" t="n">
        <v>0</v>
      </c>
      <c r="N54" s="39" t="n">
        <f aca="false">IF($K54="","",$K54-N($L54)-N($M54))</f>
        <v>70037.5</v>
      </c>
      <c r="O54" s="31" t="s">
        <v>68</v>
      </c>
      <c r="P54" s="31" t="s">
        <v>68</v>
      </c>
      <c r="Q54" s="31"/>
      <c r="R54" s="32"/>
      <c r="S54" s="32"/>
      <c r="T54" s="32"/>
      <c r="U54" s="32"/>
      <c r="V54" s="31" t="s">
        <v>134</v>
      </c>
      <c r="W54" s="40" t="n">
        <f aca="false">IF(OR($F54="",$J54=""),"",$F54+$J54)</f>
        <v>46146</v>
      </c>
      <c r="X54" s="32"/>
      <c r="Y54" s="34"/>
      <c r="Z54" s="31"/>
      <c r="AA54" s="31"/>
      <c r="AB54" s="32"/>
      <c r="AC54" s="31"/>
      <c r="AD54" s="32"/>
      <c r="AE54" s="31"/>
      <c r="AF54" s="41" t="str">
        <f aca="false">IF(OR($R54="",$S54=""),"",$S54-$R54)</f>
        <v/>
      </c>
      <c r="AG54" s="41" t="str">
        <f aca="false">IF(OR($S54="",$T54=""),"",$T54-$S54)</f>
        <v/>
      </c>
      <c r="AH54" s="41" t="str">
        <f aca="false">IF(OR($T54="",$U54=""),"",$U54-$T54)</f>
        <v/>
      </c>
      <c r="AI54" s="41" t="str">
        <f aca="false">IF(OR($R54="",$U54=""),"",$U54-$R54)</f>
        <v/>
      </c>
      <c r="AJ54" s="41" t="str">
        <f aca="false">IF(OR($U54="",$AB54=""),"",$AB54-$U54)</f>
        <v/>
      </c>
      <c r="AK54" s="41" t="str">
        <f aca="false">IF(OR($R54="",$AD54=""),"",$AD54-$R54)</f>
        <v/>
      </c>
      <c r="AL54" s="31"/>
      <c r="AM54" s="32"/>
      <c r="AN54" s="31" t="s">
        <v>135</v>
      </c>
    </row>
    <row r="55" customFormat="false" ht="15" hidden="false" customHeight="true" outlineLevel="0" collapsed="false">
      <c r="A55" s="38" t="n">
        <f aca="false">IF($B55="","",ROW()-3)</f>
        <v>52</v>
      </c>
      <c r="B55" s="31" t="s">
        <v>222</v>
      </c>
      <c r="C55" s="31" t="s">
        <v>223</v>
      </c>
      <c r="D55" s="31" t="s">
        <v>131</v>
      </c>
      <c r="E55" s="31" t="s">
        <v>227</v>
      </c>
      <c r="F55" s="32" t="n">
        <v>46087</v>
      </c>
      <c r="G55" s="32"/>
      <c r="H55" s="31" t="s">
        <v>167</v>
      </c>
      <c r="I55" s="31" t="s">
        <v>67</v>
      </c>
      <c r="J55" s="33" t="n">
        <v>60</v>
      </c>
      <c r="K55" s="34" t="n">
        <v>80904.1</v>
      </c>
      <c r="L55" s="34" t="n">
        <v>0</v>
      </c>
      <c r="M55" s="34" t="n">
        <v>0</v>
      </c>
      <c r="N55" s="39" t="n">
        <f aca="false">IF($K55="","",$K55-N($L55)-N($M55))</f>
        <v>80904.1</v>
      </c>
      <c r="O55" s="31" t="s">
        <v>68</v>
      </c>
      <c r="P55" s="31" t="s">
        <v>68</v>
      </c>
      <c r="Q55" s="31"/>
      <c r="R55" s="32"/>
      <c r="S55" s="32"/>
      <c r="T55" s="32"/>
      <c r="U55" s="32"/>
      <c r="V55" s="31" t="s">
        <v>134</v>
      </c>
      <c r="W55" s="40" t="n">
        <f aca="false">IF(OR($F55="",$J55=""),"",$F55+$J55)</f>
        <v>46147</v>
      </c>
      <c r="X55" s="32"/>
      <c r="Y55" s="34"/>
      <c r="Z55" s="31"/>
      <c r="AA55" s="31"/>
      <c r="AB55" s="32"/>
      <c r="AC55" s="31"/>
      <c r="AD55" s="32"/>
      <c r="AE55" s="31"/>
      <c r="AF55" s="41" t="str">
        <f aca="false">IF(OR($R55="",$S55=""),"",$S55-$R55)</f>
        <v/>
      </c>
      <c r="AG55" s="41" t="str">
        <f aca="false">IF(OR($S55="",$T55=""),"",$T55-$S55)</f>
        <v/>
      </c>
      <c r="AH55" s="41" t="str">
        <f aca="false">IF(OR($T55="",$U55=""),"",$U55-$T55)</f>
        <v/>
      </c>
      <c r="AI55" s="41" t="str">
        <f aca="false">IF(OR($R55="",$U55=""),"",$U55-$R55)</f>
        <v/>
      </c>
      <c r="AJ55" s="41" t="str">
        <f aca="false">IF(OR($U55="",$AB55=""),"",$AB55-$U55)</f>
        <v/>
      </c>
      <c r="AK55" s="41" t="str">
        <f aca="false">IF(OR($R55="",$AD55=""),"",$AD55-$R55)</f>
        <v/>
      </c>
      <c r="AL55" s="31"/>
      <c r="AM55" s="32"/>
      <c r="AN55" s="31" t="s">
        <v>135</v>
      </c>
    </row>
    <row r="56" customFormat="false" ht="15" hidden="false" customHeight="true" outlineLevel="0" collapsed="false">
      <c r="A56" s="38" t="n">
        <f aca="false">IF($B56="","",ROW()-3)</f>
        <v>53</v>
      </c>
      <c r="B56" s="31" t="s">
        <v>222</v>
      </c>
      <c r="C56" s="31" t="s">
        <v>223</v>
      </c>
      <c r="D56" s="31" t="s">
        <v>131</v>
      </c>
      <c r="E56" s="31" t="s">
        <v>228</v>
      </c>
      <c r="F56" s="32" t="n">
        <v>46090</v>
      </c>
      <c r="G56" s="32"/>
      <c r="H56" s="31" t="s">
        <v>167</v>
      </c>
      <c r="I56" s="31" t="s">
        <v>69</v>
      </c>
      <c r="J56" s="33" t="n">
        <v>60</v>
      </c>
      <c r="K56" s="34" t="n">
        <v>1219587.07</v>
      </c>
      <c r="L56" s="34" t="n">
        <v>0</v>
      </c>
      <c r="M56" s="34" t="n">
        <v>449183.02</v>
      </c>
      <c r="N56" s="39" t="n">
        <f aca="false">IF($K56="","",$K56-N($L56)-N($M56))</f>
        <v>770404.05</v>
      </c>
      <c r="O56" s="31" t="s">
        <v>68</v>
      </c>
      <c r="P56" s="31" t="s">
        <v>68</v>
      </c>
      <c r="Q56" s="31"/>
      <c r="R56" s="32"/>
      <c r="S56" s="32"/>
      <c r="T56" s="32"/>
      <c r="U56" s="32"/>
      <c r="V56" s="31" t="s">
        <v>134</v>
      </c>
      <c r="W56" s="40" t="n">
        <f aca="false">IF(OR($F56="",$J56=""),"",$F56+$J56)</f>
        <v>46150</v>
      </c>
      <c r="X56" s="32"/>
      <c r="Y56" s="34"/>
      <c r="Z56" s="31"/>
      <c r="AA56" s="31"/>
      <c r="AB56" s="32"/>
      <c r="AC56" s="31"/>
      <c r="AD56" s="32"/>
      <c r="AE56" s="31"/>
      <c r="AF56" s="41" t="str">
        <f aca="false">IF(OR($R56="",$S56=""),"",$S56-$R56)</f>
        <v/>
      </c>
      <c r="AG56" s="41" t="str">
        <f aca="false">IF(OR($S56="",$T56=""),"",$T56-$S56)</f>
        <v/>
      </c>
      <c r="AH56" s="41" t="str">
        <f aca="false">IF(OR($T56="",$U56=""),"",$U56-$T56)</f>
        <v/>
      </c>
      <c r="AI56" s="41" t="str">
        <f aca="false">IF(OR($R56="",$U56=""),"",$U56-$R56)</f>
        <v/>
      </c>
      <c r="AJ56" s="41" t="str">
        <f aca="false">IF(OR($U56="",$AB56=""),"",$AB56-$U56)</f>
        <v/>
      </c>
      <c r="AK56" s="41" t="str">
        <f aca="false">IF(OR($R56="",$AD56=""),"",$AD56-$R56)</f>
        <v/>
      </c>
      <c r="AL56" s="31"/>
      <c r="AM56" s="32"/>
      <c r="AN56" s="31" t="s">
        <v>135</v>
      </c>
    </row>
    <row r="57" customFormat="false" ht="15" hidden="false" customHeight="true" outlineLevel="0" collapsed="false">
      <c r="A57" s="38" t="n">
        <f aca="false">IF($B57="","",ROW()-3)</f>
        <v>54</v>
      </c>
      <c r="B57" s="31" t="s">
        <v>229</v>
      </c>
      <c r="C57" s="31" t="s">
        <v>230</v>
      </c>
      <c r="D57" s="31" t="s">
        <v>131</v>
      </c>
      <c r="E57" s="31" t="s">
        <v>231</v>
      </c>
      <c r="F57" s="32" t="n">
        <v>46087</v>
      </c>
      <c r="G57" s="32"/>
      <c r="H57" s="31" t="s">
        <v>139</v>
      </c>
      <c r="I57" s="31" t="s">
        <v>69</v>
      </c>
      <c r="J57" s="33" t="n">
        <v>60</v>
      </c>
      <c r="K57" s="34" t="n">
        <v>50290</v>
      </c>
      <c r="L57" s="34" t="n">
        <v>0</v>
      </c>
      <c r="M57" s="34" t="n">
        <v>0</v>
      </c>
      <c r="N57" s="39" t="n">
        <f aca="false">IF($K57="","",$K57-N($L57)-N($M57))</f>
        <v>50290</v>
      </c>
      <c r="O57" s="31" t="s">
        <v>68</v>
      </c>
      <c r="P57" s="31" t="s">
        <v>68</v>
      </c>
      <c r="Q57" s="31"/>
      <c r="R57" s="32"/>
      <c r="S57" s="32"/>
      <c r="T57" s="32"/>
      <c r="U57" s="32"/>
      <c r="V57" s="31" t="s">
        <v>134</v>
      </c>
      <c r="W57" s="40" t="n">
        <f aca="false">IF(OR($F57="",$J57=""),"",$F57+$J57)</f>
        <v>46147</v>
      </c>
      <c r="X57" s="32"/>
      <c r="Y57" s="34"/>
      <c r="Z57" s="31"/>
      <c r="AA57" s="31"/>
      <c r="AB57" s="32"/>
      <c r="AC57" s="31"/>
      <c r="AD57" s="32"/>
      <c r="AE57" s="31"/>
      <c r="AF57" s="41" t="str">
        <f aca="false">IF(OR($R57="",$S57=""),"",$S57-$R57)</f>
        <v/>
      </c>
      <c r="AG57" s="41" t="str">
        <f aca="false">IF(OR($S57="",$T57=""),"",$T57-$S57)</f>
        <v/>
      </c>
      <c r="AH57" s="41" t="str">
        <f aca="false">IF(OR($T57="",$U57=""),"",$U57-$T57)</f>
        <v/>
      </c>
      <c r="AI57" s="41" t="str">
        <f aca="false">IF(OR($R57="",$U57=""),"",$U57-$R57)</f>
        <v/>
      </c>
      <c r="AJ57" s="41" t="str">
        <f aca="false">IF(OR($U57="",$AB57=""),"",$AB57-$U57)</f>
        <v/>
      </c>
      <c r="AK57" s="41" t="str">
        <f aca="false">IF(OR($R57="",$AD57=""),"",$AD57-$R57)</f>
        <v/>
      </c>
      <c r="AL57" s="31"/>
      <c r="AM57" s="32"/>
      <c r="AN57" s="31" t="s">
        <v>135</v>
      </c>
    </row>
    <row r="58" customFormat="false" ht="15" hidden="false" customHeight="true" outlineLevel="0" collapsed="false">
      <c r="A58" s="38" t="n">
        <f aca="false">IF($B58="","",ROW()-3)</f>
        <v>55</v>
      </c>
      <c r="B58" s="31" t="s">
        <v>229</v>
      </c>
      <c r="C58" s="31" t="s">
        <v>230</v>
      </c>
      <c r="D58" s="31" t="s">
        <v>131</v>
      </c>
      <c r="E58" s="31" t="s">
        <v>232</v>
      </c>
      <c r="F58" s="32" t="n">
        <v>46087</v>
      </c>
      <c r="G58" s="32"/>
      <c r="H58" s="31" t="s">
        <v>139</v>
      </c>
      <c r="I58" s="31" t="s">
        <v>69</v>
      </c>
      <c r="J58" s="33" t="n">
        <v>60</v>
      </c>
      <c r="K58" s="34" t="n">
        <v>192600</v>
      </c>
      <c r="L58" s="34" t="n">
        <v>0</v>
      </c>
      <c r="M58" s="34" t="n">
        <v>0</v>
      </c>
      <c r="N58" s="39" t="n">
        <f aca="false">IF($K58="","",$K58-N($L58)-N($M58))</f>
        <v>192600</v>
      </c>
      <c r="O58" s="31" t="s">
        <v>68</v>
      </c>
      <c r="P58" s="31" t="s">
        <v>68</v>
      </c>
      <c r="Q58" s="31"/>
      <c r="R58" s="32"/>
      <c r="S58" s="32"/>
      <c r="T58" s="32"/>
      <c r="U58" s="32"/>
      <c r="V58" s="31" t="s">
        <v>134</v>
      </c>
      <c r="W58" s="40" t="n">
        <f aca="false">IF(OR($F58="",$J58=""),"",$F58+$J58)</f>
        <v>46147</v>
      </c>
      <c r="X58" s="32"/>
      <c r="Y58" s="34"/>
      <c r="Z58" s="31"/>
      <c r="AA58" s="31"/>
      <c r="AB58" s="32"/>
      <c r="AC58" s="31"/>
      <c r="AD58" s="32"/>
      <c r="AE58" s="31"/>
      <c r="AF58" s="41" t="str">
        <f aca="false">IF(OR($R58="",$S58=""),"",$S58-$R58)</f>
        <v/>
      </c>
      <c r="AG58" s="41" t="str">
        <f aca="false">IF(OR($S58="",$T58=""),"",$T58-$S58)</f>
        <v/>
      </c>
      <c r="AH58" s="41" t="str">
        <f aca="false">IF(OR($T58="",$U58=""),"",$U58-$T58)</f>
        <v/>
      </c>
      <c r="AI58" s="41" t="str">
        <f aca="false">IF(OR($R58="",$U58=""),"",$U58-$R58)</f>
        <v/>
      </c>
      <c r="AJ58" s="41" t="str">
        <f aca="false">IF(OR($U58="",$AB58=""),"",$AB58-$U58)</f>
        <v/>
      </c>
      <c r="AK58" s="41" t="str">
        <f aca="false">IF(OR($R58="",$AD58=""),"",$AD58-$R58)</f>
        <v/>
      </c>
      <c r="AL58" s="31"/>
      <c r="AM58" s="32"/>
      <c r="AN58" s="31" t="s">
        <v>135</v>
      </c>
    </row>
    <row r="59" customFormat="false" ht="15" hidden="false" customHeight="true" outlineLevel="0" collapsed="false">
      <c r="A59" s="38" t="n">
        <f aca="false">IF($B59="","",ROW()-3)</f>
        <v>56</v>
      </c>
      <c r="B59" s="31" t="s">
        <v>229</v>
      </c>
      <c r="C59" s="31" t="s">
        <v>230</v>
      </c>
      <c r="D59" s="31" t="s">
        <v>131</v>
      </c>
      <c r="E59" s="31" t="s">
        <v>233</v>
      </c>
      <c r="F59" s="32" t="n">
        <v>46087</v>
      </c>
      <c r="G59" s="32"/>
      <c r="H59" s="31" t="s">
        <v>139</v>
      </c>
      <c r="I59" s="31" t="s">
        <v>67</v>
      </c>
      <c r="J59" s="33" t="n">
        <v>60</v>
      </c>
      <c r="K59" s="34" t="n">
        <v>25000</v>
      </c>
      <c r="L59" s="34" t="n">
        <v>0</v>
      </c>
      <c r="M59" s="34" t="n">
        <v>0</v>
      </c>
      <c r="N59" s="39" t="n">
        <f aca="false">IF($K59="","",$K59-N($L59)-N($M59))</f>
        <v>25000</v>
      </c>
      <c r="O59" s="31" t="s">
        <v>68</v>
      </c>
      <c r="P59" s="31" t="s">
        <v>68</v>
      </c>
      <c r="Q59" s="31"/>
      <c r="R59" s="32"/>
      <c r="S59" s="32"/>
      <c r="T59" s="32"/>
      <c r="U59" s="32"/>
      <c r="V59" s="31" t="s">
        <v>134</v>
      </c>
      <c r="W59" s="40" t="n">
        <f aca="false">IF(OR($F59="",$J59=""),"",$F59+$J59)</f>
        <v>46147</v>
      </c>
      <c r="X59" s="32"/>
      <c r="Y59" s="34"/>
      <c r="Z59" s="31"/>
      <c r="AA59" s="31"/>
      <c r="AB59" s="32"/>
      <c r="AC59" s="31"/>
      <c r="AD59" s="32"/>
      <c r="AE59" s="31"/>
      <c r="AF59" s="41" t="str">
        <f aca="false">IF(OR($R59="",$S59=""),"",$S59-$R59)</f>
        <v/>
      </c>
      <c r="AG59" s="41" t="str">
        <f aca="false">IF(OR($S59="",$T59=""),"",$T59-$S59)</f>
        <v/>
      </c>
      <c r="AH59" s="41" t="str">
        <f aca="false">IF(OR($T59="",$U59=""),"",$U59-$T59)</f>
        <v/>
      </c>
      <c r="AI59" s="41" t="str">
        <f aca="false">IF(OR($R59="",$U59=""),"",$U59-$R59)</f>
        <v/>
      </c>
      <c r="AJ59" s="41" t="str">
        <f aca="false">IF(OR($U59="",$AB59=""),"",$AB59-$U59)</f>
        <v/>
      </c>
      <c r="AK59" s="41" t="str">
        <f aca="false">IF(OR($R59="",$AD59=""),"",$AD59-$R59)</f>
        <v/>
      </c>
      <c r="AL59" s="31"/>
      <c r="AM59" s="32"/>
      <c r="AN59" s="31" t="s">
        <v>135</v>
      </c>
    </row>
    <row r="60" customFormat="false" ht="15" hidden="false" customHeight="true" outlineLevel="0" collapsed="false">
      <c r="A60" s="38" t="n">
        <f aca="false">IF($B60="","",ROW()-3)</f>
        <v>57</v>
      </c>
      <c r="B60" s="31" t="s">
        <v>234</v>
      </c>
      <c r="C60" s="31" t="s">
        <v>235</v>
      </c>
      <c r="D60" s="31" t="s">
        <v>131</v>
      </c>
      <c r="E60" s="31" t="s">
        <v>236</v>
      </c>
      <c r="F60" s="32" t="n">
        <v>46085</v>
      </c>
      <c r="G60" s="32"/>
      <c r="H60" s="31"/>
      <c r="I60" s="31" t="s">
        <v>67</v>
      </c>
      <c r="J60" s="33"/>
      <c r="K60" s="34" t="n">
        <v>12541.71</v>
      </c>
      <c r="L60" s="34" t="n">
        <v>0</v>
      </c>
      <c r="M60" s="34" t="n">
        <v>0</v>
      </c>
      <c r="N60" s="39" t="n">
        <f aca="false">IF($K60="","",$K60-N($L60)-N($M60))</f>
        <v>12541.71</v>
      </c>
      <c r="O60" s="31" t="s">
        <v>68</v>
      </c>
      <c r="P60" s="31" t="s">
        <v>68</v>
      </c>
      <c r="Q60" s="31"/>
      <c r="R60" s="32"/>
      <c r="S60" s="32"/>
      <c r="T60" s="32"/>
      <c r="U60" s="32"/>
      <c r="V60" s="31" t="s">
        <v>134</v>
      </c>
      <c r="W60" s="40" t="str">
        <f aca="false">IF(OR($F60="",$J60=""),"",$F60+$J60)</f>
        <v/>
      </c>
      <c r="X60" s="32"/>
      <c r="Y60" s="34"/>
      <c r="Z60" s="31"/>
      <c r="AA60" s="31"/>
      <c r="AB60" s="32"/>
      <c r="AC60" s="31"/>
      <c r="AD60" s="32"/>
      <c r="AE60" s="31"/>
      <c r="AF60" s="41" t="str">
        <f aca="false">IF(OR($R60="",$S60=""),"",$S60-$R60)</f>
        <v/>
      </c>
      <c r="AG60" s="41" t="str">
        <f aca="false">IF(OR($S60="",$T60=""),"",$T60-$S60)</f>
        <v/>
      </c>
      <c r="AH60" s="41" t="str">
        <f aca="false">IF(OR($T60="",$U60=""),"",$U60-$T60)</f>
        <v/>
      </c>
      <c r="AI60" s="41" t="str">
        <f aca="false">IF(OR($R60="",$U60=""),"",$U60-$R60)</f>
        <v/>
      </c>
      <c r="AJ60" s="41" t="str">
        <f aca="false">IF(OR($U60="",$AB60=""),"",$AB60-$U60)</f>
        <v/>
      </c>
      <c r="AK60" s="41" t="str">
        <f aca="false">IF(OR($R60="",$AD60=""),"",$AD60-$R60)</f>
        <v/>
      </c>
      <c r="AL60" s="31"/>
      <c r="AM60" s="32"/>
      <c r="AN60" s="31" t="s">
        <v>135</v>
      </c>
    </row>
    <row r="61" customFormat="false" ht="15" hidden="false" customHeight="true" outlineLevel="0" collapsed="false">
      <c r="A61" s="38" t="n">
        <f aca="false">IF($B61="","",ROW()-3)</f>
        <v>58</v>
      </c>
      <c r="B61" s="31" t="s">
        <v>234</v>
      </c>
      <c r="C61" s="31" t="s">
        <v>235</v>
      </c>
      <c r="D61" s="31" t="s">
        <v>131</v>
      </c>
      <c r="E61" s="31" t="s">
        <v>237</v>
      </c>
      <c r="F61" s="32" t="n">
        <v>46085</v>
      </c>
      <c r="G61" s="32"/>
      <c r="H61" s="31"/>
      <c r="I61" s="31" t="s">
        <v>67</v>
      </c>
      <c r="J61" s="33"/>
      <c r="K61" s="34" t="n">
        <v>327908.54</v>
      </c>
      <c r="L61" s="34" t="n">
        <v>0</v>
      </c>
      <c r="M61" s="34" t="n">
        <v>0</v>
      </c>
      <c r="N61" s="39" t="n">
        <f aca="false">IF($K61="","",$K61-N($L61)-N($M61))</f>
        <v>327908.54</v>
      </c>
      <c r="O61" s="31" t="s">
        <v>68</v>
      </c>
      <c r="P61" s="31" t="s">
        <v>68</v>
      </c>
      <c r="Q61" s="31"/>
      <c r="R61" s="32"/>
      <c r="S61" s="32"/>
      <c r="T61" s="32"/>
      <c r="U61" s="32"/>
      <c r="V61" s="31" t="s">
        <v>134</v>
      </c>
      <c r="W61" s="40" t="str">
        <f aca="false">IF(OR($F61="",$J61=""),"",$F61+$J61)</f>
        <v/>
      </c>
      <c r="X61" s="32"/>
      <c r="Y61" s="34"/>
      <c r="Z61" s="31"/>
      <c r="AA61" s="31"/>
      <c r="AB61" s="32"/>
      <c r="AC61" s="31"/>
      <c r="AD61" s="32"/>
      <c r="AE61" s="31"/>
      <c r="AF61" s="41" t="str">
        <f aca="false">IF(OR($R61="",$S61=""),"",$S61-$R61)</f>
        <v/>
      </c>
      <c r="AG61" s="41" t="str">
        <f aca="false">IF(OR($S61="",$T61=""),"",$T61-$S61)</f>
        <v/>
      </c>
      <c r="AH61" s="41" t="str">
        <f aca="false">IF(OR($T61="",$U61=""),"",$U61-$T61)</f>
        <v/>
      </c>
      <c r="AI61" s="41" t="str">
        <f aca="false">IF(OR($R61="",$U61=""),"",$U61-$R61)</f>
        <v/>
      </c>
      <c r="AJ61" s="41" t="str">
        <f aca="false">IF(OR($U61="",$AB61=""),"",$AB61-$U61)</f>
        <v/>
      </c>
      <c r="AK61" s="41" t="str">
        <f aca="false">IF(OR($R61="",$AD61=""),"",$AD61-$R61)</f>
        <v/>
      </c>
      <c r="AL61" s="31"/>
      <c r="AM61" s="32"/>
      <c r="AN61" s="31" t="s">
        <v>135</v>
      </c>
    </row>
    <row r="62" customFormat="false" ht="15" hidden="false" customHeight="true" outlineLevel="0" collapsed="false">
      <c r="A62" s="38" t="n">
        <f aca="false">IF($B62="","",ROW()-3)</f>
        <v>59</v>
      </c>
      <c r="B62" s="31" t="s">
        <v>234</v>
      </c>
      <c r="C62" s="31" t="s">
        <v>235</v>
      </c>
      <c r="D62" s="31" t="s">
        <v>131</v>
      </c>
      <c r="E62" s="31" t="s">
        <v>238</v>
      </c>
      <c r="F62" s="32" t="n">
        <v>46086</v>
      </c>
      <c r="G62" s="32"/>
      <c r="H62" s="31"/>
      <c r="I62" s="31" t="s">
        <v>69</v>
      </c>
      <c r="J62" s="33"/>
      <c r="K62" s="34" t="n">
        <v>14161.71</v>
      </c>
      <c r="L62" s="34" t="n">
        <v>0</v>
      </c>
      <c r="M62" s="34" t="n">
        <v>0</v>
      </c>
      <c r="N62" s="39" t="n">
        <f aca="false">IF($K62="","",$K62-N($L62)-N($M62))</f>
        <v>14161.71</v>
      </c>
      <c r="O62" s="31" t="s">
        <v>68</v>
      </c>
      <c r="P62" s="31" t="s">
        <v>68</v>
      </c>
      <c r="Q62" s="31"/>
      <c r="R62" s="32"/>
      <c r="S62" s="32"/>
      <c r="T62" s="32"/>
      <c r="U62" s="32"/>
      <c r="V62" s="31" t="s">
        <v>134</v>
      </c>
      <c r="W62" s="40" t="str">
        <f aca="false">IF(OR($F62="",$J62=""),"",$F62+$J62)</f>
        <v/>
      </c>
      <c r="X62" s="32"/>
      <c r="Y62" s="34"/>
      <c r="Z62" s="31"/>
      <c r="AA62" s="31"/>
      <c r="AB62" s="32"/>
      <c r="AC62" s="31"/>
      <c r="AD62" s="32"/>
      <c r="AE62" s="31"/>
      <c r="AF62" s="41" t="str">
        <f aca="false">IF(OR($R62="",$S62=""),"",$S62-$R62)</f>
        <v/>
      </c>
      <c r="AG62" s="41" t="str">
        <f aca="false">IF(OR($S62="",$T62=""),"",$T62-$S62)</f>
        <v/>
      </c>
      <c r="AH62" s="41" t="str">
        <f aca="false">IF(OR($T62="",$U62=""),"",$U62-$T62)</f>
        <v/>
      </c>
      <c r="AI62" s="41" t="str">
        <f aca="false">IF(OR($R62="",$U62=""),"",$U62-$R62)</f>
        <v/>
      </c>
      <c r="AJ62" s="41" t="str">
        <f aca="false">IF(OR($U62="",$AB62=""),"",$AB62-$U62)</f>
        <v/>
      </c>
      <c r="AK62" s="41" t="str">
        <f aca="false">IF(OR($R62="",$AD62=""),"",$AD62-$R62)</f>
        <v/>
      </c>
      <c r="AL62" s="31"/>
      <c r="AM62" s="32"/>
      <c r="AN62" s="31" t="s">
        <v>135</v>
      </c>
    </row>
    <row r="63" customFormat="false" ht="15" hidden="false" customHeight="true" outlineLevel="0" collapsed="false">
      <c r="A63" s="38" t="n">
        <f aca="false">IF($B63="","",ROW()-3)</f>
        <v>60</v>
      </c>
      <c r="B63" s="31" t="s">
        <v>234</v>
      </c>
      <c r="C63" s="31" t="s">
        <v>235</v>
      </c>
      <c r="D63" s="31" t="s">
        <v>131</v>
      </c>
      <c r="E63" s="31" t="s">
        <v>239</v>
      </c>
      <c r="F63" s="32" t="n">
        <v>46086</v>
      </c>
      <c r="G63" s="32"/>
      <c r="H63" s="31"/>
      <c r="I63" s="31" t="s">
        <v>71</v>
      </c>
      <c r="J63" s="33"/>
      <c r="K63" s="34" t="n">
        <v>286230.12</v>
      </c>
      <c r="L63" s="34" t="n">
        <v>0</v>
      </c>
      <c r="M63" s="34" t="n">
        <v>0</v>
      </c>
      <c r="N63" s="39" t="n">
        <f aca="false">IF($K63="","",$K63-N($L63)-N($M63))</f>
        <v>286230.12</v>
      </c>
      <c r="O63" s="31" t="s">
        <v>68</v>
      </c>
      <c r="P63" s="31" t="s">
        <v>68</v>
      </c>
      <c r="Q63" s="31"/>
      <c r="R63" s="32"/>
      <c r="S63" s="32"/>
      <c r="T63" s="32"/>
      <c r="U63" s="32"/>
      <c r="V63" s="31" t="s">
        <v>134</v>
      </c>
      <c r="W63" s="40" t="str">
        <f aca="false">IF(OR($F63="",$J63=""),"",$F63+$J63)</f>
        <v/>
      </c>
      <c r="X63" s="32"/>
      <c r="Y63" s="34"/>
      <c r="Z63" s="31"/>
      <c r="AA63" s="31"/>
      <c r="AB63" s="32"/>
      <c r="AC63" s="31"/>
      <c r="AD63" s="32"/>
      <c r="AE63" s="31"/>
      <c r="AF63" s="41" t="str">
        <f aca="false">IF(OR($R63="",$S63=""),"",$S63-$R63)</f>
        <v/>
      </c>
      <c r="AG63" s="41" t="str">
        <f aca="false">IF(OR($S63="",$T63=""),"",$T63-$S63)</f>
        <v/>
      </c>
      <c r="AH63" s="41" t="str">
        <f aca="false">IF(OR($T63="",$U63=""),"",$U63-$T63)</f>
        <v/>
      </c>
      <c r="AI63" s="41" t="str">
        <f aca="false">IF(OR($R63="",$U63=""),"",$U63-$R63)</f>
        <v/>
      </c>
      <c r="AJ63" s="41" t="str">
        <f aca="false">IF(OR($U63="",$AB63=""),"",$AB63-$U63)</f>
        <v/>
      </c>
      <c r="AK63" s="41" t="str">
        <f aca="false">IF(OR($R63="",$AD63=""),"",$AD63-$R63)</f>
        <v/>
      </c>
      <c r="AL63" s="31"/>
      <c r="AM63" s="32"/>
      <c r="AN63" s="31" t="s">
        <v>135</v>
      </c>
    </row>
    <row r="64" customFormat="false" ht="15" hidden="false" customHeight="true" outlineLevel="0" collapsed="false">
      <c r="A64" s="38" t="n">
        <f aca="false">IF($B64="","",ROW()-3)</f>
        <v>61</v>
      </c>
      <c r="B64" s="31" t="s">
        <v>240</v>
      </c>
      <c r="C64" s="31" t="s">
        <v>241</v>
      </c>
      <c r="D64" s="31" t="s">
        <v>131</v>
      </c>
      <c r="E64" s="31" t="s">
        <v>242</v>
      </c>
      <c r="F64" s="32" t="n">
        <v>46081</v>
      </c>
      <c r="G64" s="32"/>
      <c r="H64" s="31" t="s">
        <v>139</v>
      </c>
      <c r="I64" s="31" t="s">
        <v>67</v>
      </c>
      <c r="J64" s="33" t="n">
        <v>60</v>
      </c>
      <c r="K64" s="34" t="n">
        <v>24028</v>
      </c>
      <c r="L64" s="34" t="n">
        <v>0</v>
      </c>
      <c r="M64" s="34" t="n">
        <v>0</v>
      </c>
      <c r="N64" s="39" t="n">
        <f aca="false">IF($K64="","",$K64-N($L64)-N($M64))</f>
        <v>24028</v>
      </c>
      <c r="O64" s="31" t="s">
        <v>68</v>
      </c>
      <c r="P64" s="31" t="s">
        <v>68</v>
      </c>
      <c r="Q64" s="31"/>
      <c r="R64" s="32"/>
      <c r="S64" s="32"/>
      <c r="T64" s="32"/>
      <c r="U64" s="32"/>
      <c r="V64" s="31" t="s">
        <v>134</v>
      </c>
      <c r="W64" s="40" t="n">
        <f aca="false">IF(OR($F64="",$J64=""),"",$F64+$J64)</f>
        <v>46141</v>
      </c>
      <c r="X64" s="32"/>
      <c r="Y64" s="34"/>
      <c r="Z64" s="31"/>
      <c r="AA64" s="31"/>
      <c r="AB64" s="32"/>
      <c r="AC64" s="31"/>
      <c r="AD64" s="32"/>
      <c r="AE64" s="31"/>
      <c r="AF64" s="41" t="str">
        <f aca="false">IF(OR($R64="",$S64=""),"",$S64-$R64)</f>
        <v/>
      </c>
      <c r="AG64" s="41" t="str">
        <f aca="false">IF(OR($S64="",$T64=""),"",$T64-$S64)</f>
        <v/>
      </c>
      <c r="AH64" s="41" t="str">
        <f aca="false">IF(OR($T64="",$U64=""),"",$U64-$T64)</f>
        <v/>
      </c>
      <c r="AI64" s="41" t="str">
        <f aca="false">IF(OR($R64="",$U64=""),"",$U64-$R64)</f>
        <v/>
      </c>
      <c r="AJ64" s="41" t="str">
        <f aca="false">IF(OR($U64="",$AB64=""),"",$AB64-$U64)</f>
        <v/>
      </c>
      <c r="AK64" s="41" t="str">
        <f aca="false">IF(OR($R64="",$AD64=""),"",$AD64-$R64)</f>
        <v/>
      </c>
      <c r="AL64" s="31"/>
      <c r="AM64" s="32"/>
      <c r="AN64" s="31" t="s">
        <v>135</v>
      </c>
    </row>
    <row r="65" customFormat="false" ht="15" hidden="false" customHeight="true" outlineLevel="0" collapsed="false">
      <c r="A65" s="38" t="n">
        <f aca="false">IF($B65="","",ROW()-3)</f>
        <v>62</v>
      </c>
      <c r="B65" s="31" t="s">
        <v>240</v>
      </c>
      <c r="C65" s="31" t="s">
        <v>241</v>
      </c>
      <c r="D65" s="31" t="s">
        <v>131</v>
      </c>
      <c r="E65" s="31" t="s">
        <v>243</v>
      </c>
      <c r="F65" s="32" t="n">
        <v>45991</v>
      </c>
      <c r="G65" s="32"/>
      <c r="H65" s="31" t="s">
        <v>139</v>
      </c>
      <c r="I65" s="31" t="s">
        <v>71</v>
      </c>
      <c r="J65" s="33" t="n">
        <v>60</v>
      </c>
      <c r="K65" s="34" t="n">
        <v>86139</v>
      </c>
      <c r="L65" s="34" t="n">
        <v>39863</v>
      </c>
      <c r="M65" s="34" t="n">
        <v>0</v>
      </c>
      <c r="N65" s="39" t="n">
        <f aca="false">IF($K65="","",$K65-N($L65)-N($M65))</f>
        <v>46276</v>
      </c>
      <c r="O65" s="31" t="s">
        <v>68</v>
      </c>
      <c r="P65" s="31" t="s">
        <v>68</v>
      </c>
      <c r="Q65" s="31"/>
      <c r="R65" s="32"/>
      <c r="S65" s="32"/>
      <c r="T65" s="32"/>
      <c r="U65" s="32"/>
      <c r="V65" s="31" t="s">
        <v>134</v>
      </c>
      <c r="W65" s="40" t="n">
        <f aca="false">IF(OR($F65="",$J65=""),"",$F65+$J65)</f>
        <v>46051</v>
      </c>
      <c r="X65" s="32"/>
      <c r="Y65" s="34"/>
      <c r="Z65" s="31"/>
      <c r="AA65" s="31"/>
      <c r="AB65" s="32"/>
      <c r="AC65" s="31"/>
      <c r="AD65" s="32"/>
      <c r="AE65" s="31"/>
      <c r="AF65" s="41" t="str">
        <f aca="false">IF(OR($R65="",$S65=""),"",$S65-$R65)</f>
        <v/>
      </c>
      <c r="AG65" s="41" t="str">
        <f aca="false">IF(OR($S65="",$T65=""),"",$T65-$S65)</f>
        <v/>
      </c>
      <c r="AH65" s="41" t="str">
        <f aca="false">IF(OR($T65="",$U65=""),"",$U65-$T65)</f>
        <v/>
      </c>
      <c r="AI65" s="41" t="str">
        <f aca="false">IF(OR($R65="",$U65=""),"",$U65-$R65)</f>
        <v/>
      </c>
      <c r="AJ65" s="41" t="str">
        <f aca="false">IF(OR($U65="",$AB65=""),"",$AB65-$U65)</f>
        <v/>
      </c>
      <c r="AK65" s="41" t="str">
        <f aca="false">IF(OR($R65="",$AD65=""),"",$AD65-$R65)</f>
        <v/>
      </c>
      <c r="AL65" s="31"/>
      <c r="AM65" s="32"/>
      <c r="AN65" s="31" t="s">
        <v>135</v>
      </c>
    </row>
    <row r="66" customFormat="false" ht="15" hidden="false" customHeight="true" outlineLevel="0" collapsed="false">
      <c r="A66" s="38" t="n">
        <f aca="false">IF($B66="","",ROW()-3)</f>
        <v>63</v>
      </c>
      <c r="B66" s="31" t="s">
        <v>244</v>
      </c>
      <c r="C66" s="31" t="s">
        <v>245</v>
      </c>
      <c r="D66" s="31" t="s">
        <v>131</v>
      </c>
      <c r="E66" s="31" t="s">
        <v>246</v>
      </c>
      <c r="F66" s="32" t="n">
        <v>46087</v>
      </c>
      <c r="G66" s="32"/>
      <c r="H66" s="31" t="s">
        <v>167</v>
      </c>
      <c r="I66" s="31" t="s">
        <v>67</v>
      </c>
      <c r="J66" s="33" t="n">
        <v>45</v>
      </c>
      <c r="K66" s="34" t="n">
        <v>2837156.92</v>
      </c>
      <c r="L66" s="34" t="n">
        <v>396948.13</v>
      </c>
      <c r="M66" s="34" t="n">
        <v>116008.04</v>
      </c>
      <c r="N66" s="39" t="n">
        <f aca="false">IF($K66="","",$K66-N($L66)-N($M66))</f>
        <v>2324200.75</v>
      </c>
      <c r="O66" s="31" t="s">
        <v>68</v>
      </c>
      <c r="P66" s="31" t="s">
        <v>68</v>
      </c>
      <c r="Q66" s="31"/>
      <c r="R66" s="32"/>
      <c r="S66" s="32"/>
      <c r="T66" s="32"/>
      <c r="U66" s="32"/>
      <c r="V66" s="31" t="s">
        <v>134</v>
      </c>
      <c r="W66" s="40" t="n">
        <f aca="false">IF(OR($F66="",$J66=""),"",$F66+$J66)</f>
        <v>46132</v>
      </c>
      <c r="X66" s="32"/>
      <c r="Y66" s="34"/>
      <c r="Z66" s="31"/>
      <c r="AA66" s="31"/>
      <c r="AB66" s="32"/>
      <c r="AC66" s="31"/>
      <c r="AD66" s="32"/>
      <c r="AE66" s="31"/>
      <c r="AF66" s="41" t="str">
        <f aca="false">IF(OR($R66="",$S66=""),"",$S66-$R66)</f>
        <v/>
      </c>
      <c r="AG66" s="41" t="str">
        <f aca="false">IF(OR($S66="",$T66=""),"",$T66-$S66)</f>
        <v/>
      </c>
      <c r="AH66" s="41" t="str">
        <f aca="false">IF(OR($T66="",$U66=""),"",$U66-$T66)</f>
        <v/>
      </c>
      <c r="AI66" s="41" t="str">
        <f aca="false">IF(OR($R66="",$U66=""),"",$U66-$R66)</f>
        <v/>
      </c>
      <c r="AJ66" s="41" t="str">
        <f aca="false">IF(OR($U66="",$AB66=""),"",$AB66-$U66)</f>
        <v/>
      </c>
      <c r="AK66" s="41" t="str">
        <f aca="false">IF(OR($R66="",$AD66=""),"",$AD66-$R66)</f>
        <v/>
      </c>
      <c r="AL66" s="31"/>
      <c r="AM66" s="32"/>
      <c r="AN66" s="31" t="s">
        <v>135</v>
      </c>
    </row>
    <row r="67" customFormat="false" ht="15" hidden="false" customHeight="true" outlineLevel="0" collapsed="false">
      <c r="A67" s="38" t="n">
        <f aca="false">IF($B67="","",ROW()-3)</f>
        <v>64</v>
      </c>
      <c r="B67" s="31" t="s">
        <v>244</v>
      </c>
      <c r="C67" s="31" t="s">
        <v>245</v>
      </c>
      <c r="D67" s="31" t="s">
        <v>131</v>
      </c>
      <c r="E67" s="31" t="s">
        <v>247</v>
      </c>
      <c r="F67" s="32" t="n">
        <v>46091</v>
      </c>
      <c r="G67" s="32"/>
      <c r="H67" s="31" t="s">
        <v>167</v>
      </c>
      <c r="I67" s="31" t="s">
        <v>67</v>
      </c>
      <c r="J67" s="33" t="n">
        <v>45</v>
      </c>
      <c r="K67" s="34" t="n">
        <v>378451.43</v>
      </c>
      <c r="L67" s="34" t="n">
        <v>5919.84</v>
      </c>
      <c r="M67" s="34" t="n">
        <v>0</v>
      </c>
      <c r="N67" s="39" t="n">
        <f aca="false">IF($K67="","",$K67-N($L67)-N($M67))</f>
        <v>372531.59</v>
      </c>
      <c r="O67" s="31" t="s">
        <v>68</v>
      </c>
      <c r="P67" s="31" t="s">
        <v>68</v>
      </c>
      <c r="Q67" s="31"/>
      <c r="R67" s="32"/>
      <c r="S67" s="32"/>
      <c r="T67" s="32"/>
      <c r="U67" s="32"/>
      <c r="V67" s="31" t="s">
        <v>134</v>
      </c>
      <c r="W67" s="40" t="n">
        <f aca="false">IF(OR($F67="",$J67=""),"",$F67+$J67)</f>
        <v>46136</v>
      </c>
      <c r="X67" s="32"/>
      <c r="Y67" s="34"/>
      <c r="Z67" s="31"/>
      <c r="AA67" s="31"/>
      <c r="AB67" s="32"/>
      <c r="AC67" s="31"/>
      <c r="AD67" s="32"/>
      <c r="AE67" s="31"/>
      <c r="AF67" s="41" t="str">
        <f aca="false">IF(OR($R67="",$S67=""),"",$S67-$R67)</f>
        <v/>
      </c>
      <c r="AG67" s="41" t="str">
        <f aca="false">IF(OR($S67="",$T67=""),"",$T67-$S67)</f>
        <v/>
      </c>
      <c r="AH67" s="41" t="str">
        <f aca="false">IF(OR($T67="",$U67=""),"",$U67-$T67)</f>
        <v/>
      </c>
      <c r="AI67" s="41" t="str">
        <f aca="false">IF(OR($R67="",$U67=""),"",$U67-$R67)</f>
        <v/>
      </c>
      <c r="AJ67" s="41" t="str">
        <f aca="false">IF(OR($U67="",$AB67=""),"",$AB67-$U67)</f>
        <v/>
      </c>
      <c r="AK67" s="41" t="str">
        <f aca="false">IF(OR($R67="",$AD67=""),"",$AD67-$R67)</f>
        <v/>
      </c>
      <c r="AL67" s="31"/>
      <c r="AM67" s="32"/>
      <c r="AN67" s="31" t="s">
        <v>135</v>
      </c>
    </row>
    <row r="68" customFormat="false" ht="15" hidden="false" customHeight="true" outlineLevel="0" collapsed="false">
      <c r="A68" s="38" t="n">
        <f aca="false">IF($B68="","",ROW()-3)</f>
        <v>65</v>
      </c>
      <c r="B68" s="31" t="s">
        <v>248</v>
      </c>
      <c r="C68" s="31" t="s">
        <v>249</v>
      </c>
      <c r="D68" s="31" t="s">
        <v>131</v>
      </c>
      <c r="E68" s="31" t="s">
        <v>250</v>
      </c>
      <c r="F68" s="32" t="n">
        <v>46083</v>
      </c>
      <c r="G68" s="32"/>
      <c r="H68" s="31" t="s">
        <v>167</v>
      </c>
      <c r="I68" s="31" t="s">
        <v>69</v>
      </c>
      <c r="J68" s="33" t="n">
        <v>60</v>
      </c>
      <c r="K68" s="34" t="n">
        <v>495000</v>
      </c>
      <c r="L68" s="34" t="n">
        <v>0</v>
      </c>
      <c r="M68" s="34" t="n">
        <v>165000</v>
      </c>
      <c r="N68" s="39" t="n">
        <f aca="false">IF($K68="","",$K68-N($L68)-N($M68))</f>
        <v>330000</v>
      </c>
      <c r="O68" s="31" t="s">
        <v>68</v>
      </c>
      <c r="P68" s="31" t="s">
        <v>68</v>
      </c>
      <c r="Q68" s="31"/>
      <c r="R68" s="32"/>
      <c r="S68" s="32"/>
      <c r="T68" s="32"/>
      <c r="U68" s="32"/>
      <c r="V68" s="31" t="s">
        <v>134</v>
      </c>
      <c r="W68" s="40" t="n">
        <f aca="false">IF(OR($F68="",$J68=""),"",$F68+$J68)</f>
        <v>46143</v>
      </c>
      <c r="X68" s="32"/>
      <c r="Y68" s="34"/>
      <c r="Z68" s="31"/>
      <c r="AA68" s="31"/>
      <c r="AB68" s="32"/>
      <c r="AC68" s="31"/>
      <c r="AD68" s="32"/>
      <c r="AE68" s="31"/>
      <c r="AF68" s="41" t="str">
        <f aca="false">IF(OR($R68="",$S68=""),"",$S68-$R68)</f>
        <v/>
      </c>
      <c r="AG68" s="41" t="str">
        <f aca="false">IF(OR($S68="",$T68=""),"",$T68-$S68)</f>
        <v/>
      </c>
      <c r="AH68" s="41" t="str">
        <f aca="false">IF(OR($T68="",$U68=""),"",$U68-$T68)</f>
        <v/>
      </c>
      <c r="AI68" s="41" t="str">
        <f aca="false">IF(OR($R68="",$U68=""),"",$U68-$R68)</f>
        <v/>
      </c>
      <c r="AJ68" s="41" t="str">
        <f aca="false">IF(OR($U68="",$AB68=""),"",$AB68-$U68)</f>
        <v/>
      </c>
      <c r="AK68" s="41" t="str">
        <f aca="false">IF(OR($R68="",$AD68=""),"",$AD68-$R68)</f>
        <v/>
      </c>
      <c r="AL68" s="31"/>
      <c r="AM68" s="32"/>
      <c r="AN68" s="31" t="s">
        <v>135</v>
      </c>
    </row>
    <row r="69" customFormat="false" ht="15" hidden="false" customHeight="true" outlineLevel="0" collapsed="false">
      <c r="A69" s="38" t="n">
        <f aca="false">IF($B69="","",ROW()-3)</f>
        <v>66</v>
      </c>
      <c r="B69" s="31" t="s">
        <v>248</v>
      </c>
      <c r="C69" s="31" t="s">
        <v>249</v>
      </c>
      <c r="D69" s="31" t="s">
        <v>131</v>
      </c>
      <c r="E69" s="31" t="s">
        <v>251</v>
      </c>
      <c r="F69" s="32" t="n">
        <v>46083</v>
      </c>
      <c r="G69" s="32"/>
      <c r="H69" s="31" t="s">
        <v>167</v>
      </c>
      <c r="I69" s="31" t="s">
        <v>67</v>
      </c>
      <c r="J69" s="33" t="n">
        <v>60</v>
      </c>
      <c r="K69" s="34" t="n">
        <v>2464000</v>
      </c>
      <c r="L69" s="34" t="n">
        <v>0</v>
      </c>
      <c r="M69" s="34" t="n">
        <v>0</v>
      </c>
      <c r="N69" s="39" t="n">
        <f aca="false">IF($K69="","",$K69-N($L69)-N($M69))</f>
        <v>2464000</v>
      </c>
      <c r="O69" s="31" t="s">
        <v>68</v>
      </c>
      <c r="P69" s="31" t="s">
        <v>68</v>
      </c>
      <c r="Q69" s="31"/>
      <c r="R69" s="32"/>
      <c r="S69" s="32"/>
      <c r="T69" s="32"/>
      <c r="U69" s="32"/>
      <c r="V69" s="31" t="s">
        <v>134</v>
      </c>
      <c r="W69" s="40" t="n">
        <f aca="false">IF(OR($F69="",$J69=""),"",$F69+$J69)</f>
        <v>46143</v>
      </c>
      <c r="X69" s="32"/>
      <c r="Y69" s="34"/>
      <c r="Z69" s="31"/>
      <c r="AA69" s="31"/>
      <c r="AB69" s="32"/>
      <c r="AC69" s="31"/>
      <c r="AD69" s="32"/>
      <c r="AE69" s="31"/>
      <c r="AF69" s="41" t="str">
        <f aca="false">IF(OR($R69="",$S69=""),"",$S69-$R69)</f>
        <v/>
      </c>
      <c r="AG69" s="41" t="str">
        <f aca="false">IF(OR($S69="",$T69=""),"",$T69-$S69)</f>
        <v/>
      </c>
      <c r="AH69" s="41" t="str">
        <f aca="false">IF(OR($T69="",$U69=""),"",$U69-$T69)</f>
        <v/>
      </c>
      <c r="AI69" s="41" t="str">
        <f aca="false">IF(OR($R69="",$U69=""),"",$U69-$R69)</f>
        <v/>
      </c>
      <c r="AJ69" s="41" t="str">
        <f aca="false">IF(OR($U69="",$AB69=""),"",$AB69-$U69)</f>
        <v/>
      </c>
      <c r="AK69" s="41" t="str">
        <f aca="false">IF(OR($R69="",$AD69=""),"",$AD69-$R69)</f>
        <v/>
      </c>
      <c r="AL69" s="31"/>
      <c r="AM69" s="32"/>
      <c r="AN69" s="31" t="s">
        <v>135</v>
      </c>
    </row>
    <row r="70" customFormat="false" ht="15" hidden="false" customHeight="true" outlineLevel="0" collapsed="false">
      <c r="A70" s="38" t="n">
        <f aca="false">IF($B70="","",ROW()-3)</f>
        <v>67</v>
      </c>
      <c r="B70" s="31" t="s">
        <v>248</v>
      </c>
      <c r="C70" s="31" t="s">
        <v>249</v>
      </c>
      <c r="D70" s="31" t="s">
        <v>131</v>
      </c>
      <c r="E70" s="31" t="s">
        <v>252</v>
      </c>
      <c r="F70" s="32" t="n">
        <v>46084</v>
      </c>
      <c r="G70" s="32"/>
      <c r="H70" s="31" t="s">
        <v>139</v>
      </c>
      <c r="I70" s="31" t="s">
        <v>67</v>
      </c>
      <c r="J70" s="33" t="n">
        <v>60</v>
      </c>
      <c r="K70" s="34" t="n">
        <v>102030</v>
      </c>
      <c r="L70" s="34" t="n">
        <v>0</v>
      </c>
      <c r="M70" s="34" t="n">
        <v>0</v>
      </c>
      <c r="N70" s="39" t="n">
        <f aca="false">IF($K70="","",$K70-N($L70)-N($M70))</f>
        <v>102030</v>
      </c>
      <c r="O70" s="31" t="s">
        <v>68</v>
      </c>
      <c r="P70" s="31" t="s">
        <v>68</v>
      </c>
      <c r="Q70" s="31"/>
      <c r="R70" s="32"/>
      <c r="S70" s="32"/>
      <c r="T70" s="32"/>
      <c r="U70" s="32"/>
      <c r="V70" s="31" t="s">
        <v>134</v>
      </c>
      <c r="W70" s="40" t="n">
        <f aca="false">IF(OR($F70="",$J70=""),"",$F70+$J70)</f>
        <v>46144</v>
      </c>
      <c r="X70" s="32"/>
      <c r="Y70" s="34"/>
      <c r="Z70" s="31"/>
      <c r="AA70" s="31"/>
      <c r="AB70" s="32"/>
      <c r="AC70" s="31"/>
      <c r="AD70" s="32"/>
      <c r="AE70" s="31"/>
      <c r="AF70" s="41" t="str">
        <f aca="false">IF(OR($R70="",$S70=""),"",$S70-$R70)</f>
        <v/>
      </c>
      <c r="AG70" s="41" t="str">
        <f aca="false">IF(OR($S70="",$T70=""),"",$T70-$S70)</f>
        <v/>
      </c>
      <c r="AH70" s="41" t="str">
        <f aca="false">IF(OR($T70="",$U70=""),"",$U70-$T70)</f>
        <v/>
      </c>
      <c r="AI70" s="41" t="str">
        <f aca="false">IF(OR($R70="",$U70=""),"",$U70-$R70)</f>
        <v/>
      </c>
      <c r="AJ70" s="41" t="str">
        <f aca="false">IF(OR($U70="",$AB70=""),"",$AB70-$U70)</f>
        <v/>
      </c>
      <c r="AK70" s="41" t="str">
        <f aca="false">IF(OR($R70="",$AD70=""),"",$AD70-$R70)</f>
        <v/>
      </c>
      <c r="AL70" s="31"/>
      <c r="AM70" s="32"/>
      <c r="AN70" s="31" t="s">
        <v>135</v>
      </c>
    </row>
    <row r="71" customFormat="false" ht="15" hidden="false" customHeight="true" outlineLevel="0" collapsed="false">
      <c r="A71" s="38" t="n">
        <f aca="false">IF($B71="","",ROW()-3)</f>
        <v>68</v>
      </c>
      <c r="B71" s="31" t="s">
        <v>248</v>
      </c>
      <c r="C71" s="31" t="s">
        <v>249</v>
      </c>
      <c r="D71" s="31" t="s">
        <v>131</v>
      </c>
      <c r="E71" s="31" t="s">
        <v>253</v>
      </c>
      <c r="F71" s="32" t="n">
        <v>46084</v>
      </c>
      <c r="G71" s="32"/>
      <c r="H71" s="31" t="s">
        <v>139</v>
      </c>
      <c r="I71" s="31" t="s">
        <v>67</v>
      </c>
      <c r="J71" s="33" t="n">
        <v>60</v>
      </c>
      <c r="K71" s="34" t="n">
        <v>27234</v>
      </c>
      <c r="L71" s="34" t="n">
        <v>0</v>
      </c>
      <c r="M71" s="34" t="n">
        <v>0</v>
      </c>
      <c r="N71" s="39" t="n">
        <f aca="false">IF($K71="","",$K71-N($L71)-N($M71))</f>
        <v>27234</v>
      </c>
      <c r="O71" s="31" t="s">
        <v>68</v>
      </c>
      <c r="P71" s="31" t="s">
        <v>68</v>
      </c>
      <c r="Q71" s="31"/>
      <c r="R71" s="32"/>
      <c r="S71" s="32"/>
      <c r="T71" s="32"/>
      <c r="U71" s="32"/>
      <c r="V71" s="31" t="s">
        <v>134</v>
      </c>
      <c r="W71" s="40" t="n">
        <f aca="false">IF(OR($F71="",$J71=""),"",$F71+$J71)</f>
        <v>46144</v>
      </c>
      <c r="X71" s="32"/>
      <c r="Y71" s="34"/>
      <c r="Z71" s="31"/>
      <c r="AA71" s="31"/>
      <c r="AB71" s="32"/>
      <c r="AC71" s="31"/>
      <c r="AD71" s="32"/>
      <c r="AE71" s="31"/>
      <c r="AF71" s="41" t="str">
        <f aca="false">IF(OR($R71="",$S71=""),"",$S71-$R71)</f>
        <v/>
      </c>
      <c r="AG71" s="41" t="str">
        <f aca="false">IF(OR($S71="",$T71=""),"",$T71-$S71)</f>
        <v/>
      </c>
      <c r="AH71" s="41" t="str">
        <f aca="false">IF(OR($T71="",$U71=""),"",$U71-$T71)</f>
        <v/>
      </c>
      <c r="AI71" s="41" t="str">
        <f aca="false">IF(OR($R71="",$U71=""),"",$U71-$R71)</f>
        <v/>
      </c>
      <c r="AJ71" s="41" t="str">
        <f aca="false">IF(OR($U71="",$AB71=""),"",$AB71-$U71)</f>
        <v/>
      </c>
      <c r="AK71" s="41" t="str">
        <f aca="false">IF(OR($R71="",$AD71=""),"",$AD71-$R71)</f>
        <v/>
      </c>
      <c r="AL71" s="31"/>
      <c r="AM71" s="32"/>
      <c r="AN71" s="31" t="s">
        <v>135</v>
      </c>
    </row>
    <row r="72" customFormat="false" ht="15" hidden="false" customHeight="true" outlineLevel="0" collapsed="false">
      <c r="A72" s="38" t="n">
        <f aca="false">IF($B72="","",ROW()-3)</f>
        <v>69</v>
      </c>
      <c r="B72" s="31" t="s">
        <v>248</v>
      </c>
      <c r="C72" s="31" t="s">
        <v>249</v>
      </c>
      <c r="D72" s="31" t="s">
        <v>131</v>
      </c>
      <c r="E72" s="31" t="s">
        <v>254</v>
      </c>
      <c r="F72" s="32" t="n">
        <v>46084</v>
      </c>
      <c r="G72" s="32"/>
      <c r="H72" s="31"/>
      <c r="I72" s="31" t="s">
        <v>67</v>
      </c>
      <c r="J72" s="33"/>
      <c r="K72" s="34" t="n">
        <v>619431</v>
      </c>
      <c r="L72" s="34" t="n">
        <v>0</v>
      </c>
      <c r="M72" s="34" t="n">
        <v>0</v>
      </c>
      <c r="N72" s="39" t="n">
        <f aca="false">IF($K72="","",$K72-N($L72)-N($M72))</f>
        <v>619431</v>
      </c>
      <c r="O72" s="31" t="s">
        <v>68</v>
      </c>
      <c r="P72" s="31" t="s">
        <v>68</v>
      </c>
      <c r="Q72" s="31"/>
      <c r="R72" s="32"/>
      <c r="S72" s="32"/>
      <c r="T72" s="32"/>
      <c r="U72" s="32"/>
      <c r="V72" s="31" t="s">
        <v>134</v>
      </c>
      <c r="W72" s="40" t="str">
        <f aca="false">IF(OR($F72="",$J72=""),"",$F72+$J72)</f>
        <v/>
      </c>
      <c r="X72" s="32"/>
      <c r="Y72" s="34"/>
      <c r="Z72" s="31"/>
      <c r="AA72" s="31"/>
      <c r="AB72" s="32"/>
      <c r="AC72" s="31"/>
      <c r="AD72" s="32"/>
      <c r="AE72" s="31"/>
      <c r="AF72" s="41" t="str">
        <f aca="false">IF(OR($R72="",$S72=""),"",$S72-$R72)</f>
        <v/>
      </c>
      <c r="AG72" s="41" t="str">
        <f aca="false">IF(OR($S72="",$T72=""),"",$T72-$S72)</f>
        <v/>
      </c>
      <c r="AH72" s="41" t="str">
        <f aca="false">IF(OR($T72="",$U72=""),"",$U72-$T72)</f>
        <v/>
      </c>
      <c r="AI72" s="41" t="str">
        <f aca="false">IF(OR($R72="",$U72=""),"",$U72-$R72)</f>
        <v/>
      </c>
      <c r="AJ72" s="41" t="str">
        <f aca="false">IF(OR($U72="",$AB72=""),"",$AB72-$U72)</f>
        <v/>
      </c>
      <c r="AK72" s="41" t="str">
        <f aca="false">IF(OR($R72="",$AD72=""),"",$AD72-$R72)</f>
        <v/>
      </c>
      <c r="AL72" s="31"/>
      <c r="AM72" s="32"/>
      <c r="AN72" s="31" t="s">
        <v>135</v>
      </c>
    </row>
    <row r="73" customFormat="false" ht="15" hidden="false" customHeight="true" outlineLevel="0" collapsed="false">
      <c r="A73" s="38" t="n">
        <f aca="false">IF($B73="","",ROW()-3)</f>
        <v>70</v>
      </c>
      <c r="B73" s="31" t="s">
        <v>248</v>
      </c>
      <c r="C73" s="31" t="s">
        <v>249</v>
      </c>
      <c r="D73" s="31" t="s">
        <v>131</v>
      </c>
      <c r="E73" s="31" t="s">
        <v>255</v>
      </c>
      <c r="F73" s="32" t="n">
        <v>46084</v>
      </c>
      <c r="G73" s="32"/>
      <c r="H73" s="31"/>
      <c r="I73" s="31" t="s">
        <v>71</v>
      </c>
      <c r="J73" s="33"/>
      <c r="K73" s="34" t="n">
        <v>120970</v>
      </c>
      <c r="L73" s="34" t="n">
        <v>44300</v>
      </c>
      <c r="M73" s="34" t="n">
        <v>0</v>
      </c>
      <c r="N73" s="39" t="n">
        <f aca="false">IF($K73="","",$K73-N($L73)-N($M73))</f>
        <v>76670</v>
      </c>
      <c r="O73" s="31" t="s">
        <v>68</v>
      </c>
      <c r="P73" s="31" t="s">
        <v>68</v>
      </c>
      <c r="Q73" s="31"/>
      <c r="R73" s="32"/>
      <c r="S73" s="32"/>
      <c r="T73" s="32"/>
      <c r="U73" s="32"/>
      <c r="V73" s="31" t="s">
        <v>134</v>
      </c>
      <c r="W73" s="40" t="str">
        <f aca="false">IF(OR($F73="",$J73=""),"",$F73+$J73)</f>
        <v/>
      </c>
      <c r="X73" s="32"/>
      <c r="Y73" s="34"/>
      <c r="Z73" s="31"/>
      <c r="AA73" s="31"/>
      <c r="AB73" s="32"/>
      <c r="AC73" s="31"/>
      <c r="AD73" s="32"/>
      <c r="AE73" s="31"/>
      <c r="AF73" s="41" t="str">
        <f aca="false">IF(OR($R73="",$S73=""),"",$S73-$R73)</f>
        <v/>
      </c>
      <c r="AG73" s="41" t="str">
        <f aca="false">IF(OR($S73="",$T73=""),"",$T73-$S73)</f>
        <v/>
      </c>
      <c r="AH73" s="41" t="str">
        <f aca="false">IF(OR($T73="",$U73=""),"",$U73-$T73)</f>
        <v/>
      </c>
      <c r="AI73" s="41" t="str">
        <f aca="false">IF(OR($R73="",$U73=""),"",$U73-$R73)</f>
        <v/>
      </c>
      <c r="AJ73" s="41" t="str">
        <f aca="false">IF(OR($U73="",$AB73=""),"",$AB73-$U73)</f>
        <v/>
      </c>
      <c r="AK73" s="41" t="str">
        <f aca="false">IF(OR($R73="",$AD73=""),"",$AD73-$R73)</f>
        <v/>
      </c>
      <c r="AL73" s="31"/>
      <c r="AM73" s="32"/>
      <c r="AN73" s="31" t="s">
        <v>135</v>
      </c>
    </row>
    <row r="74" customFormat="false" ht="15" hidden="false" customHeight="true" outlineLevel="0" collapsed="false">
      <c r="A74" s="38" t="n">
        <f aca="false">IF($B74="","",ROW()-3)</f>
        <v>71</v>
      </c>
      <c r="B74" s="31" t="s">
        <v>248</v>
      </c>
      <c r="C74" s="31" t="s">
        <v>249</v>
      </c>
      <c r="D74" s="31" t="s">
        <v>131</v>
      </c>
      <c r="E74" s="31" t="s">
        <v>256</v>
      </c>
      <c r="F74" s="32" t="n">
        <v>46084</v>
      </c>
      <c r="G74" s="32"/>
      <c r="H74" s="31"/>
      <c r="I74" s="31" t="s">
        <v>75</v>
      </c>
      <c r="J74" s="33"/>
      <c r="K74" s="34" t="n">
        <v>59800</v>
      </c>
      <c r="L74" s="34" t="n">
        <v>12200</v>
      </c>
      <c r="M74" s="34" t="n">
        <v>0</v>
      </c>
      <c r="N74" s="39" t="n">
        <f aca="false">IF($K74="","",$K74-N($L74)-N($M74))</f>
        <v>47600</v>
      </c>
      <c r="O74" s="31" t="s">
        <v>68</v>
      </c>
      <c r="P74" s="31" t="s">
        <v>68</v>
      </c>
      <c r="Q74" s="31"/>
      <c r="R74" s="32"/>
      <c r="S74" s="32"/>
      <c r="T74" s="32"/>
      <c r="U74" s="32"/>
      <c r="V74" s="31" t="s">
        <v>134</v>
      </c>
      <c r="W74" s="40" t="str">
        <f aca="false">IF(OR($F74="",$J74=""),"",$F74+$J74)</f>
        <v/>
      </c>
      <c r="X74" s="32"/>
      <c r="Y74" s="34"/>
      <c r="Z74" s="31"/>
      <c r="AA74" s="31"/>
      <c r="AB74" s="32"/>
      <c r="AC74" s="31"/>
      <c r="AD74" s="32"/>
      <c r="AE74" s="31"/>
      <c r="AF74" s="41" t="str">
        <f aca="false">IF(OR($R74="",$S74=""),"",$S74-$R74)</f>
        <v/>
      </c>
      <c r="AG74" s="41" t="str">
        <f aca="false">IF(OR($S74="",$T74=""),"",$T74-$S74)</f>
        <v/>
      </c>
      <c r="AH74" s="41" t="str">
        <f aca="false">IF(OR($T74="",$U74=""),"",$U74-$T74)</f>
        <v/>
      </c>
      <c r="AI74" s="41" t="str">
        <f aca="false">IF(OR($R74="",$U74=""),"",$U74-$R74)</f>
        <v/>
      </c>
      <c r="AJ74" s="41" t="str">
        <f aca="false">IF(OR($U74="",$AB74=""),"",$AB74-$U74)</f>
        <v/>
      </c>
      <c r="AK74" s="41" t="str">
        <f aca="false">IF(OR($R74="",$AD74=""),"",$AD74-$R74)</f>
        <v/>
      </c>
      <c r="AL74" s="31"/>
      <c r="AM74" s="32"/>
      <c r="AN74" s="31" t="s">
        <v>135</v>
      </c>
    </row>
    <row r="75" customFormat="false" ht="15" hidden="false" customHeight="true" outlineLevel="0" collapsed="false">
      <c r="A75" s="38" t="n">
        <f aca="false">IF($B75="","",ROW()-3)</f>
        <v>72</v>
      </c>
      <c r="B75" s="31" t="s">
        <v>248</v>
      </c>
      <c r="C75" s="31" t="s">
        <v>249</v>
      </c>
      <c r="D75" s="31" t="s">
        <v>131</v>
      </c>
      <c r="E75" s="31" t="s">
        <v>257</v>
      </c>
      <c r="F75" s="32" t="n">
        <v>46085</v>
      </c>
      <c r="G75" s="32"/>
      <c r="H75" s="31"/>
      <c r="I75" s="31" t="s">
        <v>67</v>
      </c>
      <c r="J75" s="33"/>
      <c r="K75" s="34" t="n">
        <v>762200</v>
      </c>
      <c r="L75" s="34" t="n">
        <v>155740</v>
      </c>
      <c r="M75" s="34" t="n">
        <v>0</v>
      </c>
      <c r="N75" s="39" t="n">
        <f aca="false">IF($K75="","",$K75-N($L75)-N($M75))</f>
        <v>606460</v>
      </c>
      <c r="O75" s="31" t="s">
        <v>68</v>
      </c>
      <c r="P75" s="31" t="s">
        <v>68</v>
      </c>
      <c r="Q75" s="31"/>
      <c r="R75" s="32"/>
      <c r="S75" s="32"/>
      <c r="T75" s="32"/>
      <c r="U75" s="32"/>
      <c r="V75" s="31" t="s">
        <v>134</v>
      </c>
      <c r="W75" s="40" t="str">
        <f aca="false">IF(OR($F75="",$J75=""),"",$F75+$J75)</f>
        <v/>
      </c>
      <c r="X75" s="32"/>
      <c r="Y75" s="34"/>
      <c r="Z75" s="31"/>
      <c r="AA75" s="31"/>
      <c r="AB75" s="32"/>
      <c r="AC75" s="31"/>
      <c r="AD75" s="32"/>
      <c r="AE75" s="31"/>
      <c r="AF75" s="41" t="str">
        <f aca="false">IF(OR($R75="",$S75=""),"",$S75-$R75)</f>
        <v/>
      </c>
      <c r="AG75" s="41" t="str">
        <f aca="false">IF(OR($S75="",$T75=""),"",$T75-$S75)</f>
        <v/>
      </c>
      <c r="AH75" s="41" t="str">
        <f aca="false">IF(OR($T75="",$U75=""),"",$U75-$T75)</f>
        <v/>
      </c>
      <c r="AI75" s="41" t="str">
        <f aca="false">IF(OR($R75="",$U75=""),"",$U75-$R75)</f>
        <v/>
      </c>
      <c r="AJ75" s="41" t="str">
        <f aca="false">IF(OR($U75="",$AB75=""),"",$AB75-$U75)</f>
        <v/>
      </c>
      <c r="AK75" s="41" t="str">
        <f aca="false">IF(OR($R75="",$AD75=""),"",$AD75-$R75)</f>
        <v/>
      </c>
      <c r="AL75" s="31"/>
      <c r="AM75" s="32"/>
      <c r="AN75" s="31" t="s">
        <v>135</v>
      </c>
    </row>
    <row r="76" customFormat="false" ht="15" hidden="false" customHeight="true" outlineLevel="0" collapsed="false">
      <c r="A76" s="38" t="n">
        <f aca="false">IF($B76="","",ROW()-3)</f>
        <v>73</v>
      </c>
      <c r="B76" s="31" t="s">
        <v>258</v>
      </c>
      <c r="C76" s="31" t="s">
        <v>259</v>
      </c>
      <c r="D76" s="31" t="s">
        <v>131</v>
      </c>
      <c r="E76" s="31" t="s">
        <v>260</v>
      </c>
      <c r="F76" s="32" t="n">
        <v>46087</v>
      </c>
      <c r="G76" s="32"/>
      <c r="H76" s="31" t="s">
        <v>139</v>
      </c>
      <c r="I76" s="31" t="s">
        <v>67</v>
      </c>
      <c r="J76" s="33" t="n">
        <v>45</v>
      </c>
      <c r="K76" s="34" t="n">
        <v>336114.73</v>
      </c>
      <c r="L76" s="34" t="n">
        <v>23100</v>
      </c>
      <c r="M76" s="34" t="n">
        <v>0</v>
      </c>
      <c r="N76" s="39" t="n">
        <f aca="false">IF($K76="","",$K76-N($L76)-N($M76))</f>
        <v>313014.73</v>
      </c>
      <c r="O76" s="31" t="s">
        <v>68</v>
      </c>
      <c r="P76" s="31" t="s">
        <v>68</v>
      </c>
      <c r="Q76" s="31"/>
      <c r="R76" s="32"/>
      <c r="S76" s="32"/>
      <c r="T76" s="32"/>
      <c r="U76" s="32"/>
      <c r="V76" s="31" t="s">
        <v>134</v>
      </c>
      <c r="W76" s="40" t="n">
        <f aca="false">IF(OR($F76="",$J76=""),"",$F76+$J76)</f>
        <v>46132</v>
      </c>
      <c r="X76" s="32"/>
      <c r="Y76" s="34"/>
      <c r="Z76" s="31"/>
      <c r="AA76" s="31"/>
      <c r="AB76" s="32"/>
      <c r="AC76" s="31"/>
      <c r="AD76" s="32"/>
      <c r="AE76" s="31"/>
      <c r="AF76" s="41" t="str">
        <f aca="false">IF(OR($R76="",$S76=""),"",$S76-$R76)</f>
        <v/>
      </c>
      <c r="AG76" s="41" t="str">
        <f aca="false">IF(OR($S76="",$T76=""),"",$T76-$S76)</f>
        <v/>
      </c>
      <c r="AH76" s="41" t="str">
        <f aca="false">IF(OR($T76="",$U76=""),"",$U76-$T76)</f>
        <v/>
      </c>
      <c r="AI76" s="41" t="str">
        <f aca="false">IF(OR($R76="",$U76=""),"",$U76-$R76)</f>
        <v/>
      </c>
      <c r="AJ76" s="41" t="str">
        <f aca="false">IF(OR($U76="",$AB76=""),"",$AB76-$U76)</f>
        <v/>
      </c>
      <c r="AK76" s="41" t="str">
        <f aca="false">IF(OR($R76="",$AD76=""),"",$AD76-$R76)</f>
        <v/>
      </c>
      <c r="AL76" s="31"/>
      <c r="AM76" s="32"/>
      <c r="AN76" s="31" t="s">
        <v>135</v>
      </c>
    </row>
    <row r="77" customFormat="false" ht="15" hidden="false" customHeight="true" outlineLevel="0" collapsed="false">
      <c r="A77" s="38" t="n">
        <f aca="false">IF($B77="","",ROW()-3)</f>
        <v>74</v>
      </c>
      <c r="B77" s="31" t="s">
        <v>258</v>
      </c>
      <c r="C77" s="31" t="s">
        <v>259</v>
      </c>
      <c r="D77" s="31" t="s">
        <v>131</v>
      </c>
      <c r="E77" s="31" t="s">
        <v>261</v>
      </c>
      <c r="F77" s="32" t="n">
        <v>46087</v>
      </c>
      <c r="G77" s="32"/>
      <c r="H77" s="31" t="s">
        <v>139</v>
      </c>
      <c r="I77" s="31" t="s">
        <v>69</v>
      </c>
      <c r="J77" s="33" t="n">
        <v>60</v>
      </c>
      <c r="K77" s="34" t="n">
        <v>64767.88</v>
      </c>
      <c r="L77" s="34" t="n">
        <v>9550</v>
      </c>
      <c r="M77" s="34" t="n">
        <v>0</v>
      </c>
      <c r="N77" s="39" t="n">
        <f aca="false">IF($K77="","",$K77-N($L77)-N($M77))</f>
        <v>55217.88</v>
      </c>
      <c r="O77" s="31" t="s">
        <v>68</v>
      </c>
      <c r="P77" s="31" t="s">
        <v>68</v>
      </c>
      <c r="Q77" s="31"/>
      <c r="R77" s="32"/>
      <c r="S77" s="32"/>
      <c r="T77" s="32"/>
      <c r="U77" s="32"/>
      <c r="V77" s="31" t="s">
        <v>134</v>
      </c>
      <c r="W77" s="40" t="n">
        <f aca="false">IF(OR($F77="",$J77=""),"",$F77+$J77)</f>
        <v>46147</v>
      </c>
      <c r="X77" s="32"/>
      <c r="Y77" s="34"/>
      <c r="Z77" s="31"/>
      <c r="AA77" s="31"/>
      <c r="AB77" s="32"/>
      <c r="AC77" s="31"/>
      <c r="AD77" s="32"/>
      <c r="AE77" s="31"/>
      <c r="AF77" s="41" t="str">
        <f aca="false">IF(OR($R77="",$S77=""),"",$S77-$R77)</f>
        <v/>
      </c>
      <c r="AG77" s="41" t="str">
        <f aca="false">IF(OR($S77="",$T77=""),"",$T77-$S77)</f>
        <v/>
      </c>
      <c r="AH77" s="41" t="str">
        <f aca="false">IF(OR($T77="",$U77=""),"",$U77-$T77)</f>
        <v/>
      </c>
      <c r="AI77" s="41" t="str">
        <f aca="false">IF(OR($R77="",$U77=""),"",$U77-$R77)</f>
        <v/>
      </c>
      <c r="AJ77" s="41" t="str">
        <f aca="false">IF(OR($U77="",$AB77=""),"",$AB77-$U77)</f>
        <v/>
      </c>
      <c r="AK77" s="41" t="str">
        <f aca="false">IF(OR($R77="",$AD77=""),"",$AD77-$R77)</f>
        <v/>
      </c>
      <c r="AL77" s="31"/>
      <c r="AM77" s="32"/>
      <c r="AN77" s="31" t="s">
        <v>135</v>
      </c>
    </row>
    <row r="78" customFormat="false" ht="15" hidden="false" customHeight="true" outlineLevel="0" collapsed="false">
      <c r="A78" s="38" t="n">
        <f aca="false">IF($B78="","",ROW()-3)</f>
        <v>75</v>
      </c>
      <c r="B78" s="31" t="s">
        <v>262</v>
      </c>
      <c r="C78" s="31" t="s">
        <v>263</v>
      </c>
      <c r="D78" s="31" t="s">
        <v>131</v>
      </c>
      <c r="E78" s="31" t="s">
        <v>264</v>
      </c>
      <c r="F78" s="32" t="n">
        <v>46087</v>
      </c>
      <c r="G78" s="32"/>
      <c r="H78" s="31" t="s">
        <v>167</v>
      </c>
      <c r="I78" s="31" t="s">
        <v>69</v>
      </c>
      <c r="J78" s="33" t="n">
        <v>45</v>
      </c>
      <c r="K78" s="34" t="n">
        <v>116258.76</v>
      </c>
      <c r="L78" s="34" t="n">
        <v>0</v>
      </c>
      <c r="M78" s="34" t="n">
        <v>0</v>
      </c>
      <c r="N78" s="39" t="n">
        <f aca="false">IF($K78="","",$K78-N($L78)-N($M78))</f>
        <v>116258.76</v>
      </c>
      <c r="O78" s="31" t="s">
        <v>68</v>
      </c>
      <c r="P78" s="31" t="s">
        <v>68</v>
      </c>
      <c r="Q78" s="31"/>
      <c r="R78" s="32"/>
      <c r="S78" s="32"/>
      <c r="T78" s="32"/>
      <c r="U78" s="32"/>
      <c r="V78" s="31" t="s">
        <v>134</v>
      </c>
      <c r="W78" s="40" t="n">
        <f aca="false">IF(OR($F78="",$J78=""),"",$F78+$J78)</f>
        <v>46132</v>
      </c>
      <c r="X78" s="32"/>
      <c r="Y78" s="34"/>
      <c r="Z78" s="31"/>
      <c r="AA78" s="31"/>
      <c r="AB78" s="32"/>
      <c r="AC78" s="31"/>
      <c r="AD78" s="32"/>
      <c r="AE78" s="31"/>
      <c r="AF78" s="41" t="str">
        <f aca="false">IF(OR($R78="",$S78=""),"",$S78-$R78)</f>
        <v/>
      </c>
      <c r="AG78" s="41" t="str">
        <f aca="false">IF(OR($S78="",$T78=""),"",$T78-$S78)</f>
        <v/>
      </c>
      <c r="AH78" s="41" t="str">
        <f aca="false">IF(OR($T78="",$U78=""),"",$U78-$T78)</f>
        <v/>
      </c>
      <c r="AI78" s="41" t="str">
        <f aca="false">IF(OR($R78="",$U78=""),"",$U78-$R78)</f>
        <v/>
      </c>
      <c r="AJ78" s="41" t="str">
        <f aca="false">IF(OR($U78="",$AB78=""),"",$AB78-$U78)</f>
        <v/>
      </c>
      <c r="AK78" s="41" t="str">
        <f aca="false">IF(OR($R78="",$AD78=""),"",$AD78-$R78)</f>
        <v/>
      </c>
      <c r="AL78" s="31"/>
      <c r="AM78" s="32"/>
      <c r="AN78" s="31" t="s">
        <v>135</v>
      </c>
    </row>
    <row r="79" customFormat="false" ht="15" hidden="false" customHeight="true" outlineLevel="0" collapsed="false">
      <c r="A79" s="38" t="n">
        <f aca="false">IF($B79="","",ROW()-3)</f>
        <v>76</v>
      </c>
      <c r="B79" s="31" t="s">
        <v>265</v>
      </c>
      <c r="C79" s="31" t="s">
        <v>266</v>
      </c>
      <c r="D79" s="31" t="s">
        <v>131</v>
      </c>
      <c r="E79" s="31" t="s">
        <v>267</v>
      </c>
      <c r="F79" s="32" t="n">
        <v>46081</v>
      </c>
      <c r="G79" s="32"/>
      <c r="H79" s="31" t="s">
        <v>139</v>
      </c>
      <c r="I79" s="31" t="s">
        <v>67</v>
      </c>
      <c r="J79" s="33" t="n">
        <v>60</v>
      </c>
      <c r="K79" s="34" t="n">
        <v>139954.4</v>
      </c>
      <c r="L79" s="34" t="n">
        <v>0</v>
      </c>
      <c r="M79" s="34" t="n">
        <v>0</v>
      </c>
      <c r="N79" s="39" t="n">
        <f aca="false">IF($K79="","",$K79-N($L79)-N($M79))</f>
        <v>139954.4</v>
      </c>
      <c r="O79" s="31" t="s">
        <v>68</v>
      </c>
      <c r="P79" s="31" t="s">
        <v>68</v>
      </c>
      <c r="Q79" s="31"/>
      <c r="R79" s="32"/>
      <c r="S79" s="32"/>
      <c r="T79" s="32"/>
      <c r="U79" s="32"/>
      <c r="V79" s="31" t="s">
        <v>134</v>
      </c>
      <c r="W79" s="40" t="n">
        <f aca="false">IF(OR($F79="",$J79=""),"",$F79+$J79)</f>
        <v>46141</v>
      </c>
      <c r="X79" s="32"/>
      <c r="Y79" s="34"/>
      <c r="Z79" s="31"/>
      <c r="AA79" s="31"/>
      <c r="AB79" s="32"/>
      <c r="AC79" s="31"/>
      <c r="AD79" s="32"/>
      <c r="AE79" s="31"/>
      <c r="AF79" s="41" t="str">
        <f aca="false">IF(OR($R79="",$S79=""),"",$S79-$R79)</f>
        <v/>
      </c>
      <c r="AG79" s="41" t="str">
        <f aca="false">IF(OR($S79="",$T79=""),"",$T79-$S79)</f>
        <v/>
      </c>
      <c r="AH79" s="41" t="str">
        <f aca="false">IF(OR($T79="",$U79=""),"",$U79-$T79)</f>
        <v/>
      </c>
      <c r="AI79" s="41" t="str">
        <f aca="false">IF(OR($R79="",$U79=""),"",$U79-$R79)</f>
        <v/>
      </c>
      <c r="AJ79" s="41" t="str">
        <f aca="false">IF(OR($U79="",$AB79=""),"",$AB79-$U79)</f>
        <v/>
      </c>
      <c r="AK79" s="41" t="str">
        <f aca="false">IF(OR($R79="",$AD79=""),"",$AD79-$R79)</f>
        <v/>
      </c>
      <c r="AL79" s="31"/>
      <c r="AM79" s="32"/>
      <c r="AN79" s="31" t="s">
        <v>135</v>
      </c>
    </row>
    <row r="80" customFormat="false" ht="15" hidden="false" customHeight="true" outlineLevel="0" collapsed="false">
      <c r="A80" s="38" t="n">
        <f aca="false">IF($B80="","",ROW()-3)</f>
        <v>77</v>
      </c>
      <c r="B80" s="31" t="s">
        <v>268</v>
      </c>
      <c r="C80" s="31" t="s">
        <v>269</v>
      </c>
      <c r="D80" s="31" t="s">
        <v>131</v>
      </c>
      <c r="E80" s="31" t="s">
        <v>270</v>
      </c>
      <c r="F80" s="32" t="n">
        <v>46087</v>
      </c>
      <c r="G80" s="32"/>
      <c r="H80" s="31" t="s">
        <v>139</v>
      </c>
      <c r="I80" s="31" t="s">
        <v>67</v>
      </c>
      <c r="J80" s="33" t="n">
        <v>45</v>
      </c>
      <c r="K80" s="34" t="n">
        <v>61000</v>
      </c>
      <c r="L80" s="34" t="n">
        <v>0</v>
      </c>
      <c r="M80" s="34" t="n">
        <v>0</v>
      </c>
      <c r="N80" s="39" t="n">
        <f aca="false">IF($K80="","",$K80-N($L80)-N($M80))</f>
        <v>61000</v>
      </c>
      <c r="O80" s="31" t="s">
        <v>68</v>
      </c>
      <c r="P80" s="31" t="s">
        <v>68</v>
      </c>
      <c r="Q80" s="31"/>
      <c r="R80" s="32"/>
      <c r="S80" s="32"/>
      <c r="T80" s="32"/>
      <c r="U80" s="32"/>
      <c r="V80" s="31" t="s">
        <v>134</v>
      </c>
      <c r="W80" s="40" t="n">
        <f aca="false">IF(OR($F80="",$J80=""),"",$F80+$J80)</f>
        <v>46132</v>
      </c>
      <c r="X80" s="32"/>
      <c r="Y80" s="34"/>
      <c r="Z80" s="31"/>
      <c r="AA80" s="31"/>
      <c r="AB80" s="32"/>
      <c r="AC80" s="31"/>
      <c r="AD80" s="32"/>
      <c r="AE80" s="31"/>
      <c r="AF80" s="41" t="str">
        <f aca="false">IF(OR($R80="",$S80=""),"",$S80-$R80)</f>
        <v/>
      </c>
      <c r="AG80" s="41" t="str">
        <f aca="false">IF(OR($S80="",$T80=""),"",$T80-$S80)</f>
        <v/>
      </c>
      <c r="AH80" s="41" t="str">
        <f aca="false">IF(OR($T80="",$U80=""),"",$U80-$T80)</f>
        <v/>
      </c>
      <c r="AI80" s="41" t="str">
        <f aca="false">IF(OR($R80="",$U80=""),"",$U80-$R80)</f>
        <v/>
      </c>
      <c r="AJ80" s="41" t="str">
        <f aca="false">IF(OR($U80="",$AB80=""),"",$AB80-$U80)</f>
        <v/>
      </c>
      <c r="AK80" s="41" t="str">
        <f aca="false">IF(OR($R80="",$AD80=""),"",$AD80-$R80)</f>
        <v/>
      </c>
      <c r="AL80" s="31"/>
      <c r="AM80" s="32"/>
      <c r="AN80" s="31" t="s">
        <v>135</v>
      </c>
    </row>
    <row r="81" customFormat="false" ht="15" hidden="false" customHeight="true" outlineLevel="0" collapsed="false">
      <c r="A81" s="38" t="n">
        <f aca="false">IF($B81="","",ROW()-3)</f>
        <v>78</v>
      </c>
      <c r="B81" s="31" t="s">
        <v>271</v>
      </c>
      <c r="C81" s="31" t="s">
        <v>272</v>
      </c>
      <c r="D81" s="31" t="s">
        <v>131</v>
      </c>
      <c r="E81" s="31" t="s">
        <v>273</v>
      </c>
      <c r="F81" s="32" t="n">
        <v>46087</v>
      </c>
      <c r="G81" s="32"/>
      <c r="H81" s="31" t="s">
        <v>139</v>
      </c>
      <c r="I81" s="31" t="s">
        <v>69</v>
      </c>
      <c r="J81" s="33" t="n">
        <v>45</v>
      </c>
      <c r="K81" s="34" t="n">
        <v>577376.09</v>
      </c>
      <c r="L81" s="34" t="n">
        <v>2442.5</v>
      </c>
      <c r="M81" s="34" t="n">
        <v>0</v>
      </c>
      <c r="N81" s="39" t="n">
        <f aca="false">IF($K81="","",$K81-N($L81)-N($M81))</f>
        <v>574933.59</v>
      </c>
      <c r="O81" s="31" t="s">
        <v>68</v>
      </c>
      <c r="P81" s="31" t="s">
        <v>68</v>
      </c>
      <c r="Q81" s="31"/>
      <c r="R81" s="32"/>
      <c r="S81" s="32"/>
      <c r="T81" s="32"/>
      <c r="U81" s="32"/>
      <c r="V81" s="31" t="s">
        <v>134</v>
      </c>
      <c r="W81" s="40" t="n">
        <f aca="false">IF(OR($F81="",$J81=""),"",$F81+$J81)</f>
        <v>46132</v>
      </c>
      <c r="X81" s="32"/>
      <c r="Y81" s="34"/>
      <c r="Z81" s="31"/>
      <c r="AA81" s="31"/>
      <c r="AB81" s="32"/>
      <c r="AC81" s="31"/>
      <c r="AD81" s="32"/>
      <c r="AE81" s="31"/>
      <c r="AF81" s="41" t="str">
        <f aca="false">IF(OR($R81="",$S81=""),"",$S81-$R81)</f>
        <v/>
      </c>
      <c r="AG81" s="41" t="str">
        <f aca="false">IF(OR($S81="",$T81=""),"",$T81-$S81)</f>
        <v/>
      </c>
      <c r="AH81" s="41" t="str">
        <f aca="false">IF(OR($T81="",$U81=""),"",$U81-$T81)</f>
        <v/>
      </c>
      <c r="AI81" s="41" t="str">
        <f aca="false">IF(OR($R81="",$U81=""),"",$U81-$R81)</f>
        <v/>
      </c>
      <c r="AJ81" s="41" t="str">
        <f aca="false">IF(OR($U81="",$AB81=""),"",$AB81-$U81)</f>
        <v/>
      </c>
      <c r="AK81" s="41" t="str">
        <f aca="false">IF(OR($R81="",$AD81=""),"",$AD81-$R81)</f>
        <v/>
      </c>
      <c r="AL81" s="31"/>
      <c r="AM81" s="32"/>
      <c r="AN81" s="31" t="s">
        <v>135</v>
      </c>
    </row>
    <row r="82" customFormat="false" ht="15" hidden="false" customHeight="true" outlineLevel="0" collapsed="false">
      <c r="A82" s="38" t="n">
        <f aca="false">IF($B82="","",ROW()-3)</f>
        <v>79</v>
      </c>
      <c r="B82" s="31" t="s">
        <v>274</v>
      </c>
      <c r="C82" s="31" t="s">
        <v>275</v>
      </c>
      <c r="D82" s="31" t="s">
        <v>131</v>
      </c>
      <c r="E82" s="31" t="s">
        <v>276</v>
      </c>
      <c r="F82" s="32" t="n">
        <v>46078</v>
      </c>
      <c r="G82" s="32"/>
      <c r="H82" s="31"/>
      <c r="I82" s="31" t="s">
        <v>69</v>
      </c>
      <c r="J82" s="33"/>
      <c r="K82" s="34" t="n">
        <v>510826.8</v>
      </c>
      <c r="L82" s="34" t="n">
        <v>312050</v>
      </c>
      <c r="M82" s="34" t="n">
        <v>0</v>
      </c>
      <c r="N82" s="39" t="n">
        <f aca="false">IF($K82="","",$K82-N($L82)-N($M82))</f>
        <v>198776.8</v>
      </c>
      <c r="O82" s="31" t="s">
        <v>68</v>
      </c>
      <c r="P82" s="31" t="s">
        <v>68</v>
      </c>
      <c r="Q82" s="31"/>
      <c r="R82" s="32"/>
      <c r="S82" s="32"/>
      <c r="T82" s="32"/>
      <c r="U82" s="32"/>
      <c r="V82" s="31" t="s">
        <v>134</v>
      </c>
      <c r="W82" s="40" t="str">
        <f aca="false">IF(OR($F82="",$J82=""),"",$F82+$J82)</f>
        <v/>
      </c>
      <c r="X82" s="32"/>
      <c r="Y82" s="34"/>
      <c r="Z82" s="31"/>
      <c r="AA82" s="31"/>
      <c r="AB82" s="32"/>
      <c r="AC82" s="31"/>
      <c r="AD82" s="32"/>
      <c r="AE82" s="31"/>
      <c r="AF82" s="41" t="str">
        <f aca="false">IF(OR($R82="",$S82=""),"",$S82-$R82)</f>
        <v/>
      </c>
      <c r="AG82" s="41" t="str">
        <f aca="false">IF(OR($S82="",$T82=""),"",$T82-$S82)</f>
        <v/>
      </c>
      <c r="AH82" s="41" t="str">
        <f aca="false">IF(OR($T82="",$U82=""),"",$U82-$T82)</f>
        <v/>
      </c>
      <c r="AI82" s="41" t="str">
        <f aca="false">IF(OR($R82="",$U82=""),"",$U82-$R82)</f>
        <v/>
      </c>
      <c r="AJ82" s="41" t="str">
        <f aca="false">IF(OR($U82="",$AB82=""),"",$AB82-$U82)</f>
        <v/>
      </c>
      <c r="AK82" s="41" t="str">
        <f aca="false">IF(OR($R82="",$AD82=""),"",$AD82-$R82)</f>
        <v/>
      </c>
      <c r="AL82" s="31"/>
      <c r="AM82" s="32"/>
      <c r="AN82" s="31" t="s">
        <v>135</v>
      </c>
    </row>
    <row r="83" customFormat="false" ht="15" hidden="false" customHeight="true" outlineLevel="0" collapsed="false">
      <c r="A83" s="38" t="n">
        <f aca="false">IF($B83="","",ROW()-3)</f>
        <v>80</v>
      </c>
      <c r="B83" s="31" t="s">
        <v>277</v>
      </c>
      <c r="C83" s="31" t="s">
        <v>278</v>
      </c>
      <c r="D83" s="31" t="s">
        <v>131</v>
      </c>
      <c r="E83" s="31" t="s">
        <v>279</v>
      </c>
      <c r="F83" s="32" t="n">
        <v>46086</v>
      </c>
      <c r="G83" s="32"/>
      <c r="H83" s="31" t="s">
        <v>139</v>
      </c>
      <c r="I83" s="31" t="s">
        <v>67</v>
      </c>
      <c r="J83" s="33" t="n">
        <v>45</v>
      </c>
      <c r="K83" s="34" t="n">
        <v>30587.17</v>
      </c>
      <c r="L83" s="34" t="n">
        <v>0</v>
      </c>
      <c r="M83" s="34" t="n">
        <v>0</v>
      </c>
      <c r="N83" s="39" t="n">
        <f aca="false">IF($K83="","",$K83-N($L83)-N($M83))</f>
        <v>30587.17</v>
      </c>
      <c r="O83" s="31" t="s">
        <v>68</v>
      </c>
      <c r="P83" s="31" t="s">
        <v>68</v>
      </c>
      <c r="Q83" s="31"/>
      <c r="R83" s="32"/>
      <c r="S83" s="32"/>
      <c r="T83" s="32"/>
      <c r="U83" s="32"/>
      <c r="V83" s="31" t="s">
        <v>134</v>
      </c>
      <c r="W83" s="40" t="n">
        <f aca="false">IF(OR($F83="",$J83=""),"",$F83+$J83)</f>
        <v>46131</v>
      </c>
      <c r="X83" s="32"/>
      <c r="Y83" s="34"/>
      <c r="Z83" s="31"/>
      <c r="AA83" s="31"/>
      <c r="AB83" s="32"/>
      <c r="AC83" s="31"/>
      <c r="AD83" s="32"/>
      <c r="AE83" s="31"/>
      <c r="AF83" s="41" t="str">
        <f aca="false">IF(OR($R83="",$S83=""),"",$S83-$R83)</f>
        <v/>
      </c>
      <c r="AG83" s="41" t="str">
        <f aca="false">IF(OR($S83="",$T83=""),"",$T83-$S83)</f>
        <v/>
      </c>
      <c r="AH83" s="41" t="str">
        <f aca="false">IF(OR($T83="",$U83=""),"",$U83-$T83)</f>
        <v/>
      </c>
      <c r="AI83" s="41" t="str">
        <f aca="false">IF(OR($R83="",$U83=""),"",$U83-$R83)</f>
        <v/>
      </c>
      <c r="AJ83" s="41" t="str">
        <f aca="false">IF(OR($U83="",$AB83=""),"",$AB83-$U83)</f>
        <v/>
      </c>
      <c r="AK83" s="41" t="str">
        <f aca="false">IF(OR($R83="",$AD83=""),"",$AD83-$R83)</f>
        <v/>
      </c>
      <c r="AL83" s="31"/>
      <c r="AM83" s="32"/>
      <c r="AN83" s="31" t="s">
        <v>135</v>
      </c>
    </row>
    <row r="84" customFormat="false" ht="15" hidden="false" customHeight="true" outlineLevel="0" collapsed="false">
      <c r="A84" s="38" t="n">
        <f aca="false">IF($B84="","",ROW()-3)</f>
        <v>81</v>
      </c>
      <c r="B84" s="31" t="s">
        <v>277</v>
      </c>
      <c r="C84" s="31" t="s">
        <v>278</v>
      </c>
      <c r="D84" s="31" t="s">
        <v>131</v>
      </c>
      <c r="E84" s="31" t="s">
        <v>280</v>
      </c>
      <c r="F84" s="32" t="n">
        <v>46090</v>
      </c>
      <c r="G84" s="32"/>
      <c r="H84" s="31" t="s">
        <v>167</v>
      </c>
      <c r="I84" s="31" t="s">
        <v>69</v>
      </c>
      <c r="J84" s="33" t="n">
        <v>45</v>
      </c>
      <c r="K84" s="34" t="n">
        <v>2834992.74</v>
      </c>
      <c r="L84" s="34" t="n">
        <v>69564.23</v>
      </c>
      <c r="M84" s="34" t="n">
        <v>0</v>
      </c>
      <c r="N84" s="39" t="n">
        <f aca="false">IF($K84="","",$K84-N($L84)-N($M84))</f>
        <v>2765428.51</v>
      </c>
      <c r="O84" s="31" t="s">
        <v>68</v>
      </c>
      <c r="P84" s="31" t="s">
        <v>68</v>
      </c>
      <c r="Q84" s="31"/>
      <c r="R84" s="32"/>
      <c r="S84" s="32"/>
      <c r="T84" s="32"/>
      <c r="U84" s="32"/>
      <c r="V84" s="31" t="s">
        <v>134</v>
      </c>
      <c r="W84" s="40" t="n">
        <f aca="false">IF(OR($F84="",$J84=""),"",$F84+$J84)</f>
        <v>46135</v>
      </c>
      <c r="X84" s="32"/>
      <c r="Y84" s="34"/>
      <c r="Z84" s="31"/>
      <c r="AA84" s="31"/>
      <c r="AB84" s="32"/>
      <c r="AC84" s="31"/>
      <c r="AD84" s="32"/>
      <c r="AE84" s="31"/>
      <c r="AF84" s="41" t="str">
        <f aca="false">IF(OR($R84="",$S84=""),"",$S84-$R84)</f>
        <v/>
      </c>
      <c r="AG84" s="41" t="str">
        <f aca="false">IF(OR($S84="",$T84=""),"",$T84-$S84)</f>
        <v/>
      </c>
      <c r="AH84" s="41" t="str">
        <f aca="false">IF(OR($T84="",$U84=""),"",$U84-$T84)</f>
        <v/>
      </c>
      <c r="AI84" s="41" t="str">
        <f aca="false">IF(OR($R84="",$U84=""),"",$U84-$R84)</f>
        <v/>
      </c>
      <c r="AJ84" s="41" t="str">
        <f aca="false">IF(OR($U84="",$AB84=""),"",$AB84-$U84)</f>
        <v/>
      </c>
      <c r="AK84" s="41" t="str">
        <f aca="false">IF(OR($R84="",$AD84=""),"",$AD84-$R84)</f>
        <v/>
      </c>
      <c r="AL84" s="31"/>
      <c r="AM84" s="32"/>
      <c r="AN84" s="31" t="s">
        <v>135</v>
      </c>
    </row>
    <row r="85" customFormat="false" ht="15" hidden="false" customHeight="true" outlineLevel="0" collapsed="false">
      <c r="A85" s="38" t="n">
        <f aca="false">IF($B85="","",ROW()-3)</f>
        <v>82</v>
      </c>
      <c r="B85" s="31" t="s">
        <v>281</v>
      </c>
      <c r="C85" s="31" t="s">
        <v>282</v>
      </c>
      <c r="D85" s="31" t="s">
        <v>131</v>
      </c>
      <c r="E85" s="31" t="s">
        <v>283</v>
      </c>
      <c r="F85" s="32" t="n">
        <v>46087</v>
      </c>
      <c r="G85" s="32"/>
      <c r="H85" s="31" t="s">
        <v>139</v>
      </c>
      <c r="I85" s="31" t="s">
        <v>69</v>
      </c>
      <c r="J85" s="33" t="n">
        <v>45</v>
      </c>
      <c r="K85" s="34" t="n">
        <v>175500</v>
      </c>
      <c r="L85" s="34" t="n">
        <v>19500</v>
      </c>
      <c r="M85" s="34" t="n">
        <v>0</v>
      </c>
      <c r="N85" s="39" t="n">
        <f aca="false">IF($K85="","",$K85-N($L85)-N($M85))</f>
        <v>156000</v>
      </c>
      <c r="O85" s="31" t="s">
        <v>68</v>
      </c>
      <c r="P85" s="31" t="s">
        <v>68</v>
      </c>
      <c r="Q85" s="31"/>
      <c r="R85" s="32"/>
      <c r="S85" s="32"/>
      <c r="T85" s="32"/>
      <c r="U85" s="32"/>
      <c r="V85" s="31" t="s">
        <v>134</v>
      </c>
      <c r="W85" s="40" t="n">
        <f aca="false">IF(OR($F85="",$J85=""),"",$F85+$J85)</f>
        <v>46132</v>
      </c>
      <c r="X85" s="32"/>
      <c r="Y85" s="34"/>
      <c r="Z85" s="31"/>
      <c r="AA85" s="31"/>
      <c r="AB85" s="32"/>
      <c r="AC85" s="31"/>
      <c r="AD85" s="32"/>
      <c r="AE85" s="31"/>
      <c r="AF85" s="41" t="str">
        <f aca="false">IF(OR($R85="",$S85=""),"",$S85-$R85)</f>
        <v/>
      </c>
      <c r="AG85" s="41" t="str">
        <f aca="false">IF(OR($S85="",$T85=""),"",$T85-$S85)</f>
        <v/>
      </c>
      <c r="AH85" s="41" t="str">
        <f aca="false">IF(OR($T85="",$U85=""),"",$U85-$T85)</f>
        <v/>
      </c>
      <c r="AI85" s="41" t="str">
        <f aca="false">IF(OR($R85="",$U85=""),"",$U85-$R85)</f>
        <v/>
      </c>
      <c r="AJ85" s="41" t="str">
        <f aca="false">IF(OR($U85="",$AB85=""),"",$AB85-$U85)</f>
        <v/>
      </c>
      <c r="AK85" s="41" t="str">
        <f aca="false">IF(OR($R85="",$AD85=""),"",$AD85-$R85)</f>
        <v/>
      </c>
      <c r="AL85" s="31"/>
      <c r="AM85" s="32"/>
      <c r="AN85" s="31" t="s">
        <v>135</v>
      </c>
    </row>
    <row r="86" customFormat="false" ht="15" hidden="false" customHeight="true" outlineLevel="0" collapsed="false">
      <c r="A86" s="38" t="n">
        <f aca="false">IF($B86="","",ROW()-3)</f>
        <v>83</v>
      </c>
      <c r="B86" s="31" t="s">
        <v>284</v>
      </c>
      <c r="C86" s="31" t="s">
        <v>285</v>
      </c>
      <c r="D86" s="31" t="s">
        <v>131</v>
      </c>
      <c r="E86" s="31" t="s">
        <v>286</v>
      </c>
      <c r="F86" s="32" t="n">
        <v>46083</v>
      </c>
      <c r="G86" s="32"/>
      <c r="H86" s="31"/>
      <c r="I86" s="31" t="s">
        <v>67</v>
      </c>
      <c r="J86" s="33"/>
      <c r="K86" s="34" t="n">
        <v>227170.48</v>
      </c>
      <c r="L86" s="34" t="n">
        <v>11777.68</v>
      </c>
      <c r="M86" s="34" t="n">
        <v>0</v>
      </c>
      <c r="N86" s="39" t="n">
        <f aca="false">IF($K86="","",$K86-N($L86)-N($M86))</f>
        <v>215392.8</v>
      </c>
      <c r="O86" s="31" t="s">
        <v>68</v>
      </c>
      <c r="P86" s="31" t="s">
        <v>68</v>
      </c>
      <c r="Q86" s="31"/>
      <c r="R86" s="32"/>
      <c r="S86" s="32"/>
      <c r="T86" s="32"/>
      <c r="U86" s="32"/>
      <c r="V86" s="31" t="s">
        <v>134</v>
      </c>
      <c r="W86" s="40" t="str">
        <f aca="false">IF(OR($F86="",$J86=""),"",$F86+$J86)</f>
        <v/>
      </c>
      <c r="X86" s="32"/>
      <c r="Y86" s="34"/>
      <c r="Z86" s="31"/>
      <c r="AA86" s="31"/>
      <c r="AB86" s="32"/>
      <c r="AC86" s="31"/>
      <c r="AD86" s="32"/>
      <c r="AE86" s="31"/>
      <c r="AF86" s="41" t="str">
        <f aca="false">IF(OR($R86="",$S86=""),"",$S86-$R86)</f>
        <v/>
      </c>
      <c r="AG86" s="41" t="str">
        <f aca="false">IF(OR($S86="",$T86=""),"",$T86-$S86)</f>
        <v/>
      </c>
      <c r="AH86" s="41" t="str">
        <f aca="false">IF(OR($T86="",$U86=""),"",$U86-$T86)</f>
        <v/>
      </c>
      <c r="AI86" s="41" t="str">
        <f aca="false">IF(OR($R86="",$U86=""),"",$U86-$R86)</f>
        <v/>
      </c>
      <c r="AJ86" s="41" t="str">
        <f aca="false">IF(OR($U86="",$AB86=""),"",$AB86-$U86)</f>
        <v/>
      </c>
      <c r="AK86" s="41" t="str">
        <f aca="false">IF(OR($R86="",$AD86=""),"",$AD86-$R86)</f>
        <v/>
      </c>
      <c r="AL86" s="31"/>
      <c r="AM86" s="32"/>
      <c r="AN86" s="31" t="s">
        <v>135</v>
      </c>
    </row>
    <row r="87" customFormat="false" ht="15" hidden="false" customHeight="true" outlineLevel="0" collapsed="false">
      <c r="A87" s="38" t="n">
        <f aca="false">IF($B87="","",ROW()-3)</f>
        <v>84</v>
      </c>
      <c r="B87" s="31" t="s">
        <v>284</v>
      </c>
      <c r="C87" s="31" t="s">
        <v>285</v>
      </c>
      <c r="D87" s="31" t="s">
        <v>131</v>
      </c>
      <c r="E87" s="31" t="s">
        <v>287</v>
      </c>
      <c r="F87" s="32" t="n">
        <v>46083</v>
      </c>
      <c r="G87" s="32"/>
      <c r="H87" s="31"/>
      <c r="I87" s="31" t="s">
        <v>67</v>
      </c>
      <c r="J87" s="33"/>
      <c r="K87" s="34" t="n">
        <v>1221.83</v>
      </c>
      <c r="L87" s="34" t="n">
        <v>1221.83</v>
      </c>
      <c r="M87" s="34" t="n">
        <v>0</v>
      </c>
      <c r="N87" s="39" t="n">
        <f aca="false">IF($K87="","",$K87-N($L87)-N($M87))</f>
        <v>0</v>
      </c>
      <c r="O87" s="31" t="s">
        <v>68</v>
      </c>
      <c r="P87" s="31" t="s">
        <v>68</v>
      </c>
      <c r="Q87" s="31"/>
      <c r="R87" s="32"/>
      <c r="S87" s="32"/>
      <c r="T87" s="32"/>
      <c r="U87" s="32"/>
      <c r="V87" s="31" t="s">
        <v>134</v>
      </c>
      <c r="W87" s="40" t="str">
        <f aca="false">IF(OR($F87="",$J87=""),"",$F87+$J87)</f>
        <v/>
      </c>
      <c r="X87" s="32"/>
      <c r="Y87" s="34"/>
      <c r="Z87" s="31"/>
      <c r="AA87" s="31"/>
      <c r="AB87" s="32"/>
      <c r="AC87" s="31"/>
      <c r="AD87" s="32"/>
      <c r="AE87" s="31"/>
      <c r="AF87" s="41" t="str">
        <f aca="false">IF(OR($R87="",$S87=""),"",$S87-$R87)</f>
        <v/>
      </c>
      <c r="AG87" s="41" t="str">
        <f aca="false">IF(OR($S87="",$T87=""),"",$T87-$S87)</f>
        <v/>
      </c>
      <c r="AH87" s="41" t="str">
        <f aca="false">IF(OR($T87="",$U87=""),"",$U87-$T87)</f>
        <v/>
      </c>
      <c r="AI87" s="41" t="str">
        <f aca="false">IF(OR($R87="",$U87=""),"",$U87-$R87)</f>
        <v/>
      </c>
      <c r="AJ87" s="41" t="str">
        <f aca="false">IF(OR($U87="",$AB87=""),"",$AB87-$U87)</f>
        <v/>
      </c>
      <c r="AK87" s="41" t="str">
        <f aca="false">IF(OR($R87="",$AD87=""),"",$AD87-$R87)</f>
        <v/>
      </c>
      <c r="AL87" s="31"/>
      <c r="AM87" s="32"/>
      <c r="AN87" s="31" t="s">
        <v>135</v>
      </c>
    </row>
    <row r="88" customFormat="false" ht="15" hidden="false" customHeight="true" outlineLevel="0" collapsed="false">
      <c r="A88" s="38" t="n">
        <f aca="false">IF($B88="","",ROW()-3)</f>
        <v>85</v>
      </c>
      <c r="B88" s="31" t="s">
        <v>284</v>
      </c>
      <c r="C88" s="31" t="s">
        <v>285</v>
      </c>
      <c r="D88" s="31" t="s">
        <v>131</v>
      </c>
      <c r="E88" s="31" t="s">
        <v>288</v>
      </c>
      <c r="F88" s="32" t="n">
        <v>46083</v>
      </c>
      <c r="G88" s="32"/>
      <c r="H88" s="31"/>
      <c r="I88" s="31" t="s">
        <v>75</v>
      </c>
      <c r="J88" s="33"/>
      <c r="K88" s="34" t="n">
        <v>20945.33</v>
      </c>
      <c r="L88" s="34" t="n">
        <v>997.4</v>
      </c>
      <c r="M88" s="34" t="n">
        <v>0</v>
      </c>
      <c r="N88" s="39" t="n">
        <f aca="false">IF($K88="","",$K88-N($L88)-N($M88))</f>
        <v>19947.93</v>
      </c>
      <c r="O88" s="31" t="s">
        <v>68</v>
      </c>
      <c r="P88" s="31" t="s">
        <v>68</v>
      </c>
      <c r="Q88" s="31"/>
      <c r="R88" s="32"/>
      <c r="S88" s="32"/>
      <c r="T88" s="32"/>
      <c r="U88" s="32"/>
      <c r="V88" s="31" t="s">
        <v>134</v>
      </c>
      <c r="W88" s="40" t="str">
        <f aca="false">IF(OR($F88="",$J88=""),"",$F88+$J88)</f>
        <v/>
      </c>
      <c r="X88" s="32"/>
      <c r="Y88" s="34"/>
      <c r="Z88" s="31"/>
      <c r="AA88" s="31"/>
      <c r="AB88" s="32"/>
      <c r="AC88" s="31"/>
      <c r="AD88" s="32"/>
      <c r="AE88" s="31"/>
      <c r="AF88" s="41" t="str">
        <f aca="false">IF(OR($R88="",$S88=""),"",$S88-$R88)</f>
        <v/>
      </c>
      <c r="AG88" s="41" t="str">
        <f aca="false">IF(OR($S88="",$T88=""),"",$T88-$S88)</f>
        <v/>
      </c>
      <c r="AH88" s="41" t="str">
        <f aca="false">IF(OR($T88="",$U88=""),"",$U88-$T88)</f>
        <v/>
      </c>
      <c r="AI88" s="41" t="str">
        <f aca="false">IF(OR($R88="",$U88=""),"",$U88-$R88)</f>
        <v/>
      </c>
      <c r="AJ88" s="41" t="str">
        <f aca="false">IF(OR($U88="",$AB88=""),"",$AB88-$U88)</f>
        <v/>
      </c>
      <c r="AK88" s="41" t="str">
        <f aca="false">IF(OR($R88="",$AD88=""),"",$AD88-$R88)</f>
        <v/>
      </c>
      <c r="AL88" s="31"/>
      <c r="AM88" s="32"/>
      <c r="AN88" s="31" t="s">
        <v>135</v>
      </c>
    </row>
    <row r="89" customFormat="false" ht="15" hidden="false" customHeight="true" outlineLevel="0" collapsed="false">
      <c r="A89" s="38" t="n">
        <f aca="false">IF($B89="","",ROW()-3)</f>
        <v>86</v>
      </c>
      <c r="B89" s="31" t="s">
        <v>284</v>
      </c>
      <c r="C89" s="31" t="s">
        <v>285</v>
      </c>
      <c r="D89" s="31" t="s">
        <v>131</v>
      </c>
      <c r="E89" s="31" t="s">
        <v>289</v>
      </c>
      <c r="F89" s="32" t="n">
        <v>46083</v>
      </c>
      <c r="G89" s="32"/>
      <c r="H89" s="31"/>
      <c r="I89" s="31" t="s">
        <v>71</v>
      </c>
      <c r="J89" s="33"/>
      <c r="K89" s="34" t="n">
        <v>21814.28</v>
      </c>
      <c r="L89" s="34" t="n">
        <v>21814.28</v>
      </c>
      <c r="M89" s="34" t="n">
        <v>0</v>
      </c>
      <c r="N89" s="39" t="n">
        <f aca="false">IF($K89="","",$K89-N($L89)-N($M89))</f>
        <v>0</v>
      </c>
      <c r="O89" s="31" t="s">
        <v>68</v>
      </c>
      <c r="P89" s="31" t="s">
        <v>68</v>
      </c>
      <c r="Q89" s="31"/>
      <c r="R89" s="32"/>
      <c r="S89" s="32"/>
      <c r="T89" s="32"/>
      <c r="U89" s="32"/>
      <c r="V89" s="31" t="s">
        <v>134</v>
      </c>
      <c r="W89" s="40" t="str">
        <f aca="false">IF(OR($F89="",$J89=""),"",$F89+$J89)</f>
        <v/>
      </c>
      <c r="X89" s="32"/>
      <c r="Y89" s="34"/>
      <c r="Z89" s="31"/>
      <c r="AA89" s="31"/>
      <c r="AB89" s="32"/>
      <c r="AC89" s="31"/>
      <c r="AD89" s="32"/>
      <c r="AE89" s="31"/>
      <c r="AF89" s="41" t="str">
        <f aca="false">IF(OR($R89="",$S89=""),"",$S89-$R89)</f>
        <v/>
      </c>
      <c r="AG89" s="41" t="str">
        <f aca="false">IF(OR($S89="",$T89=""),"",$T89-$S89)</f>
        <v/>
      </c>
      <c r="AH89" s="41" t="str">
        <f aca="false">IF(OR($T89="",$U89=""),"",$U89-$T89)</f>
        <v/>
      </c>
      <c r="AI89" s="41" t="str">
        <f aca="false">IF(OR($R89="",$U89=""),"",$U89-$R89)</f>
        <v/>
      </c>
      <c r="AJ89" s="41" t="str">
        <f aca="false">IF(OR($U89="",$AB89=""),"",$AB89-$U89)</f>
        <v/>
      </c>
      <c r="AK89" s="41" t="str">
        <f aca="false">IF(OR($R89="",$AD89=""),"",$AD89-$R89)</f>
        <v/>
      </c>
      <c r="AL89" s="31"/>
      <c r="AM89" s="32"/>
      <c r="AN89" s="31" t="s">
        <v>135</v>
      </c>
    </row>
    <row r="90" customFormat="false" ht="15" hidden="false" customHeight="true" outlineLevel="0" collapsed="false">
      <c r="A90" s="38" t="n">
        <f aca="false">IF($B90="","",ROW()-3)</f>
        <v>87</v>
      </c>
      <c r="B90" s="31" t="s">
        <v>284</v>
      </c>
      <c r="C90" s="31" t="s">
        <v>285</v>
      </c>
      <c r="D90" s="31" t="s">
        <v>131</v>
      </c>
      <c r="E90" s="31" t="s">
        <v>290</v>
      </c>
      <c r="F90" s="32" t="n">
        <v>46086</v>
      </c>
      <c r="G90" s="32"/>
      <c r="H90" s="31"/>
      <c r="I90" s="31" t="s">
        <v>69</v>
      </c>
      <c r="J90" s="33"/>
      <c r="K90" s="34" t="n">
        <v>60981.32</v>
      </c>
      <c r="L90" s="34" t="n">
        <v>19279.04</v>
      </c>
      <c r="M90" s="34" t="n">
        <v>0</v>
      </c>
      <c r="N90" s="39" t="n">
        <f aca="false">IF($K90="","",$K90-N($L90)-N($M90))</f>
        <v>41702.28</v>
      </c>
      <c r="O90" s="31" t="s">
        <v>68</v>
      </c>
      <c r="P90" s="31" t="s">
        <v>68</v>
      </c>
      <c r="Q90" s="31"/>
      <c r="R90" s="32"/>
      <c r="S90" s="32"/>
      <c r="T90" s="32"/>
      <c r="U90" s="32"/>
      <c r="V90" s="31" t="s">
        <v>134</v>
      </c>
      <c r="W90" s="40" t="str">
        <f aca="false">IF(OR($F90="",$J90=""),"",$F90+$J90)</f>
        <v/>
      </c>
      <c r="X90" s="32"/>
      <c r="Y90" s="34"/>
      <c r="Z90" s="31"/>
      <c r="AA90" s="31"/>
      <c r="AB90" s="32"/>
      <c r="AC90" s="31"/>
      <c r="AD90" s="32"/>
      <c r="AE90" s="31"/>
      <c r="AF90" s="41" t="str">
        <f aca="false">IF(OR($R90="",$S90=""),"",$S90-$R90)</f>
        <v/>
      </c>
      <c r="AG90" s="41" t="str">
        <f aca="false">IF(OR($S90="",$T90=""),"",$T90-$S90)</f>
        <v/>
      </c>
      <c r="AH90" s="41" t="str">
        <f aca="false">IF(OR($T90="",$U90=""),"",$U90-$T90)</f>
        <v/>
      </c>
      <c r="AI90" s="41" t="str">
        <f aca="false">IF(OR($R90="",$U90=""),"",$U90-$R90)</f>
        <v/>
      </c>
      <c r="AJ90" s="41" t="str">
        <f aca="false">IF(OR($U90="",$AB90=""),"",$AB90-$U90)</f>
        <v/>
      </c>
      <c r="AK90" s="41" t="str">
        <f aca="false">IF(OR($R90="",$AD90=""),"",$AD90-$R90)</f>
        <v/>
      </c>
      <c r="AL90" s="31"/>
      <c r="AM90" s="32"/>
      <c r="AN90" s="31" t="s">
        <v>135</v>
      </c>
    </row>
    <row r="91" customFormat="false" ht="15" hidden="false" customHeight="true" outlineLevel="0" collapsed="false">
      <c r="A91" s="38" t="n">
        <f aca="false">IF($B91="","",ROW()-3)</f>
        <v>88</v>
      </c>
      <c r="B91" s="31" t="s">
        <v>284</v>
      </c>
      <c r="C91" s="31" t="s">
        <v>285</v>
      </c>
      <c r="D91" s="31" t="s">
        <v>131</v>
      </c>
      <c r="E91" s="31" t="s">
        <v>291</v>
      </c>
      <c r="F91" s="32" t="n">
        <v>46083</v>
      </c>
      <c r="G91" s="32"/>
      <c r="H91" s="31"/>
      <c r="I91" s="31" t="s">
        <v>67</v>
      </c>
      <c r="J91" s="33"/>
      <c r="K91" s="34" t="n">
        <v>15766.62</v>
      </c>
      <c r="L91" s="34" t="n">
        <v>0</v>
      </c>
      <c r="M91" s="34" t="n">
        <v>0</v>
      </c>
      <c r="N91" s="39" t="n">
        <f aca="false">IF($K91="","",$K91-N($L91)-N($M91))</f>
        <v>15766.62</v>
      </c>
      <c r="O91" s="31" t="s">
        <v>68</v>
      </c>
      <c r="P91" s="31" t="s">
        <v>68</v>
      </c>
      <c r="Q91" s="31"/>
      <c r="R91" s="32"/>
      <c r="S91" s="32"/>
      <c r="T91" s="32"/>
      <c r="U91" s="32"/>
      <c r="V91" s="31" t="s">
        <v>134</v>
      </c>
      <c r="W91" s="40" t="str">
        <f aca="false">IF(OR($F91="",$J91=""),"",$F91+$J91)</f>
        <v/>
      </c>
      <c r="X91" s="32"/>
      <c r="Y91" s="34"/>
      <c r="Z91" s="31"/>
      <c r="AA91" s="31"/>
      <c r="AB91" s="32"/>
      <c r="AC91" s="31"/>
      <c r="AD91" s="32"/>
      <c r="AE91" s="31"/>
      <c r="AF91" s="41" t="str">
        <f aca="false">IF(OR($R91="",$S91=""),"",$S91-$R91)</f>
        <v/>
      </c>
      <c r="AG91" s="41" t="str">
        <f aca="false">IF(OR($S91="",$T91=""),"",$T91-$S91)</f>
        <v/>
      </c>
      <c r="AH91" s="41" t="str">
        <f aca="false">IF(OR($T91="",$U91=""),"",$U91-$T91)</f>
        <v/>
      </c>
      <c r="AI91" s="41" t="str">
        <f aca="false">IF(OR($R91="",$U91=""),"",$U91-$R91)</f>
        <v/>
      </c>
      <c r="AJ91" s="41" t="str">
        <f aca="false">IF(OR($U91="",$AB91=""),"",$AB91-$U91)</f>
        <v/>
      </c>
      <c r="AK91" s="41" t="str">
        <f aca="false">IF(OR($R91="",$AD91=""),"",$AD91-$R91)</f>
        <v/>
      </c>
      <c r="AL91" s="31"/>
      <c r="AM91" s="32"/>
      <c r="AN91" s="31" t="s">
        <v>135</v>
      </c>
    </row>
    <row r="92" customFormat="false" ht="15" hidden="false" customHeight="true" outlineLevel="0" collapsed="false">
      <c r="A92" s="38" t="n">
        <f aca="false">IF($B92="","",ROW()-3)</f>
        <v>89</v>
      </c>
      <c r="B92" s="31" t="s">
        <v>292</v>
      </c>
      <c r="C92" s="31" t="s">
        <v>293</v>
      </c>
      <c r="D92" s="31" t="s">
        <v>131</v>
      </c>
      <c r="E92" s="31" t="s">
        <v>294</v>
      </c>
      <c r="F92" s="32" t="n">
        <v>46086</v>
      </c>
      <c r="G92" s="32"/>
      <c r="H92" s="31" t="s">
        <v>139</v>
      </c>
      <c r="I92" s="31" t="s">
        <v>71</v>
      </c>
      <c r="J92" s="33" t="n">
        <v>60</v>
      </c>
      <c r="K92" s="34" t="n">
        <v>79174.55</v>
      </c>
      <c r="L92" s="34" t="n">
        <v>0</v>
      </c>
      <c r="M92" s="34" t="n">
        <v>0</v>
      </c>
      <c r="N92" s="39" t="n">
        <f aca="false">IF($K92="","",$K92-N($L92)-N($M92))</f>
        <v>79174.55</v>
      </c>
      <c r="O92" s="31" t="s">
        <v>68</v>
      </c>
      <c r="P92" s="31" t="s">
        <v>68</v>
      </c>
      <c r="Q92" s="31"/>
      <c r="R92" s="32"/>
      <c r="S92" s="32"/>
      <c r="T92" s="32"/>
      <c r="U92" s="32"/>
      <c r="V92" s="31" t="s">
        <v>134</v>
      </c>
      <c r="W92" s="40" t="n">
        <f aca="false">IF(OR($F92="",$J92=""),"",$F92+$J92)</f>
        <v>46146</v>
      </c>
      <c r="X92" s="32"/>
      <c r="Y92" s="34"/>
      <c r="Z92" s="31"/>
      <c r="AA92" s="31"/>
      <c r="AB92" s="32"/>
      <c r="AC92" s="31"/>
      <c r="AD92" s="32"/>
      <c r="AE92" s="31"/>
      <c r="AF92" s="41" t="str">
        <f aca="false">IF(OR($R92="",$S92=""),"",$S92-$R92)</f>
        <v/>
      </c>
      <c r="AG92" s="41" t="str">
        <f aca="false">IF(OR($S92="",$T92=""),"",$T92-$S92)</f>
        <v/>
      </c>
      <c r="AH92" s="41" t="str">
        <f aca="false">IF(OR($T92="",$U92=""),"",$U92-$T92)</f>
        <v/>
      </c>
      <c r="AI92" s="41" t="str">
        <f aca="false">IF(OR($R92="",$U92=""),"",$U92-$R92)</f>
        <v/>
      </c>
      <c r="AJ92" s="41" t="str">
        <f aca="false">IF(OR($U92="",$AB92=""),"",$AB92-$U92)</f>
        <v/>
      </c>
      <c r="AK92" s="41" t="str">
        <f aca="false">IF(OR($R92="",$AD92=""),"",$AD92-$R92)</f>
        <v/>
      </c>
      <c r="AL92" s="31"/>
      <c r="AM92" s="32"/>
      <c r="AN92" s="31" t="s">
        <v>135</v>
      </c>
    </row>
    <row r="93" customFormat="false" ht="15" hidden="false" customHeight="true" outlineLevel="0" collapsed="false">
      <c r="A93" s="38" t="n">
        <f aca="false">IF($B93="","",ROW()-3)</f>
        <v>90</v>
      </c>
      <c r="B93" s="31" t="s">
        <v>292</v>
      </c>
      <c r="C93" s="31" t="s">
        <v>293</v>
      </c>
      <c r="D93" s="31" t="s">
        <v>131</v>
      </c>
      <c r="E93" s="31" t="s">
        <v>295</v>
      </c>
      <c r="F93" s="32" t="n">
        <v>46086</v>
      </c>
      <c r="G93" s="32"/>
      <c r="H93" s="31" t="s">
        <v>139</v>
      </c>
      <c r="I93" s="31" t="s">
        <v>71</v>
      </c>
      <c r="J93" s="33" t="n">
        <v>60</v>
      </c>
      <c r="K93" s="34" t="n">
        <v>26189.49</v>
      </c>
      <c r="L93" s="34" t="n">
        <v>0</v>
      </c>
      <c r="M93" s="34" t="n">
        <v>0</v>
      </c>
      <c r="N93" s="39" t="n">
        <f aca="false">IF($K93="","",$K93-N($L93)-N($M93))</f>
        <v>26189.49</v>
      </c>
      <c r="O93" s="31" t="s">
        <v>68</v>
      </c>
      <c r="P93" s="31" t="s">
        <v>68</v>
      </c>
      <c r="Q93" s="31"/>
      <c r="R93" s="32"/>
      <c r="S93" s="32"/>
      <c r="T93" s="32"/>
      <c r="U93" s="32"/>
      <c r="V93" s="31" t="s">
        <v>134</v>
      </c>
      <c r="W93" s="40" t="n">
        <f aca="false">IF(OR($F93="",$J93=""),"",$F93+$J93)</f>
        <v>46146</v>
      </c>
      <c r="X93" s="32"/>
      <c r="Y93" s="34"/>
      <c r="Z93" s="31"/>
      <c r="AA93" s="31"/>
      <c r="AB93" s="32"/>
      <c r="AC93" s="31"/>
      <c r="AD93" s="32"/>
      <c r="AE93" s="31"/>
      <c r="AF93" s="41" t="str">
        <f aca="false">IF(OR($R93="",$S93=""),"",$S93-$R93)</f>
        <v/>
      </c>
      <c r="AG93" s="41" t="str">
        <f aca="false">IF(OR($S93="",$T93=""),"",$T93-$S93)</f>
        <v/>
      </c>
      <c r="AH93" s="41" t="str">
        <f aca="false">IF(OR($T93="",$U93=""),"",$U93-$T93)</f>
        <v/>
      </c>
      <c r="AI93" s="41" t="str">
        <f aca="false">IF(OR($R93="",$U93=""),"",$U93-$R93)</f>
        <v/>
      </c>
      <c r="AJ93" s="41" t="str">
        <f aca="false">IF(OR($U93="",$AB93=""),"",$AB93-$U93)</f>
        <v/>
      </c>
      <c r="AK93" s="41" t="str">
        <f aca="false">IF(OR($R93="",$AD93=""),"",$AD93-$R93)</f>
        <v/>
      </c>
      <c r="AL93" s="31"/>
      <c r="AM93" s="32"/>
      <c r="AN93" s="31" t="s">
        <v>135</v>
      </c>
    </row>
    <row r="94" customFormat="false" ht="15" hidden="false" customHeight="true" outlineLevel="0" collapsed="false">
      <c r="A94" s="38" t="n">
        <f aca="false">IF($B94="","",ROW()-3)</f>
        <v>91</v>
      </c>
      <c r="B94" s="31" t="s">
        <v>292</v>
      </c>
      <c r="C94" s="31" t="s">
        <v>293</v>
      </c>
      <c r="D94" s="31" t="s">
        <v>131</v>
      </c>
      <c r="E94" s="31" t="s">
        <v>296</v>
      </c>
      <c r="F94" s="32" t="n">
        <v>46086</v>
      </c>
      <c r="G94" s="32"/>
      <c r="H94" s="31" t="s">
        <v>139</v>
      </c>
      <c r="I94" s="31" t="s">
        <v>69</v>
      </c>
      <c r="J94" s="33" t="n">
        <v>60</v>
      </c>
      <c r="K94" s="34" t="n">
        <v>1337850.46</v>
      </c>
      <c r="L94" s="34" t="n">
        <v>0</v>
      </c>
      <c r="M94" s="34" t="n">
        <v>0</v>
      </c>
      <c r="N94" s="39" t="n">
        <f aca="false">IF($K94="","",$K94-N($L94)-N($M94))</f>
        <v>1337850.46</v>
      </c>
      <c r="O94" s="31" t="s">
        <v>68</v>
      </c>
      <c r="P94" s="31" t="s">
        <v>68</v>
      </c>
      <c r="Q94" s="31"/>
      <c r="R94" s="32"/>
      <c r="S94" s="32"/>
      <c r="T94" s="32"/>
      <c r="U94" s="32"/>
      <c r="V94" s="31" t="s">
        <v>134</v>
      </c>
      <c r="W94" s="40" t="n">
        <f aca="false">IF(OR($F94="",$J94=""),"",$F94+$J94)</f>
        <v>46146</v>
      </c>
      <c r="X94" s="32"/>
      <c r="Y94" s="34"/>
      <c r="Z94" s="31"/>
      <c r="AA94" s="31"/>
      <c r="AB94" s="32"/>
      <c r="AC94" s="31"/>
      <c r="AD94" s="32"/>
      <c r="AE94" s="31"/>
      <c r="AF94" s="41" t="str">
        <f aca="false">IF(OR($R94="",$S94=""),"",$S94-$R94)</f>
        <v/>
      </c>
      <c r="AG94" s="41" t="str">
        <f aca="false">IF(OR($S94="",$T94=""),"",$T94-$S94)</f>
        <v/>
      </c>
      <c r="AH94" s="41" t="str">
        <f aca="false">IF(OR($T94="",$U94=""),"",$U94-$T94)</f>
        <v/>
      </c>
      <c r="AI94" s="41" t="str">
        <f aca="false">IF(OR($R94="",$U94=""),"",$U94-$R94)</f>
        <v/>
      </c>
      <c r="AJ94" s="41" t="str">
        <f aca="false">IF(OR($U94="",$AB94=""),"",$AB94-$U94)</f>
        <v/>
      </c>
      <c r="AK94" s="41" t="str">
        <f aca="false">IF(OR($R94="",$AD94=""),"",$AD94-$R94)</f>
        <v/>
      </c>
      <c r="AL94" s="31"/>
      <c r="AM94" s="32"/>
      <c r="AN94" s="31" t="s">
        <v>135</v>
      </c>
    </row>
    <row r="95" customFormat="false" ht="15" hidden="false" customHeight="true" outlineLevel="0" collapsed="false">
      <c r="A95" s="38" t="n">
        <f aca="false">IF($B95="","",ROW()-3)</f>
        <v>92</v>
      </c>
      <c r="B95" s="31" t="s">
        <v>292</v>
      </c>
      <c r="C95" s="31" t="s">
        <v>293</v>
      </c>
      <c r="D95" s="31" t="s">
        <v>131</v>
      </c>
      <c r="E95" s="31" t="s">
        <v>297</v>
      </c>
      <c r="F95" s="32" t="n">
        <v>46086</v>
      </c>
      <c r="G95" s="32"/>
      <c r="H95" s="31" t="s">
        <v>139</v>
      </c>
      <c r="I95" s="31" t="s">
        <v>69</v>
      </c>
      <c r="J95" s="33" t="n">
        <v>60</v>
      </c>
      <c r="K95" s="34" t="n">
        <v>19452.79</v>
      </c>
      <c r="L95" s="34" t="n">
        <v>0</v>
      </c>
      <c r="M95" s="34" t="n">
        <v>0</v>
      </c>
      <c r="N95" s="39" t="n">
        <f aca="false">IF($K95="","",$K95-N($L95)-N($M95))</f>
        <v>19452.79</v>
      </c>
      <c r="O95" s="31" t="s">
        <v>68</v>
      </c>
      <c r="P95" s="31" t="s">
        <v>68</v>
      </c>
      <c r="Q95" s="31"/>
      <c r="R95" s="32"/>
      <c r="S95" s="32"/>
      <c r="T95" s="32"/>
      <c r="U95" s="32"/>
      <c r="V95" s="31" t="s">
        <v>134</v>
      </c>
      <c r="W95" s="40" t="n">
        <f aca="false">IF(OR($F95="",$J95=""),"",$F95+$J95)</f>
        <v>46146</v>
      </c>
      <c r="X95" s="32"/>
      <c r="Y95" s="34"/>
      <c r="Z95" s="31"/>
      <c r="AA95" s="31"/>
      <c r="AB95" s="32"/>
      <c r="AC95" s="31"/>
      <c r="AD95" s="32"/>
      <c r="AE95" s="31"/>
      <c r="AF95" s="41" t="str">
        <f aca="false">IF(OR($R95="",$S95=""),"",$S95-$R95)</f>
        <v/>
      </c>
      <c r="AG95" s="41" t="str">
        <f aca="false">IF(OR($S95="",$T95=""),"",$T95-$S95)</f>
        <v/>
      </c>
      <c r="AH95" s="41" t="str">
        <f aca="false">IF(OR($T95="",$U95=""),"",$U95-$T95)</f>
        <v/>
      </c>
      <c r="AI95" s="41" t="str">
        <f aca="false">IF(OR($R95="",$U95=""),"",$U95-$R95)</f>
        <v/>
      </c>
      <c r="AJ95" s="41" t="str">
        <f aca="false">IF(OR($U95="",$AB95=""),"",$AB95-$U95)</f>
        <v/>
      </c>
      <c r="AK95" s="41" t="str">
        <f aca="false">IF(OR($R95="",$AD95=""),"",$AD95-$R95)</f>
        <v/>
      </c>
      <c r="AL95" s="31"/>
      <c r="AM95" s="32"/>
      <c r="AN95" s="31" t="s">
        <v>135</v>
      </c>
    </row>
    <row r="96" customFormat="false" ht="15" hidden="false" customHeight="true" outlineLevel="0" collapsed="false">
      <c r="A96" s="38" t="n">
        <f aca="false">IF($B96="","",ROW()-3)</f>
        <v>93</v>
      </c>
      <c r="B96" s="31" t="s">
        <v>292</v>
      </c>
      <c r="C96" s="31" t="s">
        <v>293</v>
      </c>
      <c r="D96" s="31" t="s">
        <v>131</v>
      </c>
      <c r="E96" s="31" t="s">
        <v>298</v>
      </c>
      <c r="F96" s="32" t="n">
        <v>46087</v>
      </c>
      <c r="G96" s="32"/>
      <c r="H96" s="31" t="s">
        <v>139</v>
      </c>
      <c r="I96" s="31" t="s">
        <v>67</v>
      </c>
      <c r="J96" s="33" t="n">
        <v>60</v>
      </c>
      <c r="K96" s="34" t="n">
        <v>43892.36</v>
      </c>
      <c r="L96" s="34" t="n">
        <v>0</v>
      </c>
      <c r="M96" s="34" t="n">
        <v>0</v>
      </c>
      <c r="N96" s="39" t="n">
        <f aca="false">IF($K96="","",$K96-N($L96)-N($M96))</f>
        <v>43892.36</v>
      </c>
      <c r="O96" s="31" t="s">
        <v>68</v>
      </c>
      <c r="P96" s="31" t="s">
        <v>68</v>
      </c>
      <c r="Q96" s="31"/>
      <c r="R96" s="32"/>
      <c r="S96" s="32"/>
      <c r="T96" s="32"/>
      <c r="U96" s="32"/>
      <c r="V96" s="31" t="s">
        <v>134</v>
      </c>
      <c r="W96" s="40" t="n">
        <f aca="false">IF(OR($F96="",$J96=""),"",$F96+$J96)</f>
        <v>46147</v>
      </c>
      <c r="X96" s="32"/>
      <c r="Y96" s="34"/>
      <c r="Z96" s="31"/>
      <c r="AA96" s="31"/>
      <c r="AB96" s="32"/>
      <c r="AC96" s="31"/>
      <c r="AD96" s="32"/>
      <c r="AE96" s="31"/>
      <c r="AF96" s="41" t="str">
        <f aca="false">IF(OR($R96="",$S96=""),"",$S96-$R96)</f>
        <v/>
      </c>
      <c r="AG96" s="41" t="str">
        <f aca="false">IF(OR($S96="",$T96=""),"",$T96-$S96)</f>
        <v/>
      </c>
      <c r="AH96" s="41" t="str">
        <f aca="false">IF(OR($T96="",$U96=""),"",$U96-$T96)</f>
        <v/>
      </c>
      <c r="AI96" s="41" t="str">
        <f aca="false">IF(OR($R96="",$U96=""),"",$U96-$R96)</f>
        <v/>
      </c>
      <c r="AJ96" s="41" t="str">
        <f aca="false">IF(OR($U96="",$AB96=""),"",$AB96-$U96)</f>
        <v/>
      </c>
      <c r="AK96" s="41" t="str">
        <f aca="false">IF(OR($R96="",$AD96=""),"",$AD96-$R96)</f>
        <v/>
      </c>
      <c r="AL96" s="31"/>
      <c r="AM96" s="32"/>
      <c r="AN96" s="31" t="s">
        <v>135</v>
      </c>
    </row>
    <row r="97" customFormat="false" ht="15" hidden="false" customHeight="true" outlineLevel="0" collapsed="false">
      <c r="A97" s="38" t="n">
        <f aca="false">IF($B97="","",ROW()-3)</f>
        <v>94</v>
      </c>
      <c r="B97" s="31" t="s">
        <v>292</v>
      </c>
      <c r="C97" s="31" t="s">
        <v>293</v>
      </c>
      <c r="D97" s="31" t="s">
        <v>131</v>
      </c>
      <c r="E97" s="31" t="s">
        <v>299</v>
      </c>
      <c r="F97" s="32" t="n">
        <v>46087</v>
      </c>
      <c r="G97" s="32"/>
      <c r="H97" s="31" t="s">
        <v>139</v>
      </c>
      <c r="I97" s="31" t="s">
        <v>75</v>
      </c>
      <c r="J97" s="33" t="n">
        <v>60</v>
      </c>
      <c r="K97" s="34" t="n">
        <v>39544.14</v>
      </c>
      <c r="L97" s="34" t="n">
        <v>0</v>
      </c>
      <c r="M97" s="34" t="n">
        <v>0</v>
      </c>
      <c r="N97" s="39" t="n">
        <f aca="false">IF($K97="","",$K97-N($L97)-N($M97))</f>
        <v>39544.14</v>
      </c>
      <c r="O97" s="31" t="s">
        <v>68</v>
      </c>
      <c r="P97" s="31" t="s">
        <v>68</v>
      </c>
      <c r="Q97" s="31"/>
      <c r="R97" s="32"/>
      <c r="S97" s="32"/>
      <c r="T97" s="32"/>
      <c r="U97" s="32"/>
      <c r="V97" s="31" t="s">
        <v>134</v>
      </c>
      <c r="W97" s="40" t="n">
        <f aca="false">IF(OR($F97="",$J97=""),"",$F97+$J97)</f>
        <v>46147</v>
      </c>
      <c r="X97" s="32"/>
      <c r="Y97" s="34"/>
      <c r="Z97" s="31"/>
      <c r="AA97" s="31"/>
      <c r="AB97" s="32"/>
      <c r="AC97" s="31"/>
      <c r="AD97" s="32"/>
      <c r="AE97" s="31"/>
      <c r="AF97" s="41" t="str">
        <f aca="false">IF(OR($R97="",$S97=""),"",$S97-$R97)</f>
        <v/>
      </c>
      <c r="AG97" s="41" t="str">
        <f aca="false">IF(OR($S97="",$T97=""),"",$T97-$S97)</f>
        <v/>
      </c>
      <c r="AH97" s="41" t="str">
        <f aca="false">IF(OR($T97="",$U97=""),"",$U97-$T97)</f>
        <v/>
      </c>
      <c r="AI97" s="41" t="str">
        <f aca="false">IF(OR($R97="",$U97=""),"",$U97-$R97)</f>
        <v/>
      </c>
      <c r="AJ97" s="41" t="str">
        <f aca="false">IF(OR($U97="",$AB97=""),"",$AB97-$U97)</f>
        <v/>
      </c>
      <c r="AK97" s="41" t="str">
        <f aca="false">IF(OR($R97="",$AD97=""),"",$AD97-$R97)</f>
        <v/>
      </c>
      <c r="AL97" s="31"/>
      <c r="AM97" s="32"/>
      <c r="AN97" s="31" t="s">
        <v>135</v>
      </c>
    </row>
    <row r="98" customFormat="false" ht="15" hidden="false" customHeight="true" outlineLevel="0" collapsed="false">
      <c r="A98" s="38" t="n">
        <f aca="false">IF($B98="","",ROW()-3)</f>
        <v>95</v>
      </c>
      <c r="B98" s="31" t="s">
        <v>300</v>
      </c>
      <c r="C98" s="31" t="s">
        <v>301</v>
      </c>
      <c r="D98" s="31" t="s">
        <v>131</v>
      </c>
      <c r="E98" s="31" t="s">
        <v>302</v>
      </c>
      <c r="F98" s="32" t="n">
        <v>46087</v>
      </c>
      <c r="G98" s="32"/>
      <c r="H98" s="31" t="s">
        <v>142</v>
      </c>
      <c r="I98" s="31" t="s">
        <v>67</v>
      </c>
      <c r="J98" s="33" t="n">
        <v>30</v>
      </c>
      <c r="K98" s="34" t="n">
        <v>1800000</v>
      </c>
      <c r="L98" s="34" t="n">
        <v>0</v>
      </c>
      <c r="M98" s="34" t="n">
        <v>0</v>
      </c>
      <c r="N98" s="39" t="n">
        <f aca="false">IF($K98="","",$K98-N($L98)-N($M98))</f>
        <v>1800000</v>
      </c>
      <c r="O98" s="31" t="s">
        <v>68</v>
      </c>
      <c r="P98" s="31" t="s">
        <v>68</v>
      </c>
      <c r="Q98" s="31"/>
      <c r="R98" s="32"/>
      <c r="S98" s="32"/>
      <c r="T98" s="32"/>
      <c r="U98" s="32"/>
      <c r="V98" s="31" t="s">
        <v>134</v>
      </c>
      <c r="W98" s="40" t="n">
        <f aca="false">IF(OR($F98="",$J98=""),"",$F98+$J98)</f>
        <v>46117</v>
      </c>
      <c r="X98" s="32"/>
      <c r="Y98" s="34"/>
      <c r="Z98" s="31"/>
      <c r="AA98" s="31"/>
      <c r="AB98" s="32"/>
      <c r="AC98" s="31"/>
      <c r="AD98" s="32"/>
      <c r="AE98" s="31"/>
      <c r="AF98" s="41" t="str">
        <f aca="false">IF(OR($R98="",$S98=""),"",$S98-$R98)</f>
        <v/>
      </c>
      <c r="AG98" s="41" t="str">
        <f aca="false">IF(OR($S98="",$T98=""),"",$T98-$S98)</f>
        <v/>
      </c>
      <c r="AH98" s="41" t="str">
        <f aca="false">IF(OR($T98="",$U98=""),"",$U98-$T98)</f>
        <v/>
      </c>
      <c r="AI98" s="41" t="str">
        <f aca="false">IF(OR($R98="",$U98=""),"",$U98-$R98)</f>
        <v/>
      </c>
      <c r="AJ98" s="41" t="str">
        <f aca="false">IF(OR($U98="",$AB98=""),"",$AB98-$U98)</f>
        <v/>
      </c>
      <c r="AK98" s="41" t="str">
        <f aca="false">IF(OR($R98="",$AD98=""),"",$AD98-$R98)</f>
        <v/>
      </c>
      <c r="AL98" s="31"/>
      <c r="AM98" s="32"/>
      <c r="AN98" s="31" t="s">
        <v>135</v>
      </c>
    </row>
    <row r="99" customFormat="false" ht="15" hidden="false" customHeight="true" outlineLevel="0" collapsed="false">
      <c r="A99" s="38" t="n">
        <f aca="false">IF($B99="","",ROW()-3)</f>
        <v>96</v>
      </c>
      <c r="B99" s="31" t="s">
        <v>303</v>
      </c>
      <c r="C99" s="31" t="s">
        <v>304</v>
      </c>
      <c r="D99" s="31" t="s">
        <v>131</v>
      </c>
      <c r="E99" s="31" t="s">
        <v>305</v>
      </c>
      <c r="F99" s="32" t="n">
        <v>46087</v>
      </c>
      <c r="G99" s="32"/>
      <c r="H99" s="31" t="s">
        <v>306</v>
      </c>
      <c r="I99" s="31" t="s">
        <v>71</v>
      </c>
      <c r="J99" s="33" t="n">
        <v>60</v>
      </c>
      <c r="K99" s="34" t="n">
        <v>12810</v>
      </c>
      <c r="L99" s="34" t="n">
        <v>0</v>
      </c>
      <c r="M99" s="34" t="n">
        <v>0</v>
      </c>
      <c r="N99" s="39" t="n">
        <f aca="false">IF($K99="","",$K99-N($L99)-N($M99))</f>
        <v>12810</v>
      </c>
      <c r="O99" s="31" t="s">
        <v>68</v>
      </c>
      <c r="P99" s="31" t="s">
        <v>68</v>
      </c>
      <c r="Q99" s="31"/>
      <c r="R99" s="32"/>
      <c r="S99" s="32"/>
      <c r="T99" s="32"/>
      <c r="U99" s="32"/>
      <c r="V99" s="31" t="s">
        <v>134</v>
      </c>
      <c r="W99" s="40" t="n">
        <f aca="false">IF(OR($F99="",$J99=""),"",$F99+$J99)</f>
        <v>46147</v>
      </c>
      <c r="X99" s="32"/>
      <c r="Y99" s="34"/>
      <c r="Z99" s="31"/>
      <c r="AA99" s="31"/>
      <c r="AB99" s="32"/>
      <c r="AC99" s="31"/>
      <c r="AD99" s="32"/>
      <c r="AE99" s="31"/>
      <c r="AF99" s="41" t="str">
        <f aca="false">IF(OR($R99="",$S99=""),"",$S99-$R99)</f>
        <v/>
      </c>
      <c r="AG99" s="41" t="str">
        <f aca="false">IF(OR($S99="",$T99=""),"",$T99-$S99)</f>
        <v/>
      </c>
      <c r="AH99" s="41" t="str">
        <f aca="false">IF(OR($T99="",$U99=""),"",$U99-$T99)</f>
        <v/>
      </c>
      <c r="AI99" s="41" t="str">
        <f aca="false">IF(OR($R99="",$U99=""),"",$U99-$R99)</f>
        <v/>
      </c>
      <c r="AJ99" s="41" t="str">
        <f aca="false">IF(OR($U99="",$AB99=""),"",$AB99-$U99)</f>
        <v/>
      </c>
      <c r="AK99" s="41" t="str">
        <f aca="false">IF(OR($R99="",$AD99=""),"",$AD99-$R99)</f>
        <v/>
      </c>
      <c r="AL99" s="31"/>
      <c r="AM99" s="32"/>
      <c r="AN99" s="31" t="s">
        <v>135</v>
      </c>
    </row>
    <row r="100" customFormat="false" ht="15" hidden="false" customHeight="true" outlineLevel="0" collapsed="false">
      <c r="A100" s="38" t="n">
        <f aca="false">IF($B100="","",ROW()-3)</f>
        <v>97</v>
      </c>
      <c r="B100" s="31" t="s">
        <v>303</v>
      </c>
      <c r="C100" s="31" t="s">
        <v>304</v>
      </c>
      <c r="D100" s="31" t="s">
        <v>131</v>
      </c>
      <c r="E100" s="31" t="s">
        <v>307</v>
      </c>
      <c r="F100" s="32" t="n">
        <v>46086</v>
      </c>
      <c r="G100" s="32"/>
      <c r="H100" s="31"/>
      <c r="I100" s="31" t="s">
        <v>71</v>
      </c>
      <c r="J100" s="33"/>
      <c r="K100" s="34" t="n">
        <v>119172</v>
      </c>
      <c r="L100" s="34" t="n">
        <v>0</v>
      </c>
      <c r="M100" s="34" t="n">
        <v>0</v>
      </c>
      <c r="N100" s="39" t="n">
        <f aca="false">IF($K100="","",$K100-N($L100)-N($M100))</f>
        <v>119172</v>
      </c>
      <c r="O100" s="31" t="s">
        <v>68</v>
      </c>
      <c r="P100" s="31" t="s">
        <v>68</v>
      </c>
      <c r="Q100" s="31"/>
      <c r="R100" s="32"/>
      <c r="S100" s="32"/>
      <c r="T100" s="32"/>
      <c r="U100" s="32"/>
      <c r="V100" s="31" t="s">
        <v>134</v>
      </c>
      <c r="W100" s="40" t="str">
        <f aca="false">IF(OR($F100="",$J100=""),"",$F100+$J100)</f>
        <v/>
      </c>
      <c r="X100" s="32"/>
      <c r="Y100" s="34"/>
      <c r="Z100" s="31"/>
      <c r="AA100" s="31"/>
      <c r="AB100" s="32"/>
      <c r="AC100" s="31"/>
      <c r="AD100" s="32"/>
      <c r="AE100" s="31"/>
      <c r="AF100" s="41" t="str">
        <f aca="false">IF(OR($R100="",$S100=""),"",$S100-$R100)</f>
        <v/>
      </c>
      <c r="AG100" s="41" t="str">
        <f aca="false">IF(OR($S100="",$T100=""),"",$T100-$S100)</f>
        <v/>
      </c>
      <c r="AH100" s="41" t="str">
        <f aca="false">IF(OR($T100="",$U100=""),"",$U100-$T100)</f>
        <v/>
      </c>
      <c r="AI100" s="41" t="str">
        <f aca="false">IF(OR($R100="",$U100=""),"",$U100-$R100)</f>
        <v/>
      </c>
      <c r="AJ100" s="41" t="str">
        <f aca="false">IF(OR($U100="",$AB100=""),"",$AB100-$U100)</f>
        <v/>
      </c>
      <c r="AK100" s="41" t="str">
        <f aca="false">IF(OR($R100="",$AD100=""),"",$AD100-$R100)</f>
        <v/>
      </c>
      <c r="AL100" s="31"/>
      <c r="AM100" s="32"/>
      <c r="AN100" s="31" t="s">
        <v>135</v>
      </c>
    </row>
    <row r="101" customFormat="false" ht="15" hidden="false" customHeight="true" outlineLevel="0" collapsed="false">
      <c r="A101" s="38" t="n">
        <f aca="false">IF($B101="","",ROW()-3)</f>
        <v>98</v>
      </c>
      <c r="B101" s="31" t="s">
        <v>303</v>
      </c>
      <c r="C101" s="31" t="s">
        <v>304</v>
      </c>
      <c r="D101" s="31" t="s">
        <v>131</v>
      </c>
      <c r="E101" s="31" t="s">
        <v>308</v>
      </c>
      <c r="F101" s="32" t="n">
        <v>46086</v>
      </c>
      <c r="G101" s="32"/>
      <c r="H101" s="31"/>
      <c r="I101" s="31" t="s">
        <v>67</v>
      </c>
      <c r="J101" s="33"/>
      <c r="K101" s="34" t="n">
        <v>132500</v>
      </c>
      <c r="L101" s="34" t="n">
        <v>0</v>
      </c>
      <c r="M101" s="34" t="n">
        <v>0</v>
      </c>
      <c r="N101" s="39" t="n">
        <f aca="false">IF($K101="","",$K101-N($L101)-N($M101))</f>
        <v>132500</v>
      </c>
      <c r="O101" s="31" t="s">
        <v>68</v>
      </c>
      <c r="P101" s="31" t="s">
        <v>68</v>
      </c>
      <c r="Q101" s="31"/>
      <c r="R101" s="32"/>
      <c r="S101" s="32"/>
      <c r="T101" s="32"/>
      <c r="U101" s="32"/>
      <c r="V101" s="31" t="s">
        <v>134</v>
      </c>
      <c r="W101" s="40" t="str">
        <f aca="false">IF(OR($F101="",$J101=""),"",$F101+$J101)</f>
        <v/>
      </c>
      <c r="X101" s="32"/>
      <c r="Y101" s="34"/>
      <c r="Z101" s="31"/>
      <c r="AA101" s="31"/>
      <c r="AB101" s="32"/>
      <c r="AC101" s="31"/>
      <c r="AD101" s="32"/>
      <c r="AE101" s="31"/>
      <c r="AF101" s="41" t="str">
        <f aca="false">IF(OR($R101="",$S101=""),"",$S101-$R101)</f>
        <v/>
      </c>
      <c r="AG101" s="41" t="str">
        <f aca="false">IF(OR($S101="",$T101=""),"",$T101-$S101)</f>
        <v/>
      </c>
      <c r="AH101" s="41" t="str">
        <f aca="false">IF(OR($T101="",$U101=""),"",$U101-$T101)</f>
        <v/>
      </c>
      <c r="AI101" s="41" t="str">
        <f aca="false">IF(OR($R101="",$U101=""),"",$U101-$R101)</f>
        <v/>
      </c>
      <c r="AJ101" s="41" t="str">
        <f aca="false">IF(OR($U101="",$AB101=""),"",$AB101-$U101)</f>
        <v/>
      </c>
      <c r="AK101" s="41" t="str">
        <f aca="false">IF(OR($R101="",$AD101=""),"",$AD101-$R101)</f>
        <v/>
      </c>
      <c r="AL101" s="31"/>
      <c r="AM101" s="32"/>
      <c r="AN101" s="31" t="s">
        <v>135</v>
      </c>
    </row>
    <row r="102" customFormat="false" ht="15" hidden="false" customHeight="true" outlineLevel="0" collapsed="false">
      <c r="A102" s="38" t="n">
        <f aca="false">IF($B102="","",ROW()-3)</f>
        <v>99</v>
      </c>
      <c r="B102" s="31" t="s">
        <v>303</v>
      </c>
      <c r="C102" s="31" t="s">
        <v>304</v>
      </c>
      <c r="D102" s="31" t="s">
        <v>131</v>
      </c>
      <c r="E102" s="31" t="s">
        <v>309</v>
      </c>
      <c r="F102" s="32" t="n">
        <v>46086</v>
      </c>
      <c r="G102" s="32"/>
      <c r="H102" s="31"/>
      <c r="I102" s="31" t="s">
        <v>75</v>
      </c>
      <c r="J102" s="33"/>
      <c r="K102" s="34" t="n">
        <v>9100</v>
      </c>
      <c r="L102" s="34" t="n">
        <v>0</v>
      </c>
      <c r="M102" s="34" t="n">
        <v>0</v>
      </c>
      <c r="N102" s="39" t="n">
        <f aca="false">IF($K102="","",$K102-N($L102)-N($M102))</f>
        <v>9100</v>
      </c>
      <c r="O102" s="31" t="s">
        <v>68</v>
      </c>
      <c r="P102" s="31" t="s">
        <v>68</v>
      </c>
      <c r="Q102" s="31"/>
      <c r="R102" s="32"/>
      <c r="S102" s="32"/>
      <c r="T102" s="32"/>
      <c r="U102" s="32"/>
      <c r="V102" s="31" t="s">
        <v>134</v>
      </c>
      <c r="W102" s="40" t="str">
        <f aca="false">IF(OR($F102="",$J102=""),"",$F102+$J102)</f>
        <v/>
      </c>
      <c r="X102" s="32"/>
      <c r="Y102" s="34"/>
      <c r="Z102" s="31"/>
      <c r="AA102" s="31"/>
      <c r="AB102" s="32"/>
      <c r="AC102" s="31"/>
      <c r="AD102" s="32"/>
      <c r="AE102" s="31"/>
      <c r="AF102" s="41" t="str">
        <f aca="false">IF(OR($R102="",$S102=""),"",$S102-$R102)</f>
        <v/>
      </c>
      <c r="AG102" s="41" t="str">
        <f aca="false">IF(OR($S102="",$T102=""),"",$T102-$S102)</f>
        <v/>
      </c>
      <c r="AH102" s="41" t="str">
        <f aca="false">IF(OR($T102="",$U102=""),"",$U102-$T102)</f>
        <v/>
      </c>
      <c r="AI102" s="41" t="str">
        <f aca="false">IF(OR($R102="",$U102=""),"",$U102-$R102)</f>
        <v/>
      </c>
      <c r="AJ102" s="41" t="str">
        <f aca="false">IF(OR($U102="",$AB102=""),"",$AB102-$U102)</f>
        <v/>
      </c>
      <c r="AK102" s="41" t="str">
        <f aca="false">IF(OR($R102="",$AD102=""),"",$AD102-$R102)</f>
        <v/>
      </c>
      <c r="AL102" s="31"/>
      <c r="AM102" s="32"/>
      <c r="AN102" s="31" t="s">
        <v>135</v>
      </c>
    </row>
    <row r="103" customFormat="false" ht="15" hidden="false" customHeight="true" outlineLevel="0" collapsed="false">
      <c r="A103" s="38" t="n">
        <f aca="false">IF($B103="","",ROW()-3)</f>
        <v>100</v>
      </c>
      <c r="B103" s="31" t="s">
        <v>303</v>
      </c>
      <c r="C103" s="31" t="s">
        <v>304</v>
      </c>
      <c r="D103" s="31" t="s">
        <v>131</v>
      </c>
      <c r="E103" s="31" t="s">
        <v>310</v>
      </c>
      <c r="F103" s="32" t="n">
        <v>46086</v>
      </c>
      <c r="G103" s="32"/>
      <c r="H103" s="31"/>
      <c r="I103" s="31" t="s">
        <v>69</v>
      </c>
      <c r="J103" s="33"/>
      <c r="K103" s="34" t="n">
        <v>224460</v>
      </c>
      <c r="L103" s="34" t="n">
        <v>0</v>
      </c>
      <c r="M103" s="34" t="n">
        <v>0</v>
      </c>
      <c r="N103" s="39" t="n">
        <f aca="false">IF($K103="","",$K103-N($L103)-N($M103))</f>
        <v>224460</v>
      </c>
      <c r="O103" s="31" t="s">
        <v>68</v>
      </c>
      <c r="P103" s="31" t="s">
        <v>68</v>
      </c>
      <c r="Q103" s="31"/>
      <c r="R103" s="32"/>
      <c r="S103" s="32"/>
      <c r="T103" s="32"/>
      <c r="U103" s="32"/>
      <c r="V103" s="31" t="s">
        <v>134</v>
      </c>
      <c r="W103" s="40" t="str">
        <f aca="false">IF(OR($F103="",$J103=""),"",$F103+$J103)</f>
        <v/>
      </c>
      <c r="X103" s="32"/>
      <c r="Y103" s="34"/>
      <c r="Z103" s="31"/>
      <c r="AA103" s="31"/>
      <c r="AB103" s="32"/>
      <c r="AC103" s="31"/>
      <c r="AD103" s="32"/>
      <c r="AE103" s="31"/>
      <c r="AF103" s="41" t="str">
        <f aca="false">IF(OR($R103="",$S103=""),"",$S103-$R103)</f>
        <v/>
      </c>
      <c r="AG103" s="41" t="str">
        <f aca="false">IF(OR($S103="",$T103=""),"",$T103-$S103)</f>
        <v/>
      </c>
      <c r="AH103" s="41" t="str">
        <f aca="false">IF(OR($T103="",$U103=""),"",$U103-$T103)</f>
        <v/>
      </c>
      <c r="AI103" s="41" t="str">
        <f aca="false">IF(OR($R103="",$U103=""),"",$U103-$R103)</f>
        <v/>
      </c>
      <c r="AJ103" s="41" t="str">
        <f aca="false">IF(OR($U103="",$AB103=""),"",$AB103-$U103)</f>
        <v/>
      </c>
      <c r="AK103" s="41" t="str">
        <f aca="false">IF(OR($R103="",$AD103=""),"",$AD103-$R103)</f>
        <v/>
      </c>
      <c r="AL103" s="31"/>
      <c r="AM103" s="32"/>
      <c r="AN103" s="31" t="s">
        <v>135</v>
      </c>
    </row>
    <row r="104" customFormat="false" ht="15" hidden="false" customHeight="true" outlineLevel="0" collapsed="false">
      <c r="A104" s="38" t="n">
        <f aca="false">IF($B104="","",ROW()-3)</f>
        <v>101</v>
      </c>
      <c r="B104" s="31" t="s">
        <v>311</v>
      </c>
      <c r="C104" s="31" t="s">
        <v>312</v>
      </c>
      <c r="D104" s="31" t="s">
        <v>131</v>
      </c>
      <c r="E104" s="31" t="s">
        <v>313</v>
      </c>
      <c r="F104" s="32" t="n">
        <v>46085</v>
      </c>
      <c r="G104" s="32"/>
      <c r="H104" s="31" t="s">
        <v>139</v>
      </c>
      <c r="I104" s="31" t="s">
        <v>69</v>
      </c>
      <c r="J104" s="33" t="n">
        <v>45</v>
      </c>
      <c r="K104" s="34" t="n">
        <v>54269</v>
      </c>
      <c r="L104" s="34" t="n">
        <v>0</v>
      </c>
      <c r="M104" s="34" t="n">
        <v>0</v>
      </c>
      <c r="N104" s="39" t="n">
        <f aca="false">IF($K104="","",$K104-N($L104)-N($M104))</f>
        <v>54269</v>
      </c>
      <c r="O104" s="31" t="s">
        <v>68</v>
      </c>
      <c r="P104" s="31" t="s">
        <v>68</v>
      </c>
      <c r="Q104" s="31"/>
      <c r="R104" s="32"/>
      <c r="S104" s="32"/>
      <c r="T104" s="32"/>
      <c r="U104" s="32"/>
      <c r="V104" s="31" t="s">
        <v>134</v>
      </c>
      <c r="W104" s="40" t="n">
        <f aca="false">IF(OR($F104="",$J104=""),"",$F104+$J104)</f>
        <v>46130</v>
      </c>
      <c r="X104" s="32"/>
      <c r="Y104" s="34"/>
      <c r="Z104" s="31"/>
      <c r="AA104" s="31"/>
      <c r="AB104" s="32"/>
      <c r="AC104" s="31"/>
      <c r="AD104" s="32"/>
      <c r="AE104" s="31"/>
      <c r="AF104" s="41" t="str">
        <f aca="false">IF(OR($R104="",$S104=""),"",$S104-$R104)</f>
        <v/>
      </c>
      <c r="AG104" s="41" t="str">
        <f aca="false">IF(OR($S104="",$T104=""),"",$T104-$S104)</f>
        <v/>
      </c>
      <c r="AH104" s="41" t="str">
        <f aca="false">IF(OR($T104="",$U104=""),"",$U104-$T104)</f>
        <v/>
      </c>
      <c r="AI104" s="41" t="str">
        <f aca="false">IF(OR($R104="",$U104=""),"",$U104-$R104)</f>
        <v/>
      </c>
      <c r="AJ104" s="41" t="str">
        <f aca="false">IF(OR($U104="",$AB104=""),"",$AB104-$U104)</f>
        <v/>
      </c>
      <c r="AK104" s="41" t="str">
        <f aca="false">IF(OR($R104="",$AD104=""),"",$AD104-$R104)</f>
        <v/>
      </c>
      <c r="AL104" s="31"/>
      <c r="AM104" s="32"/>
      <c r="AN104" s="31" t="s">
        <v>135</v>
      </c>
    </row>
    <row r="105" customFormat="false" ht="15" hidden="false" customHeight="true" outlineLevel="0" collapsed="false">
      <c r="A105" s="38" t="n">
        <f aca="false">IF($B105="","",ROW()-3)</f>
        <v>102</v>
      </c>
      <c r="B105" s="31" t="s">
        <v>314</v>
      </c>
      <c r="C105" s="31" t="s">
        <v>315</v>
      </c>
      <c r="D105" s="31" t="s">
        <v>131</v>
      </c>
      <c r="E105" s="31" t="s">
        <v>316</v>
      </c>
      <c r="F105" s="32" t="n">
        <v>46090</v>
      </c>
      <c r="G105" s="32"/>
      <c r="H105" s="31" t="s">
        <v>139</v>
      </c>
      <c r="I105" s="31" t="s">
        <v>67</v>
      </c>
      <c r="J105" s="33" t="n">
        <v>60</v>
      </c>
      <c r="K105" s="34" t="n">
        <v>96112.56</v>
      </c>
      <c r="L105" s="34" t="n">
        <v>0</v>
      </c>
      <c r="M105" s="34" t="n">
        <v>0</v>
      </c>
      <c r="N105" s="39" t="n">
        <f aca="false">IF($K105="","",$K105-N($L105)-N($M105))</f>
        <v>96112.56</v>
      </c>
      <c r="O105" s="31" t="s">
        <v>68</v>
      </c>
      <c r="P105" s="31" t="s">
        <v>68</v>
      </c>
      <c r="Q105" s="31"/>
      <c r="R105" s="32"/>
      <c r="S105" s="32"/>
      <c r="T105" s="32"/>
      <c r="U105" s="32"/>
      <c r="V105" s="31" t="s">
        <v>134</v>
      </c>
      <c r="W105" s="40" t="n">
        <f aca="false">IF(OR($F105="",$J105=""),"",$F105+$J105)</f>
        <v>46150</v>
      </c>
      <c r="X105" s="32"/>
      <c r="Y105" s="34"/>
      <c r="Z105" s="31"/>
      <c r="AA105" s="31"/>
      <c r="AB105" s="32"/>
      <c r="AC105" s="31"/>
      <c r="AD105" s="32"/>
      <c r="AE105" s="31"/>
      <c r="AF105" s="41" t="str">
        <f aca="false">IF(OR($R105="",$S105=""),"",$S105-$R105)</f>
        <v/>
      </c>
      <c r="AG105" s="41" t="str">
        <f aca="false">IF(OR($S105="",$T105=""),"",$T105-$S105)</f>
        <v/>
      </c>
      <c r="AH105" s="41" t="str">
        <f aca="false">IF(OR($T105="",$U105=""),"",$U105-$T105)</f>
        <v/>
      </c>
      <c r="AI105" s="41" t="str">
        <f aca="false">IF(OR($R105="",$U105=""),"",$U105-$R105)</f>
        <v/>
      </c>
      <c r="AJ105" s="41" t="str">
        <f aca="false">IF(OR($U105="",$AB105=""),"",$AB105-$U105)</f>
        <v/>
      </c>
      <c r="AK105" s="41" t="str">
        <f aca="false">IF(OR($R105="",$AD105=""),"",$AD105-$R105)</f>
        <v/>
      </c>
      <c r="AL105" s="31"/>
      <c r="AM105" s="32"/>
      <c r="AN105" s="31" t="s">
        <v>135</v>
      </c>
    </row>
    <row r="106" customFormat="false" ht="15" hidden="false" customHeight="true" outlineLevel="0" collapsed="false">
      <c r="A106" s="38" t="n">
        <f aca="false">IF($B106="","",ROW()-3)</f>
        <v>103</v>
      </c>
      <c r="B106" s="31" t="s">
        <v>317</v>
      </c>
      <c r="C106" s="31" t="s">
        <v>318</v>
      </c>
      <c r="D106" s="31" t="s">
        <v>131</v>
      </c>
      <c r="E106" s="31" t="s">
        <v>319</v>
      </c>
      <c r="F106" s="32" t="n">
        <v>46090</v>
      </c>
      <c r="G106" s="32"/>
      <c r="H106" s="31" t="s">
        <v>139</v>
      </c>
      <c r="I106" s="31" t="s">
        <v>69</v>
      </c>
      <c r="J106" s="33" t="n">
        <v>45</v>
      </c>
      <c r="K106" s="34" t="n">
        <v>705107</v>
      </c>
      <c r="L106" s="34" t="n">
        <v>255112</v>
      </c>
      <c r="M106" s="34" t="n">
        <v>0</v>
      </c>
      <c r="N106" s="39" t="n">
        <f aca="false">IF($K106="","",$K106-N($L106)-N($M106))</f>
        <v>449995</v>
      </c>
      <c r="O106" s="31" t="s">
        <v>68</v>
      </c>
      <c r="P106" s="31" t="s">
        <v>68</v>
      </c>
      <c r="Q106" s="31"/>
      <c r="R106" s="32"/>
      <c r="S106" s="32"/>
      <c r="T106" s="32"/>
      <c r="U106" s="32"/>
      <c r="V106" s="31" t="s">
        <v>134</v>
      </c>
      <c r="W106" s="40" t="n">
        <f aca="false">IF(OR($F106="",$J106=""),"",$F106+$J106)</f>
        <v>46135</v>
      </c>
      <c r="X106" s="32"/>
      <c r="Y106" s="34"/>
      <c r="Z106" s="31"/>
      <c r="AA106" s="31"/>
      <c r="AB106" s="32"/>
      <c r="AC106" s="31"/>
      <c r="AD106" s="32"/>
      <c r="AE106" s="31"/>
      <c r="AF106" s="41" t="str">
        <f aca="false">IF(OR($R106="",$S106=""),"",$S106-$R106)</f>
        <v/>
      </c>
      <c r="AG106" s="41" t="str">
        <f aca="false">IF(OR($S106="",$T106=""),"",$T106-$S106)</f>
        <v/>
      </c>
      <c r="AH106" s="41" t="str">
        <f aca="false">IF(OR($T106="",$U106=""),"",$U106-$T106)</f>
        <v/>
      </c>
      <c r="AI106" s="41" t="str">
        <f aca="false">IF(OR($R106="",$U106=""),"",$U106-$R106)</f>
        <v/>
      </c>
      <c r="AJ106" s="41" t="str">
        <f aca="false">IF(OR($U106="",$AB106=""),"",$AB106-$U106)</f>
        <v/>
      </c>
      <c r="AK106" s="41" t="str">
        <f aca="false">IF(OR($R106="",$AD106=""),"",$AD106-$R106)</f>
        <v/>
      </c>
      <c r="AL106" s="31"/>
      <c r="AM106" s="32"/>
      <c r="AN106" s="31" t="s">
        <v>135</v>
      </c>
    </row>
    <row r="107" customFormat="false" ht="15" hidden="false" customHeight="true" outlineLevel="0" collapsed="false">
      <c r="A107" s="38" t="n">
        <f aca="false">IF($B107="","",ROW()-3)</f>
        <v>104</v>
      </c>
      <c r="B107" s="31" t="s">
        <v>317</v>
      </c>
      <c r="C107" s="31" t="s">
        <v>318</v>
      </c>
      <c r="D107" s="31" t="s">
        <v>131</v>
      </c>
      <c r="E107" s="31" t="s">
        <v>320</v>
      </c>
      <c r="F107" s="32" t="n">
        <v>46090</v>
      </c>
      <c r="G107" s="32"/>
      <c r="H107" s="31" t="s">
        <v>139</v>
      </c>
      <c r="I107" s="31" t="s">
        <v>67</v>
      </c>
      <c r="J107" s="33" t="n">
        <v>45</v>
      </c>
      <c r="K107" s="34" t="n">
        <v>1339240</v>
      </c>
      <c r="L107" s="34" t="n">
        <v>261697</v>
      </c>
      <c r="M107" s="34" t="n">
        <v>0</v>
      </c>
      <c r="N107" s="39" t="n">
        <f aca="false">IF($K107="","",$K107-N($L107)-N($M107))</f>
        <v>1077543</v>
      </c>
      <c r="O107" s="31" t="s">
        <v>68</v>
      </c>
      <c r="P107" s="31" t="s">
        <v>68</v>
      </c>
      <c r="Q107" s="31"/>
      <c r="R107" s="32"/>
      <c r="S107" s="32"/>
      <c r="T107" s="32"/>
      <c r="U107" s="32"/>
      <c r="V107" s="31" t="s">
        <v>134</v>
      </c>
      <c r="W107" s="40" t="n">
        <f aca="false">IF(OR($F107="",$J107=""),"",$F107+$J107)</f>
        <v>46135</v>
      </c>
      <c r="X107" s="32"/>
      <c r="Y107" s="34"/>
      <c r="Z107" s="31"/>
      <c r="AA107" s="31"/>
      <c r="AB107" s="32"/>
      <c r="AC107" s="31"/>
      <c r="AD107" s="32"/>
      <c r="AE107" s="31"/>
      <c r="AF107" s="41" t="str">
        <f aca="false">IF(OR($R107="",$S107=""),"",$S107-$R107)</f>
        <v/>
      </c>
      <c r="AG107" s="41" t="str">
        <f aca="false">IF(OR($S107="",$T107=""),"",$T107-$S107)</f>
        <v/>
      </c>
      <c r="AH107" s="41" t="str">
        <f aca="false">IF(OR($T107="",$U107=""),"",$U107-$T107)</f>
        <v/>
      </c>
      <c r="AI107" s="41" t="str">
        <f aca="false">IF(OR($R107="",$U107=""),"",$U107-$R107)</f>
        <v/>
      </c>
      <c r="AJ107" s="41" t="str">
        <f aca="false">IF(OR($U107="",$AB107=""),"",$AB107-$U107)</f>
        <v/>
      </c>
      <c r="AK107" s="41" t="str">
        <f aca="false">IF(OR($R107="",$AD107=""),"",$AD107-$R107)</f>
        <v/>
      </c>
      <c r="AL107" s="31"/>
      <c r="AM107" s="32"/>
      <c r="AN107" s="31" t="s">
        <v>135</v>
      </c>
    </row>
    <row r="108" customFormat="false" ht="15" hidden="false" customHeight="true" outlineLevel="0" collapsed="false">
      <c r="A108" s="38" t="n">
        <f aca="false">IF($B108="","",ROW()-3)</f>
        <v>105</v>
      </c>
      <c r="B108" s="31" t="s">
        <v>321</v>
      </c>
      <c r="C108" s="31" t="s">
        <v>322</v>
      </c>
      <c r="D108" s="31" t="s">
        <v>131</v>
      </c>
      <c r="E108" s="31" t="s">
        <v>323</v>
      </c>
      <c r="F108" s="32" t="n">
        <v>46083</v>
      </c>
      <c r="G108" s="32"/>
      <c r="H108" s="31" t="s">
        <v>139</v>
      </c>
      <c r="I108" s="31" t="s">
        <v>67</v>
      </c>
      <c r="J108" s="33" t="n">
        <v>45</v>
      </c>
      <c r="K108" s="34" t="n">
        <v>600000</v>
      </c>
      <c r="L108" s="34" t="n">
        <v>600000</v>
      </c>
      <c r="M108" s="34" t="n">
        <v>0</v>
      </c>
      <c r="N108" s="39" t="n">
        <f aca="false">IF($K108="","",$K108-N($L108)-N($M108))</f>
        <v>0</v>
      </c>
      <c r="O108" s="31" t="s">
        <v>68</v>
      </c>
      <c r="P108" s="31" t="s">
        <v>68</v>
      </c>
      <c r="Q108" s="31"/>
      <c r="R108" s="32"/>
      <c r="S108" s="32"/>
      <c r="T108" s="32"/>
      <c r="U108" s="32"/>
      <c r="V108" s="31" t="s">
        <v>134</v>
      </c>
      <c r="W108" s="40" t="n">
        <f aca="false">IF(OR($F108="",$J108=""),"",$F108+$J108)</f>
        <v>46128</v>
      </c>
      <c r="X108" s="32"/>
      <c r="Y108" s="34"/>
      <c r="Z108" s="31"/>
      <c r="AA108" s="31"/>
      <c r="AB108" s="32"/>
      <c r="AC108" s="31"/>
      <c r="AD108" s="32"/>
      <c r="AE108" s="31"/>
      <c r="AF108" s="41" t="str">
        <f aca="false">IF(OR($R108="",$S108=""),"",$S108-$R108)</f>
        <v/>
      </c>
      <c r="AG108" s="41" t="str">
        <f aca="false">IF(OR($S108="",$T108=""),"",$T108-$S108)</f>
        <v/>
      </c>
      <c r="AH108" s="41" t="str">
        <f aca="false">IF(OR($T108="",$U108=""),"",$U108-$T108)</f>
        <v/>
      </c>
      <c r="AI108" s="41" t="str">
        <f aca="false">IF(OR($R108="",$U108=""),"",$U108-$R108)</f>
        <v/>
      </c>
      <c r="AJ108" s="41" t="str">
        <f aca="false">IF(OR($U108="",$AB108=""),"",$AB108-$U108)</f>
        <v/>
      </c>
      <c r="AK108" s="41" t="str">
        <f aca="false">IF(OR($R108="",$AD108=""),"",$AD108-$R108)</f>
        <v/>
      </c>
      <c r="AL108" s="31"/>
      <c r="AM108" s="32"/>
      <c r="AN108" s="31" t="s">
        <v>135</v>
      </c>
    </row>
    <row r="109" customFormat="false" ht="15" hidden="false" customHeight="true" outlineLevel="0" collapsed="false">
      <c r="A109" s="38" t="n">
        <f aca="false">IF($B109="","",ROW()-3)</f>
        <v>106</v>
      </c>
      <c r="B109" s="31" t="s">
        <v>324</v>
      </c>
      <c r="C109" s="31" t="s">
        <v>325</v>
      </c>
      <c r="D109" s="31" t="s">
        <v>131</v>
      </c>
      <c r="E109" s="31" t="s">
        <v>326</v>
      </c>
      <c r="F109" s="32" t="n">
        <v>46091</v>
      </c>
      <c r="G109" s="32"/>
      <c r="H109" s="31" t="s">
        <v>139</v>
      </c>
      <c r="I109" s="31" t="s">
        <v>67</v>
      </c>
      <c r="J109" s="33" t="n">
        <v>45</v>
      </c>
      <c r="K109" s="34" t="n">
        <v>216159.6</v>
      </c>
      <c r="L109" s="34" t="n">
        <v>0</v>
      </c>
      <c r="M109" s="34" t="n">
        <v>0</v>
      </c>
      <c r="N109" s="39" t="n">
        <f aca="false">IF($K109="","",$K109-N($L109)-N($M109))</f>
        <v>216159.6</v>
      </c>
      <c r="O109" s="31" t="s">
        <v>68</v>
      </c>
      <c r="P109" s="31" t="s">
        <v>68</v>
      </c>
      <c r="Q109" s="31"/>
      <c r="R109" s="32"/>
      <c r="S109" s="32"/>
      <c r="T109" s="32"/>
      <c r="U109" s="32"/>
      <c r="V109" s="31" t="s">
        <v>134</v>
      </c>
      <c r="W109" s="40" t="n">
        <f aca="false">IF(OR($F109="",$J109=""),"",$F109+$J109)</f>
        <v>46136</v>
      </c>
      <c r="X109" s="32"/>
      <c r="Y109" s="34"/>
      <c r="Z109" s="31"/>
      <c r="AA109" s="31"/>
      <c r="AB109" s="32"/>
      <c r="AC109" s="31"/>
      <c r="AD109" s="32"/>
      <c r="AE109" s="31"/>
      <c r="AF109" s="41" t="str">
        <f aca="false">IF(OR($R109="",$S109=""),"",$S109-$R109)</f>
        <v/>
      </c>
      <c r="AG109" s="41" t="str">
        <f aca="false">IF(OR($S109="",$T109=""),"",$T109-$S109)</f>
        <v/>
      </c>
      <c r="AH109" s="41" t="str">
        <f aca="false">IF(OR($T109="",$U109=""),"",$U109-$T109)</f>
        <v/>
      </c>
      <c r="AI109" s="41" t="str">
        <f aca="false">IF(OR($R109="",$U109=""),"",$U109-$R109)</f>
        <v/>
      </c>
      <c r="AJ109" s="41" t="str">
        <f aca="false">IF(OR($U109="",$AB109=""),"",$AB109-$U109)</f>
        <v/>
      </c>
      <c r="AK109" s="41" t="str">
        <f aca="false">IF(OR($R109="",$AD109=""),"",$AD109-$R109)</f>
        <v/>
      </c>
      <c r="AL109" s="31"/>
      <c r="AM109" s="32"/>
      <c r="AN109" s="31" t="s">
        <v>135</v>
      </c>
    </row>
    <row r="110" customFormat="false" ht="15" hidden="false" customHeight="true" outlineLevel="0" collapsed="false">
      <c r="A110" s="38" t="n">
        <f aca="false">IF($B110="","",ROW()-3)</f>
        <v>107</v>
      </c>
      <c r="B110" s="31" t="s">
        <v>327</v>
      </c>
      <c r="C110" s="31" t="s">
        <v>328</v>
      </c>
      <c r="D110" s="31" t="s">
        <v>131</v>
      </c>
      <c r="E110" s="31" t="s">
        <v>329</v>
      </c>
      <c r="F110" s="32" t="n">
        <v>46092</v>
      </c>
      <c r="G110" s="32"/>
      <c r="H110" s="31" t="s">
        <v>167</v>
      </c>
      <c r="I110" s="31" t="s">
        <v>69</v>
      </c>
      <c r="J110" s="33" t="n">
        <v>30</v>
      </c>
      <c r="K110" s="34" t="n">
        <v>783276.56</v>
      </c>
      <c r="L110" s="34" t="n">
        <v>499023.74</v>
      </c>
      <c r="M110" s="34" t="n">
        <v>0</v>
      </c>
      <c r="N110" s="39" t="n">
        <f aca="false">IF($K110="","",$K110-N($L110)-N($M110))</f>
        <v>284252.82</v>
      </c>
      <c r="O110" s="31" t="s">
        <v>68</v>
      </c>
      <c r="P110" s="31" t="s">
        <v>68</v>
      </c>
      <c r="Q110" s="31"/>
      <c r="R110" s="32"/>
      <c r="S110" s="32"/>
      <c r="T110" s="32"/>
      <c r="U110" s="32"/>
      <c r="V110" s="31" t="s">
        <v>134</v>
      </c>
      <c r="W110" s="40" t="n">
        <f aca="false">IF(OR($F110="",$J110=""),"",$F110+$J110)</f>
        <v>46122</v>
      </c>
      <c r="X110" s="32"/>
      <c r="Y110" s="34"/>
      <c r="Z110" s="31"/>
      <c r="AA110" s="31"/>
      <c r="AB110" s="32"/>
      <c r="AC110" s="31"/>
      <c r="AD110" s="32"/>
      <c r="AE110" s="31"/>
      <c r="AF110" s="41" t="str">
        <f aca="false">IF(OR($R110="",$S110=""),"",$S110-$R110)</f>
        <v/>
      </c>
      <c r="AG110" s="41" t="str">
        <f aca="false">IF(OR($S110="",$T110=""),"",$T110-$S110)</f>
        <v/>
      </c>
      <c r="AH110" s="41" t="str">
        <f aca="false">IF(OR($T110="",$U110=""),"",$U110-$T110)</f>
        <v/>
      </c>
      <c r="AI110" s="41" t="str">
        <f aca="false">IF(OR($R110="",$U110=""),"",$U110-$R110)</f>
        <v/>
      </c>
      <c r="AJ110" s="41" t="str">
        <f aca="false">IF(OR($U110="",$AB110=""),"",$AB110-$U110)</f>
        <v/>
      </c>
      <c r="AK110" s="41" t="str">
        <f aca="false">IF(OR($R110="",$AD110=""),"",$AD110-$R110)</f>
        <v/>
      </c>
      <c r="AL110" s="31"/>
      <c r="AM110" s="32"/>
      <c r="AN110" s="31" t="s">
        <v>135</v>
      </c>
    </row>
    <row r="111" customFormat="false" ht="15" hidden="false" customHeight="true" outlineLevel="0" collapsed="false">
      <c r="A111" s="38" t="n">
        <f aca="false">IF($B111="","",ROW()-3)</f>
        <v>108</v>
      </c>
      <c r="B111" s="31" t="s">
        <v>330</v>
      </c>
      <c r="C111" s="31" t="s">
        <v>331</v>
      </c>
      <c r="D111" s="31" t="s">
        <v>131</v>
      </c>
      <c r="E111" s="31" t="s">
        <v>332</v>
      </c>
      <c r="F111" s="32" t="n">
        <v>46090</v>
      </c>
      <c r="G111" s="32"/>
      <c r="H111" s="31" t="s">
        <v>139</v>
      </c>
      <c r="I111" s="31" t="s">
        <v>67</v>
      </c>
      <c r="J111" s="33" t="n">
        <v>60</v>
      </c>
      <c r="K111" s="34" t="n">
        <v>192100</v>
      </c>
      <c r="L111" s="34" t="n">
        <v>0</v>
      </c>
      <c r="M111" s="34" t="n">
        <v>0</v>
      </c>
      <c r="N111" s="39" t="n">
        <f aca="false">IF($K111="","",$K111-N($L111)-N($M111))</f>
        <v>192100</v>
      </c>
      <c r="O111" s="31" t="s">
        <v>68</v>
      </c>
      <c r="P111" s="31" t="s">
        <v>68</v>
      </c>
      <c r="Q111" s="31"/>
      <c r="R111" s="32"/>
      <c r="S111" s="32"/>
      <c r="T111" s="32"/>
      <c r="U111" s="32"/>
      <c r="V111" s="31" t="s">
        <v>134</v>
      </c>
      <c r="W111" s="40" t="n">
        <f aca="false">IF(OR($F111="",$J111=""),"",$F111+$J111)</f>
        <v>46150</v>
      </c>
      <c r="X111" s="32"/>
      <c r="Y111" s="34"/>
      <c r="Z111" s="31"/>
      <c r="AA111" s="31"/>
      <c r="AB111" s="32"/>
      <c r="AC111" s="31"/>
      <c r="AD111" s="32"/>
      <c r="AE111" s="31"/>
      <c r="AF111" s="41" t="str">
        <f aca="false">IF(OR($R111="",$S111=""),"",$S111-$R111)</f>
        <v/>
      </c>
      <c r="AG111" s="41" t="str">
        <f aca="false">IF(OR($S111="",$T111=""),"",$T111-$S111)</f>
        <v/>
      </c>
      <c r="AH111" s="41" t="str">
        <f aca="false">IF(OR($T111="",$U111=""),"",$U111-$T111)</f>
        <v/>
      </c>
      <c r="AI111" s="41" t="str">
        <f aca="false">IF(OR($R111="",$U111=""),"",$U111-$R111)</f>
        <v/>
      </c>
      <c r="AJ111" s="41" t="str">
        <f aca="false">IF(OR($U111="",$AB111=""),"",$AB111-$U111)</f>
        <v/>
      </c>
      <c r="AK111" s="41" t="str">
        <f aca="false">IF(OR($R111="",$AD111=""),"",$AD111-$R111)</f>
        <v/>
      </c>
      <c r="AL111" s="31"/>
      <c r="AM111" s="32"/>
      <c r="AN111" s="31" t="s">
        <v>135</v>
      </c>
    </row>
    <row r="112" customFormat="false" ht="15" hidden="false" customHeight="true" outlineLevel="0" collapsed="false">
      <c r="A112" s="38" t="n">
        <f aca="false">IF($B112="","",ROW()-3)</f>
        <v>109</v>
      </c>
      <c r="B112" s="31" t="s">
        <v>330</v>
      </c>
      <c r="C112" s="31" t="s">
        <v>331</v>
      </c>
      <c r="D112" s="31" t="s">
        <v>131</v>
      </c>
      <c r="E112" s="31" t="s">
        <v>333</v>
      </c>
      <c r="F112" s="32" t="n">
        <v>46088</v>
      </c>
      <c r="G112" s="32"/>
      <c r="H112" s="31" t="s">
        <v>139</v>
      </c>
      <c r="I112" s="31" t="s">
        <v>75</v>
      </c>
      <c r="J112" s="33" t="n">
        <v>60</v>
      </c>
      <c r="K112" s="34" t="n">
        <v>223975</v>
      </c>
      <c r="L112" s="34" t="n">
        <v>31722</v>
      </c>
      <c r="M112" s="34" t="n">
        <v>0</v>
      </c>
      <c r="N112" s="39" t="n">
        <f aca="false">IF($K112="","",$K112-N($L112)-N($M112))</f>
        <v>192253</v>
      </c>
      <c r="O112" s="31" t="s">
        <v>68</v>
      </c>
      <c r="P112" s="31" t="s">
        <v>68</v>
      </c>
      <c r="Q112" s="31"/>
      <c r="R112" s="32"/>
      <c r="S112" s="32"/>
      <c r="T112" s="32"/>
      <c r="U112" s="32"/>
      <c r="V112" s="31" t="s">
        <v>134</v>
      </c>
      <c r="W112" s="40" t="n">
        <f aca="false">IF(OR($F112="",$J112=""),"",$F112+$J112)</f>
        <v>46148</v>
      </c>
      <c r="X112" s="32"/>
      <c r="Y112" s="34"/>
      <c r="Z112" s="31"/>
      <c r="AA112" s="31"/>
      <c r="AB112" s="32"/>
      <c r="AC112" s="31"/>
      <c r="AD112" s="32"/>
      <c r="AE112" s="31"/>
      <c r="AF112" s="41" t="str">
        <f aca="false">IF(OR($R112="",$S112=""),"",$S112-$R112)</f>
        <v/>
      </c>
      <c r="AG112" s="41" t="str">
        <f aca="false">IF(OR($S112="",$T112=""),"",$T112-$S112)</f>
        <v/>
      </c>
      <c r="AH112" s="41" t="str">
        <f aca="false">IF(OR($T112="",$U112=""),"",$U112-$T112)</f>
        <v/>
      </c>
      <c r="AI112" s="41" t="str">
        <f aca="false">IF(OR($R112="",$U112=""),"",$U112-$R112)</f>
        <v/>
      </c>
      <c r="AJ112" s="41" t="str">
        <f aca="false">IF(OR($U112="",$AB112=""),"",$AB112-$U112)</f>
        <v/>
      </c>
      <c r="AK112" s="41" t="str">
        <f aca="false">IF(OR($R112="",$AD112=""),"",$AD112-$R112)</f>
        <v/>
      </c>
      <c r="AL112" s="31"/>
      <c r="AM112" s="32"/>
      <c r="AN112" s="31" t="s">
        <v>135</v>
      </c>
    </row>
    <row r="113" customFormat="false" ht="15" hidden="false" customHeight="true" outlineLevel="0" collapsed="false">
      <c r="A113" s="38" t="n">
        <f aca="false">IF($B113="","",ROW()-3)</f>
        <v>110</v>
      </c>
      <c r="B113" s="31" t="s">
        <v>330</v>
      </c>
      <c r="C113" s="31" t="s">
        <v>331</v>
      </c>
      <c r="D113" s="31" t="s">
        <v>131</v>
      </c>
      <c r="E113" s="31" t="s">
        <v>334</v>
      </c>
      <c r="F113" s="32" t="n">
        <v>46091</v>
      </c>
      <c r="G113" s="32"/>
      <c r="H113" s="31" t="s">
        <v>139</v>
      </c>
      <c r="I113" s="31" t="s">
        <v>71</v>
      </c>
      <c r="J113" s="33" t="n">
        <v>60</v>
      </c>
      <c r="K113" s="34" t="n">
        <v>575875</v>
      </c>
      <c r="L113" s="34" t="n">
        <v>86588</v>
      </c>
      <c r="M113" s="34" t="n">
        <v>0</v>
      </c>
      <c r="N113" s="39" t="n">
        <f aca="false">IF($K113="","",$K113-N($L113)-N($M113))</f>
        <v>489287</v>
      </c>
      <c r="O113" s="31" t="s">
        <v>68</v>
      </c>
      <c r="P113" s="31" t="s">
        <v>68</v>
      </c>
      <c r="Q113" s="31"/>
      <c r="R113" s="32"/>
      <c r="S113" s="32"/>
      <c r="T113" s="32"/>
      <c r="U113" s="32"/>
      <c r="V113" s="31" t="s">
        <v>134</v>
      </c>
      <c r="W113" s="40" t="n">
        <f aca="false">IF(OR($F113="",$J113=""),"",$F113+$J113)</f>
        <v>46151</v>
      </c>
      <c r="X113" s="32"/>
      <c r="Y113" s="34"/>
      <c r="Z113" s="31"/>
      <c r="AA113" s="31"/>
      <c r="AB113" s="32"/>
      <c r="AC113" s="31"/>
      <c r="AD113" s="32"/>
      <c r="AE113" s="31"/>
      <c r="AF113" s="41" t="str">
        <f aca="false">IF(OR($R113="",$S113=""),"",$S113-$R113)</f>
        <v/>
      </c>
      <c r="AG113" s="41" t="str">
        <f aca="false">IF(OR($S113="",$T113=""),"",$T113-$S113)</f>
        <v/>
      </c>
      <c r="AH113" s="41" t="str">
        <f aca="false">IF(OR($T113="",$U113=""),"",$U113-$T113)</f>
        <v/>
      </c>
      <c r="AI113" s="41" t="str">
        <f aca="false">IF(OR($R113="",$U113=""),"",$U113-$R113)</f>
        <v/>
      </c>
      <c r="AJ113" s="41" t="str">
        <f aca="false">IF(OR($U113="",$AB113=""),"",$AB113-$U113)</f>
        <v/>
      </c>
      <c r="AK113" s="41" t="str">
        <f aca="false">IF(OR($R113="",$AD113=""),"",$AD113-$R113)</f>
        <v/>
      </c>
      <c r="AL113" s="31"/>
      <c r="AM113" s="32"/>
      <c r="AN113" s="31" t="s">
        <v>135</v>
      </c>
    </row>
    <row r="114" customFormat="false" ht="15" hidden="false" customHeight="true" outlineLevel="0" collapsed="false">
      <c r="A114" s="38" t="n">
        <f aca="false">IF($B114="","",ROW()-3)</f>
        <v>111</v>
      </c>
      <c r="B114" s="31" t="s">
        <v>330</v>
      </c>
      <c r="C114" s="31" t="s">
        <v>331</v>
      </c>
      <c r="D114" s="31" t="s">
        <v>131</v>
      </c>
      <c r="E114" s="31" t="s">
        <v>335</v>
      </c>
      <c r="F114" s="32" t="n">
        <v>46091</v>
      </c>
      <c r="G114" s="32"/>
      <c r="H114" s="31" t="s">
        <v>139</v>
      </c>
      <c r="I114" s="31" t="s">
        <v>69</v>
      </c>
      <c r="J114" s="33" t="n">
        <v>60</v>
      </c>
      <c r="K114" s="34" t="n">
        <v>1041683.5</v>
      </c>
      <c r="L114" s="34" t="n">
        <v>11383.5</v>
      </c>
      <c r="M114" s="34" t="n">
        <v>0</v>
      </c>
      <c r="N114" s="39" t="n">
        <f aca="false">IF($K114="","",$K114-N($L114)-N($M114))</f>
        <v>1030300</v>
      </c>
      <c r="O114" s="31" t="s">
        <v>68</v>
      </c>
      <c r="P114" s="31" t="s">
        <v>68</v>
      </c>
      <c r="Q114" s="31"/>
      <c r="R114" s="32"/>
      <c r="S114" s="32"/>
      <c r="T114" s="32"/>
      <c r="U114" s="32"/>
      <c r="V114" s="31" t="s">
        <v>134</v>
      </c>
      <c r="W114" s="40" t="n">
        <f aca="false">IF(OR($F114="",$J114=""),"",$F114+$J114)</f>
        <v>46151</v>
      </c>
      <c r="X114" s="32"/>
      <c r="Y114" s="34"/>
      <c r="Z114" s="31"/>
      <c r="AA114" s="31"/>
      <c r="AB114" s="32"/>
      <c r="AC114" s="31"/>
      <c r="AD114" s="32"/>
      <c r="AE114" s="31"/>
      <c r="AF114" s="41" t="str">
        <f aca="false">IF(OR($R114="",$S114=""),"",$S114-$R114)</f>
        <v/>
      </c>
      <c r="AG114" s="41" t="str">
        <f aca="false">IF(OR($S114="",$T114=""),"",$T114-$S114)</f>
        <v/>
      </c>
      <c r="AH114" s="41" t="str">
        <f aca="false">IF(OR($T114="",$U114=""),"",$U114-$T114)</f>
        <v/>
      </c>
      <c r="AI114" s="41" t="str">
        <f aca="false">IF(OR($R114="",$U114=""),"",$U114-$R114)</f>
        <v/>
      </c>
      <c r="AJ114" s="41" t="str">
        <f aca="false">IF(OR($U114="",$AB114=""),"",$AB114-$U114)</f>
        <v/>
      </c>
      <c r="AK114" s="41" t="str">
        <f aca="false">IF(OR($R114="",$AD114=""),"",$AD114-$R114)</f>
        <v/>
      </c>
      <c r="AL114" s="31"/>
      <c r="AM114" s="32"/>
      <c r="AN114" s="31" t="s">
        <v>135</v>
      </c>
    </row>
    <row r="115" customFormat="false" ht="15" hidden="false" customHeight="true" outlineLevel="0" collapsed="false">
      <c r="A115" s="38" t="n">
        <f aca="false">IF($B115="","",ROW()-3)</f>
        <v>112</v>
      </c>
      <c r="B115" s="31" t="s">
        <v>336</v>
      </c>
      <c r="C115" s="31" t="s">
        <v>337</v>
      </c>
      <c r="D115" s="31" t="s">
        <v>131</v>
      </c>
      <c r="E115" s="31" t="s">
        <v>338</v>
      </c>
      <c r="F115" s="32" t="n">
        <v>46090</v>
      </c>
      <c r="G115" s="32"/>
      <c r="H115" s="31" t="s">
        <v>339</v>
      </c>
      <c r="I115" s="31" t="s">
        <v>69</v>
      </c>
      <c r="J115" s="33" t="n">
        <v>30</v>
      </c>
      <c r="K115" s="34" t="n">
        <v>16128</v>
      </c>
      <c r="L115" s="34" t="n">
        <v>0</v>
      </c>
      <c r="M115" s="34" t="n">
        <v>0</v>
      </c>
      <c r="N115" s="39" t="n">
        <f aca="false">IF($K115="","",$K115-N($L115)-N($M115))</f>
        <v>16128</v>
      </c>
      <c r="O115" s="31" t="s">
        <v>68</v>
      </c>
      <c r="P115" s="31" t="s">
        <v>68</v>
      </c>
      <c r="Q115" s="31"/>
      <c r="R115" s="32"/>
      <c r="S115" s="32"/>
      <c r="T115" s="32"/>
      <c r="U115" s="32"/>
      <c r="V115" s="31" t="s">
        <v>134</v>
      </c>
      <c r="W115" s="40" t="n">
        <f aca="false">IF(OR($F115="",$J115=""),"",$F115+$J115)</f>
        <v>46120</v>
      </c>
      <c r="X115" s="32"/>
      <c r="Y115" s="34"/>
      <c r="Z115" s="31"/>
      <c r="AA115" s="31"/>
      <c r="AB115" s="32"/>
      <c r="AC115" s="31"/>
      <c r="AD115" s="32"/>
      <c r="AE115" s="31"/>
      <c r="AF115" s="41" t="str">
        <f aca="false">IF(OR($R115="",$S115=""),"",$S115-$R115)</f>
        <v/>
      </c>
      <c r="AG115" s="41" t="str">
        <f aca="false">IF(OR($S115="",$T115=""),"",$T115-$S115)</f>
        <v/>
      </c>
      <c r="AH115" s="41" t="str">
        <f aca="false">IF(OR($T115="",$U115=""),"",$U115-$T115)</f>
        <v/>
      </c>
      <c r="AI115" s="41" t="str">
        <f aca="false">IF(OR($R115="",$U115=""),"",$U115-$R115)</f>
        <v/>
      </c>
      <c r="AJ115" s="41" t="str">
        <f aca="false">IF(OR($U115="",$AB115=""),"",$AB115-$U115)</f>
        <v/>
      </c>
      <c r="AK115" s="41" t="str">
        <f aca="false">IF(OR($R115="",$AD115=""),"",$AD115-$R115)</f>
        <v/>
      </c>
      <c r="AL115" s="31"/>
      <c r="AM115" s="32"/>
      <c r="AN115" s="31" t="s">
        <v>135</v>
      </c>
    </row>
    <row r="116" customFormat="false" ht="15" hidden="false" customHeight="true" outlineLevel="0" collapsed="false">
      <c r="A116" s="38" t="n">
        <f aca="false">IF($B116="","",ROW()-3)</f>
        <v>113</v>
      </c>
      <c r="B116" s="31" t="s">
        <v>336</v>
      </c>
      <c r="C116" s="31" t="s">
        <v>337</v>
      </c>
      <c r="D116" s="31" t="s">
        <v>131</v>
      </c>
      <c r="E116" s="31" t="s">
        <v>340</v>
      </c>
      <c r="F116" s="32" t="n">
        <v>46090</v>
      </c>
      <c r="G116" s="32"/>
      <c r="H116" s="31" t="s">
        <v>339</v>
      </c>
      <c r="I116" s="31" t="s">
        <v>67</v>
      </c>
      <c r="J116" s="33" t="n">
        <v>30</v>
      </c>
      <c r="K116" s="34" t="n">
        <v>212616</v>
      </c>
      <c r="L116" s="34" t="n">
        <v>0</v>
      </c>
      <c r="M116" s="34" t="n">
        <v>0</v>
      </c>
      <c r="N116" s="39" t="n">
        <f aca="false">IF($K116="","",$K116-N($L116)-N($M116))</f>
        <v>212616</v>
      </c>
      <c r="O116" s="31" t="s">
        <v>68</v>
      </c>
      <c r="P116" s="31" t="s">
        <v>68</v>
      </c>
      <c r="Q116" s="31"/>
      <c r="R116" s="32"/>
      <c r="S116" s="32"/>
      <c r="T116" s="32"/>
      <c r="U116" s="32"/>
      <c r="V116" s="31" t="s">
        <v>134</v>
      </c>
      <c r="W116" s="40" t="n">
        <f aca="false">IF(OR($F116="",$J116=""),"",$F116+$J116)</f>
        <v>46120</v>
      </c>
      <c r="X116" s="32"/>
      <c r="Y116" s="34"/>
      <c r="Z116" s="31"/>
      <c r="AA116" s="31"/>
      <c r="AB116" s="32"/>
      <c r="AC116" s="31"/>
      <c r="AD116" s="32"/>
      <c r="AE116" s="31"/>
      <c r="AF116" s="41" t="str">
        <f aca="false">IF(OR($R116="",$S116=""),"",$S116-$R116)</f>
        <v/>
      </c>
      <c r="AG116" s="41" t="str">
        <f aca="false">IF(OR($S116="",$T116=""),"",$T116-$S116)</f>
        <v/>
      </c>
      <c r="AH116" s="41" t="str">
        <f aca="false">IF(OR($T116="",$U116=""),"",$U116-$T116)</f>
        <v/>
      </c>
      <c r="AI116" s="41" t="str">
        <f aca="false">IF(OR($R116="",$U116=""),"",$U116-$R116)</f>
        <v/>
      </c>
      <c r="AJ116" s="41" t="str">
        <f aca="false">IF(OR($U116="",$AB116=""),"",$AB116-$U116)</f>
        <v/>
      </c>
      <c r="AK116" s="41" t="str">
        <f aca="false">IF(OR($R116="",$AD116=""),"",$AD116-$R116)</f>
        <v/>
      </c>
      <c r="AL116" s="31"/>
      <c r="AM116" s="32"/>
      <c r="AN116" s="31" t="s">
        <v>135</v>
      </c>
    </row>
    <row r="117" customFormat="false" ht="15" hidden="false" customHeight="true" outlineLevel="0" collapsed="false">
      <c r="A117" s="38" t="n">
        <f aca="false">IF($B117="","",ROW()-3)</f>
        <v>114</v>
      </c>
      <c r="B117" s="31" t="s">
        <v>336</v>
      </c>
      <c r="C117" s="31" t="s">
        <v>337</v>
      </c>
      <c r="D117" s="31" t="s">
        <v>131</v>
      </c>
      <c r="E117" s="31" t="s">
        <v>341</v>
      </c>
      <c r="F117" s="32" t="n">
        <v>46090</v>
      </c>
      <c r="G117" s="32"/>
      <c r="H117" s="31" t="s">
        <v>339</v>
      </c>
      <c r="I117" s="31" t="s">
        <v>71</v>
      </c>
      <c r="J117" s="33" t="n">
        <v>30</v>
      </c>
      <c r="K117" s="34" t="n">
        <v>46560</v>
      </c>
      <c r="L117" s="34" t="n">
        <v>23280</v>
      </c>
      <c r="M117" s="34" t="n">
        <v>0</v>
      </c>
      <c r="N117" s="39" t="n">
        <f aca="false">IF($K117="","",$K117-N($L117)-N($M117))</f>
        <v>23280</v>
      </c>
      <c r="O117" s="31" t="s">
        <v>68</v>
      </c>
      <c r="P117" s="31" t="s">
        <v>68</v>
      </c>
      <c r="Q117" s="31"/>
      <c r="R117" s="32"/>
      <c r="S117" s="32"/>
      <c r="T117" s="32"/>
      <c r="U117" s="32"/>
      <c r="V117" s="31" t="s">
        <v>134</v>
      </c>
      <c r="W117" s="40" t="n">
        <f aca="false">IF(OR($F117="",$J117=""),"",$F117+$J117)</f>
        <v>46120</v>
      </c>
      <c r="X117" s="32"/>
      <c r="Y117" s="34"/>
      <c r="Z117" s="31"/>
      <c r="AA117" s="31"/>
      <c r="AB117" s="32"/>
      <c r="AC117" s="31"/>
      <c r="AD117" s="32"/>
      <c r="AE117" s="31"/>
      <c r="AF117" s="41" t="str">
        <f aca="false">IF(OR($R117="",$S117=""),"",$S117-$R117)</f>
        <v/>
      </c>
      <c r="AG117" s="41" t="str">
        <f aca="false">IF(OR($S117="",$T117=""),"",$T117-$S117)</f>
        <v/>
      </c>
      <c r="AH117" s="41" t="str">
        <f aca="false">IF(OR($T117="",$U117=""),"",$U117-$T117)</f>
        <v/>
      </c>
      <c r="AI117" s="41" t="str">
        <f aca="false">IF(OR($R117="",$U117=""),"",$U117-$R117)</f>
        <v/>
      </c>
      <c r="AJ117" s="41" t="str">
        <f aca="false">IF(OR($U117="",$AB117=""),"",$AB117-$U117)</f>
        <v/>
      </c>
      <c r="AK117" s="41" t="str">
        <f aca="false">IF(OR($R117="",$AD117=""),"",$AD117-$R117)</f>
        <v/>
      </c>
      <c r="AL117" s="31"/>
      <c r="AM117" s="32"/>
      <c r="AN117" s="31" t="s">
        <v>135</v>
      </c>
    </row>
    <row r="118" customFormat="false" ht="15" hidden="false" customHeight="true" outlineLevel="0" collapsed="false">
      <c r="A118" s="38" t="n">
        <f aca="false">IF($B118="","",ROW()-3)</f>
        <v>115</v>
      </c>
      <c r="B118" s="31" t="s">
        <v>342</v>
      </c>
      <c r="C118" s="31" t="s">
        <v>343</v>
      </c>
      <c r="D118" s="31" t="s">
        <v>131</v>
      </c>
      <c r="E118" s="31" t="s">
        <v>344</v>
      </c>
      <c r="F118" s="32" t="n">
        <v>46086</v>
      </c>
      <c r="G118" s="32"/>
      <c r="H118" s="31" t="s">
        <v>139</v>
      </c>
      <c r="I118" s="31" t="s">
        <v>69</v>
      </c>
      <c r="J118" s="33" t="n">
        <v>60</v>
      </c>
      <c r="K118" s="34" t="n">
        <v>6861.64</v>
      </c>
      <c r="L118" s="34" t="n">
        <v>0</v>
      </c>
      <c r="M118" s="34" t="n">
        <v>0</v>
      </c>
      <c r="N118" s="39" t="n">
        <f aca="false">IF($K118="","",$K118-N($L118)-N($M118))</f>
        <v>6861.64</v>
      </c>
      <c r="O118" s="31" t="s">
        <v>68</v>
      </c>
      <c r="P118" s="31" t="s">
        <v>68</v>
      </c>
      <c r="Q118" s="31"/>
      <c r="R118" s="32"/>
      <c r="S118" s="32"/>
      <c r="T118" s="32"/>
      <c r="U118" s="32"/>
      <c r="V118" s="31" t="s">
        <v>134</v>
      </c>
      <c r="W118" s="40" t="n">
        <f aca="false">IF(OR($F118="",$J118=""),"",$F118+$J118)</f>
        <v>46146</v>
      </c>
      <c r="X118" s="32"/>
      <c r="Y118" s="34"/>
      <c r="Z118" s="31"/>
      <c r="AA118" s="31"/>
      <c r="AB118" s="32"/>
      <c r="AC118" s="31"/>
      <c r="AD118" s="32"/>
      <c r="AE118" s="31"/>
      <c r="AF118" s="41" t="str">
        <f aca="false">IF(OR($R118="",$S118=""),"",$S118-$R118)</f>
        <v/>
      </c>
      <c r="AG118" s="41" t="str">
        <f aca="false">IF(OR($S118="",$T118=""),"",$T118-$S118)</f>
        <v/>
      </c>
      <c r="AH118" s="41" t="str">
        <f aca="false">IF(OR($T118="",$U118=""),"",$U118-$T118)</f>
        <v/>
      </c>
      <c r="AI118" s="41" t="str">
        <f aca="false">IF(OR($R118="",$U118=""),"",$U118-$R118)</f>
        <v/>
      </c>
      <c r="AJ118" s="41" t="str">
        <f aca="false">IF(OR($U118="",$AB118=""),"",$AB118-$U118)</f>
        <v/>
      </c>
      <c r="AK118" s="41" t="str">
        <f aca="false">IF(OR($R118="",$AD118=""),"",$AD118-$R118)</f>
        <v/>
      </c>
      <c r="AL118" s="31"/>
      <c r="AM118" s="32"/>
      <c r="AN118" s="31" t="s">
        <v>135</v>
      </c>
    </row>
    <row r="119" customFormat="false" ht="15" hidden="false" customHeight="true" outlineLevel="0" collapsed="false">
      <c r="A119" s="38" t="n">
        <f aca="false">IF($B119="","",ROW()-3)</f>
        <v>116</v>
      </c>
      <c r="B119" s="31" t="s">
        <v>342</v>
      </c>
      <c r="C119" s="31" t="s">
        <v>343</v>
      </c>
      <c r="D119" s="31" t="s">
        <v>131</v>
      </c>
      <c r="E119" s="31" t="s">
        <v>345</v>
      </c>
      <c r="F119" s="32" t="n">
        <v>46086</v>
      </c>
      <c r="G119" s="32"/>
      <c r="H119" s="31" t="s">
        <v>139</v>
      </c>
      <c r="I119" s="31" t="s">
        <v>67</v>
      </c>
      <c r="J119" s="33" t="n">
        <v>60</v>
      </c>
      <c r="K119" s="34" t="n">
        <v>374599.54</v>
      </c>
      <c r="L119" s="34" t="n">
        <v>58872.28</v>
      </c>
      <c r="M119" s="34" t="n">
        <v>0</v>
      </c>
      <c r="N119" s="39" t="n">
        <f aca="false">IF($K119="","",$K119-N($L119)-N($M119))</f>
        <v>315727.26</v>
      </c>
      <c r="O119" s="31" t="s">
        <v>68</v>
      </c>
      <c r="P119" s="31" t="s">
        <v>68</v>
      </c>
      <c r="Q119" s="31"/>
      <c r="R119" s="32"/>
      <c r="S119" s="32"/>
      <c r="T119" s="32"/>
      <c r="U119" s="32"/>
      <c r="V119" s="31" t="s">
        <v>134</v>
      </c>
      <c r="W119" s="40" t="n">
        <f aca="false">IF(OR($F119="",$J119=""),"",$F119+$J119)</f>
        <v>46146</v>
      </c>
      <c r="X119" s="32"/>
      <c r="Y119" s="34"/>
      <c r="Z119" s="31"/>
      <c r="AA119" s="31"/>
      <c r="AB119" s="32"/>
      <c r="AC119" s="31"/>
      <c r="AD119" s="32"/>
      <c r="AE119" s="31"/>
      <c r="AF119" s="41" t="str">
        <f aca="false">IF(OR($R119="",$S119=""),"",$S119-$R119)</f>
        <v/>
      </c>
      <c r="AG119" s="41" t="str">
        <f aca="false">IF(OR($S119="",$T119=""),"",$T119-$S119)</f>
        <v/>
      </c>
      <c r="AH119" s="41" t="str">
        <f aca="false">IF(OR($T119="",$U119=""),"",$U119-$T119)</f>
        <v/>
      </c>
      <c r="AI119" s="41" t="str">
        <f aca="false">IF(OR($R119="",$U119=""),"",$U119-$R119)</f>
        <v/>
      </c>
      <c r="AJ119" s="41" t="str">
        <f aca="false">IF(OR($U119="",$AB119=""),"",$AB119-$U119)</f>
        <v/>
      </c>
      <c r="AK119" s="41" t="str">
        <f aca="false">IF(OR($R119="",$AD119=""),"",$AD119-$R119)</f>
        <v/>
      </c>
      <c r="AL119" s="31"/>
      <c r="AM119" s="32"/>
      <c r="AN119" s="31" t="s">
        <v>135</v>
      </c>
    </row>
    <row r="120" customFormat="false" ht="15" hidden="false" customHeight="true" outlineLevel="0" collapsed="false">
      <c r="A120" s="38" t="n">
        <f aca="false">IF($B120="","",ROW()-3)</f>
        <v>117</v>
      </c>
      <c r="B120" s="31" t="s">
        <v>346</v>
      </c>
      <c r="C120" s="31" t="s">
        <v>347</v>
      </c>
      <c r="D120" s="31" t="s">
        <v>131</v>
      </c>
      <c r="E120" s="31" t="s">
        <v>348</v>
      </c>
      <c r="F120" s="32" t="n">
        <v>46092</v>
      </c>
      <c r="G120" s="32"/>
      <c r="H120" s="31" t="s">
        <v>139</v>
      </c>
      <c r="I120" s="31" t="s">
        <v>69</v>
      </c>
      <c r="J120" s="33" t="n">
        <v>60</v>
      </c>
      <c r="K120" s="34" t="n">
        <v>13976.34</v>
      </c>
      <c r="L120" s="34" t="n">
        <v>0</v>
      </c>
      <c r="M120" s="34" t="n">
        <v>0</v>
      </c>
      <c r="N120" s="39" t="n">
        <f aca="false">IF($K120="","",$K120-N($L120)-N($M120))</f>
        <v>13976.34</v>
      </c>
      <c r="O120" s="31" t="s">
        <v>68</v>
      </c>
      <c r="P120" s="31" t="s">
        <v>68</v>
      </c>
      <c r="Q120" s="31"/>
      <c r="R120" s="32"/>
      <c r="S120" s="32"/>
      <c r="T120" s="32"/>
      <c r="U120" s="32"/>
      <c r="V120" s="31" t="s">
        <v>134</v>
      </c>
      <c r="W120" s="40" t="n">
        <f aca="false">IF(OR($F120="",$J120=""),"",$F120+$J120)</f>
        <v>46152</v>
      </c>
      <c r="X120" s="32"/>
      <c r="Y120" s="34"/>
      <c r="Z120" s="31"/>
      <c r="AA120" s="31"/>
      <c r="AB120" s="32"/>
      <c r="AC120" s="31"/>
      <c r="AD120" s="32"/>
      <c r="AE120" s="31"/>
      <c r="AF120" s="41" t="str">
        <f aca="false">IF(OR($R120="",$S120=""),"",$S120-$R120)</f>
        <v/>
      </c>
      <c r="AG120" s="41" t="str">
        <f aca="false">IF(OR($S120="",$T120=""),"",$T120-$S120)</f>
        <v/>
      </c>
      <c r="AH120" s="41" t="str">
        <f aca="false">IF(OR($T120="",$U120=""),"",$U120-$T120)</f>
        <v/>
      </c>
      <c r="AI120" s="41" t="str">
        <f aca="false">IF(OR($R120="",$U120=""),"",$U120-$R120)</f>
        <v/>
      </c>
      <c r="AJ120" s="41" t="str">
        <f aca="false">IF(OR($U120="",$AB120=""),"",$AB120-$U120)</f>
        <v/>
      </c>
      <c r="AK120" s="41" t="str">
        <f aca="false">IF(OR($R120="",$AD120=""),"",$AD120-$R120)</f>
        <v/>
      </c>
      <c r="AL120" s="31"/>
      <c r="AM120" s="32"/>
      <c r="AN120" s="31" t="s">
        <v>135</v>
      </c>
    </row>
    <row r="121" customFormat="false" ht="15" hidden="false" customHeight="true" outlineLevel="0" collapsed="false">
      <c r="A121" s="38" t="n">
        <f aca="false">IF($B121="","",ROW()-3)</f>
        <v>118</v>
      </c>
      <c r="B121" s="31" t="s">
        <v>349</v>
      </c>
      <c r="C121" s="31" t="s">
        <v>350</v>
      </c>
      <c r="D121" s="31" t="s">
        <v>131</v>
      </c>
      <c r="E121" s="31" t="s">
        <v>351</v>
      </c>
      <c r="F121" s="32" t="n">
        <v>46081</v>
      </c>
      <c r="G121" s="32"/>
      <c r="H121" s="31" t="s">
        <v>139</v>
      </c>
      <c r="I121" s="31" t="s">
        <v>69</v>
      </c>
      <c r="J121" s="33" t="n">
        <v>60</v>
      </c>
      <c r="K121" s="34" t="n">
        <v>100248.56</v>
      </c>
      <c r="L121" s="34" t="n">
        <v>0</v>
      </c>
      <c r="M121" s="34" t="n">
        <v>0</v>
      </c>
      <c r="N121" s="39" t="n">
        <f aca="false">IF($K121="","",$K121-N($L121)-N($M121))</f>
        <v>100248.56</v>
      </c>
      <c r="O121" s="31" t="s">
        <v>68</v>
      </c>
      <c r="P121" s="31" t="s">
        <v>68</v>
      </c>
      <c r="Q121" s="31"/>
      <c r="R121" s="32"/>
      <c r="S121" s="32"/>
      <c r="T121" s="32"/>
      <c r="U121" s="32"/>
      <c r="V121" s="31" t="s">
        <v>134</v>
      </c>
      <c r="W121" s="40" t="n">
        <f aca="false">IF(OR($F121="",$J121=""),"",$F121+$J121)</f>
        <v>46141</v>
      </c>
      <c r="X121" s="32"/>
      <c r="Y121" s="34"/>
      <c r="Z121" s="31"/>
      <c r="AA121" s="31"/>
      <c r="AB121" s="32"/>
      <c r="AC121" s="31"/>
      <c r="AD121" s="32"/>
      <c r="AE121" s="31"/>
      <c r="AF121" s="41" t="str">
        <f aca="false">IF(OR($R121="",$S121=""),"",$S121-$R121)</f>
        <v/>
      </c>
      <c r="AG121" s="41" t="str">
        <f aca="false">IF(OR($S121="",$T121=""),"",$T121-$S121)</f>
        <v/>
      </c>
      <c r="AH121" s="41" t="str">
        <f aca="false">IF(OR($T121="",$U121=""),"",$U121-$T121)</f>
        <v/>
      </c>
      <c r="AI121" s="41" t="str">
        <f aca="false">IF(OR($R121="",$U121=""),"",$U121-$R121)</f>
        <v/>
      </c>
      <c r="AJ121" s="41" t="str">
        <f aca="false">IF(OR($U121="",$AB121=""),"",$AB121-$U121)</f>
        <v/>
      </c>
      <c r="AK121" s="41" t="str">
        <f aca="false">IF(OR($R121="",$AD121=""),"",$AD121-$R121)</f>
        <v/>
      </c>
      <c r="AL121" s="31"/>
      <c r="AM121" s="32"/>
      <c r="AN121" s="31" t="s">
        <v>135</v>
      </c>
    </row>
    <row r="122" customFormat="false" ht="15" hidden="false" customHeight="true" outlineLevel="0" collapsed="false">
      <c r="A122" s="38" t="n">
        <f aca="false">IF($B122="","",ROW()-3)</f>
        <v>119</v>
      </c>
      <c r="B122" s="31" t="s">
        <v>349</v>
      </c>
      <c r="C122" s="31" t="s">
        <v>350</v>
      </c>
      <c r="D122" s="31" t="s">
        <v>131</v>
      </c>
      <c r="E122" s="31" t="s">
        <v>352</v>
      </c>
      <c r="F122" s="32" t="n">
        <v>46081</v>
      </c>
      <c r="G122" s="32"/>
      <c r="H122" s="31" t="s">
        <v>139</v>
      </c>
      <c r="I122" s="31" t="s">
        <v>75</v>
      </c>
      <c r="J122" s="33" t="n">
        <v>60</v>
      </c>
      <c r="K122" s="34" t="n">
        <v>100532.15</v>
      </c>
      <c r="L122" s="34" t="n">
        <v>0</v>
      </c>
      <c r="M122" s="34" t="n">
        <v>0</v>
      </c>
      <c r="N122" s="39" t="n">
        <f aca="false">IF($K122="","",$K122-N($L122)-N($M122))</f>
        <v>100532.15</v>
      </c>
      <c r="O122" s="31" t="s">
        <v>68</v>
      </c>
      <c r="P122" s="31" t="s">
        <v>68</v>
      </c>
      <c r="Q122" s="31"/>
      <c r="R122" s="32"/>
      <c r="S122" s="32"/>
      <c r="T122" s="32"/>
      <c r="U122" s="32"/>
      <c r="V122" s="31" t="s">
        <v>134</v>
      </c>
      <c r="W122" s="40" t="n">
        <f aca="false">IF(OR($F122="",$J122=""),"",$F122+$J122)</f>
        <v>46141</v>
      </c>
      <c r="X122" s="32"/>
      <c r="Y122" s="34"/>
      <c r="Z122" s="31"/>
      <c r="AA122" s="31"/>
      <c r="AB122" s="32"/>
      <c r="AC122" s="31"/>
      <c r="AD122" s="32"/>
      <c r="AE122" s="31"/>
      <c r="AF122" s="41" t="str">
        <f aca="false">IF(OR($R122="",$S122=""),"",$S122-$R122)</f>
        <v/>
      </c>
      <c r="AG122" s="41" t="str">
        <f aca="false">IF(OR($S122="",$T122=""),"",$T122-$S122)</f>
        <v/>
      </c>
      <c r="AH122" s="41" t="str">
        <f aca="false">IF(OR($T122="",$U122=""),"",$U122-$T122)</f>
        <v/>
      </c>
      <c r="AI122" s="41" t="str">
        <f aca="false">IF(OR($R122="",$U122=""),"",$U122-$R122)</f>
        <v/>
      </c>
      <c r="AJ122" s="41" t="str">
        <f aca="false">IF(OR($U122="",$AB122=""),"",$AB122-$U122)</f>
        <v/>
      </c>
      <c r="AK122" s="41" t="str">
        <f aca="false">IF(OR($R122="",$AD122=""),"",$AD122-$R122)</f>
        <v/>
      </c>
      <c r="AL122" s="31"/>
      <c r="AM122" s="32"/>
      <c r="AN122" s="31" t="s">
        <v>135</v>
      </c>
    </row>
    <row r="123" customFormat="false" ht="15" hidden="false" customHeight="true" outlineLevel="0" collapsed="false">
      <c r="A123" s="38" t="n">
        <f aca="false">IF($B123="","",ROW()-3)</f>
        <v>120</v>
      </c>
      <c r="B123" s="31" t="s">
        <v>349</v>
      </c>
      <c r="C123" s="31" t="s">
        <v>350</v>
      </c>
      <c r="D123" s="31" t="s">
        <v>131</v>
      </c>
      <c r="E123" s="31" t="s">
        <v>353</v>
      </c>
      <c r="F123" s="32" t="n">
        <v>46081</v>
      </c>
      <c r="G123" s="32"/>
      <c r="H123" s="31" t="s">
        <v>139</v>
      </c>
      <c r="I123" s="31" t="s">
        <v>71</v>
      </c>
      <c r="J123" s="33" t="n">
        <v>60</v>
      </c>
      <c r="K123" s="34" t="n">
        <v>135481.76</v>
      </c>
      <c r="L123" s="34" t="n">
        <v>0</v>
      </c>
      <c r="M123" s="34" t="n">
        <v>0</v>
      </c>
      <c r="N123" s="39" t="n">
        <f aca="false">IF($K123="","",$K123-N($L123)-N($M123))</f>
        <v>135481.76</v>
      </c>
      <c r="O123" s="31" t="s">
        <v>68</v>
      </c>
      <c r="P123" s="31" t="s">
        <v>68</v>
      </c>
      <c r="Q123" s="31"/>
      <c r="R123" s="32"/>
      <c r="S123" s="32"/>
      <c r="T123" s="32"/>
      <c r="U123" s="32"/>
      <c r="V123" s="31" t="s">
        <v>134</v>
      </c>
      <c r="W123" s="40" t="n">
        <f aca="false">IF(OR($F123="",$J123=""),"",$F123+$J123)</f>
        <v>46141</v>
      </c>
      <c r="X123" s="32"/>
      <c r="Y123" s="34"/>
      <c r="Z123" s="31"/>
      <c r="AA123" s="31"/>
      <c r="AB123" s="32"/>
      <c r="AC123" s="31"/>
      <c r="AD123" s="32"/>
      <c r="AE123" s="31"/>
      <c r="AF123" s="41" t="str">
        <f aca="false">IF(OR($R123="",$S123=""),"",$S123-$R123)</f>
        <v/>
      </c>
      <c r="AG123" s="41" t="str">
        <f aca="false">IF(OR($S123="",$T123=""),"",$T123-$S123)</f>
        <v/>
      </c>
      <c r="AH123" s="41" t="str">
        <f aca="false">IF(OR($T123="",$U123=""),"",$U123-$T123)</f>
        <v/>
      </c>
      <c r="AI123" s="41" t="str">
        <f aca="false">IF(OR($R123="",$U123=""),"",$U123-$R123)</f>
        <v/>
      </c>
      <c r="AJ123" s="41" t="str">
        <f aca="false">IF(OR($U123="",$AB123=""),"",$AB123-$U123)</f>
        <v/>
      </c>
      <c r="AK123" s="41" t="str">
        <f aca="false">IF(OR($R123="",$AD123=""),"",$AD123-$R123)</f>
        <v/>
      </c>
      <c r="AL123" s="31"/>
      <c r="AM123" s="32"/>
      <c r="AN123" s="31" t="s">
        <v>135</v>
      </c>
    </row>
    <row r="124" customFormat="false" ht="15" hidden="false" customHeight="true" outlineLevel="0" collapsed="false">
      <c r="A124" s="38" t="n">
        <f aca="false">IF($B124="","",ROW()-3)</f>
        <v>121</v>
      </c>
      <c r="B124" s="31" t="s">
        <v>349</v>
      </c>
      <c r="C124" s="31" t="s">
        <v>350</v>
      </c>
      <c r="D124" s="31" t="s">
        <v>131</v>
      </c>
      <c r="E124" s="31" t="s">
        <v>354</v>
      </c>
      <c r="F124" s="32" t="n">
        <v>46081</v>
      </c>
      <c r="G124" s="32"/>
      <c r="H124" s="31" t="s">
        <v>139</v>
      </c>
      <c r="I124" s="31" t="s">
        <v>69</v>
      </c>
      <c r="J124" s="33" t="n">
        <v>60</v>
      </c>
      <c r="K124" s="34" t="n">
        <v>437136.32</v>
      </c>
      <c r="L124" s="34" t="n">
        <v>0</v>
      </c>
      <c r="M124" s="34" t="n">
        <v>0</v>
      </c>
      <c r="N124" s="39" t="n">
        <f aca="false">IF($K124="","",$K124-N($L124)-N($M124))</f>
        <v>437136.32</v>
      </c>
      <c r="O124" s="31" t="s">
        <v>68</v>
      </c>
      <c r="P124" s="31" t="s">
        <v>68</v>
      </c>
      <c r="Q124" s="31"/>
      <c r="R124" s="32"/>
      <c r="S124" s="32"/>
      <c r="T124" s="32"/>
      <c r="U124" s="32"/>
      <c r="V124" s="31" t="s">
        <v>134</v>
      </c>
      <c r="W124" s="40" t="n">
        <f aca="false">IF(OR($F124="",$J124=""),"",$F124+$J124)</f>
        <v>46141</v>
      </c>
      <c r="X124" s="32"/>
      <c r="Y124" s="34"/>
      <c r="Z124" s="31"/>
      <c r="AA124" s="31"/>
      <c r="AB124" s="32"/>
      <c r="AC124" s="31"/>
      <c r="AD124" s="32"/>
      <c r="AE124" s="31"/>
      <c r="AF124" s="41" t="str">
        <f aca="false">IF(OR($R124="",$S124=""),"",$S124-$R124)</f>
        <v/>
      </c>
      <c r="AG124" s="41" t="str">
        <f aca="false">IF(OR($S124="",$T124=""),"",$T124-$S124)</f>
        <v/>
      </c>
      <c r="AH124" s="41" t="str">
        <f aca="false">IF(OR($T124="",$U124=""),"",$U124-$T124)</f>
        <v/>
      </c>
      <c r="AI124" s="41" t="str">
        <f aca="false">IF(OR($R124="",$U124=""),"",$U124-$R124)</f>
        <v/>
      </c>
      <c r="AJ124" s="41" t="str">
        <f aca="false">IF(OR($U124="",$AB124=""),"",$AB124-$U124)</f>
        <v/>
      </c>
      <c r="AK124" s="41" t="str">
        <f aca="false">IF(OR($R124="",$AD124=""),"",$AD124-$R124)</f>
        <v/>
      </c>
      <c r="AL124" s="31"/>
      <c r="AM124" s="32"/>
      <c r="AN124" s="31" t="s">
        <v>135</v>
      </c>
    </row>
    <row r="125" customFormat="false" ht="15" hidden="false" customHeight="true" outlineLevel="0" collapsed="false">
      <c r="A125" s="38" t="n">
        <f aca="false">IF($B125="","",ROW()-3)</f>
        <v>122</v>
      </c>
      <c r="B125" s="31" t="s">
        <v>349</v>
      </c>
      <c r="C125" s="31" t="s">
        <v>350</v>
      </c>
      <c r="D125" s="31" t="s">
        <v>131</v>
      </c>
      <c r="E125" s="31" t="s">
        <v>355</v>
      </c>
      <c r="F125" s="32" t="n">
        <v>46081</v>
      </c>
      <c r="G125" s="32"/>
      <c r="H125" s="31" t="s">
        <v>139</v>
      </c>
      <c r="I125" s="31" t="s">
        <v>67</v>
      </c>
      <c r="J125" s="33" t="n">
        <v>60</v>
      </c>
      <c r="K125" s="34" t="n">
        <v>154106.33</v>
      </c>
      <c r="L125" s="34" t="n">
        <v>0</v>
      </c>
      <c r="M125" s="34" t="n">
        <v>0</v>
      </c>
      <c r="N125" s="39" t="n">
        <f aca="false">IF($K125="","",$K125-N($L125)-N($M125))</f>
        <v>154106.33</v>
      </c>
      <c r="O125" s="31" t="s">
        <v>68</v>
      </c>
      <c r="P125" s="31" t="s">
        <v>68</v>
      </c>
      <c r="Q125" s="31"/>
      <c r="R125" s="32"/>
      <c r="S125" s="32"/>
      <c r="T125" s="32"/>
      <c r="U125" s="32"/>
      <c r="V125" s="31" t="s">
        <v>134</v>
      </c>
      <c r="W125" s="40" t="n">
        <f aca="false">IF(OR($F125="",$J125=""),"",$F125+$J125)</f>
        <v>46141</v>
      </c>
      <c r="X125" s="32"/>
      <c r="Y125" s="34"/>
      <c r="Z125" s="31"/>
      <c r="AA125" s="31"/>
      <c r="AB125" s="32"/>
      <c r="AC125" s="31"/>
      <c r="AD125" s="32"/>
      <c r="AE125" s="31"/>
      <c r="AF125" s="41" t="str">
        <f aca="false">IF(OR($R125="",$S125=""),"",$S125-$R125)</f>
        <v/>
      </c>
      <c r="AG125" s="41" t="str">
        <f aca="false">IF(OR($S125="",$T125=""),"",$T125-$S125)</f>
        <v/>
      </c>
      <c r="AH125" s="41" t="str">
        <f aca="false">IF(OR($T125="",$U125=""),"",$U125-$T125)</f>
        <v/>
      </c>
      <c r="AI125" s="41" t="str">
        <f aca="false">IF(OR($R125="",$U125=""),"",$U125-$R125)</f>
        <v/>
      </c>
      <c r="AJ125" s="41" t="str">
        <f aca="false">IF(OR($U125="",$AB125=""),"",$AB125-$U125)</f>
        <v/>
      </c>
      <c r="AK125" s="41" t="str">
        <f aca="false">IF(OR($R125="",$AD125=""),"",$AD125-$R125)</f>
        <v/>
      </c>
      <c r="AL125" s="31"/>
      <c r="AM125" s="32"/>
      <c r="AN125" s="31" t="s">
        <v>135</v>
      </c>
    </row>
    <row r="126" customFormat="false" ht="15" hidden="false" customHeight="true" outlineLevel="0" collapsed="false">
      <c r="A126" s="38" t="n">
        <f aca="false">IF($B126="","",ROW()-3)</f>
        <v>123</v>
      </c>
      <c r="B126" s="31" t="s">
        <v>349</v>
      </c>
      <c r="C126" s="31" t="s">
        <v>350</v>
      </c>
      <c r="D126" s="31" t="s">
        <v>131</v>
      </c>
      <c r="E126" s="31" t="s">
        <v>356</v>
      </c>
      <c r="F126" s="32" t="n">
        <v>46081</v>
      </c>
      <c r="G126" s="32"/>
      <c r="H126" s="31" t="s">
        <v>139</v>
      </c>
      <c r="I126" s="31" t="s">
        <v>75</v>
      </c>
      <c r="J126" s="33" t="n">
        <v>60</v>
      </c>
      <c r="K126" s="34" t="n">
        <v>134328.96</v>
      </c>
      <c r="L126" s="34" t="n">
        <v>12000</v>
      </c>
      <c r="M126" s="34" t="n">
        <v>0</v>
      </c>
      <c r="N126" s="39" t="n">
        <f aca="false">IF($K126="","",$K126-N($L126)-N($M126))</f>
        <v>122328.96</v>
      </c>
      <c r="O126" s="31" t="s">
        <v>68</v>
      </c>
      <c r="P126" s="31" t="s">
        <v>68</v>
      </c>
      <c r="Q126" s="31"/>
      <c r="R126" s="32"/>
      <c r="S126" s="32"/>
      <c r="T126" s="32"/>
      <c r="U126" s="32"/>
      <c r="V126" s="31" t="s">
        <v>134</v>
      </c>
      <c r="W126" s="40" t="n">
        <f aca="false">IF(OR($F126="",$J126=""),"",$F126+$J126)</f>
        <v>46141</v>
      </c>
      <c r="X126" s="32"/>
      <c r="Y126" s="34"/>
      <c r="Z126" s="31"/>
      <c r="AA126" s="31"/>
      <c r="AB126" s="32"/>
      <c r="AC126" s="31"/>
      <c r="AD126" s="32"/>
      <c r="AE126" s="31"/>
      <c r="AF126" s="41" t="str">
        <f aca="false">IF(OR($R126="",$S126=""),"",$S126-$R126)</f>
        <v/>
      </c>
      <c r="AG126" s="41" t="str">
        <f aca="false">IF(OR($S126="",$T126=""),"",$T126-$S126)</f>
        <v/>
      </c>
      <c r="AH126" s="41" t="str">
        <f aca="false">IF(OR($T126="",$U126=""),"",$U126-$T126)</f>
        <v/>
      </c>
      <c r="AI126" s="41" t="str">
        <f aca="false">IF(OR($R126="",$U126=""),"",$U126-$R126)</f>
        <v/>
      </c>
      <c r="AJ126" s="41" t="str">
        <f aca="false">IF(OR($U126="",$AB126=""),"",$AB126-$U126)</f>
        <v/>
      </c>
      <c r="AK126" s="41" t="str">
        <f aca="false">IF(OR($R126="",$AD126=""),"",$AD126-$R126)</f>
        <v/>
      </c>
      <c r="AL126" s="31"/>
      <c r="AM126" s="32"/>
      <c r="AN126" s="31" t="s">
        <v>135</v>
      </c>
    </row>
    <row r="127" customFormat="false" ht="15" hidden="false" customHeight="true" outlineLevel="0" collapsed="false">
      <c r="A127" s="38" t="n">
        <f aca="false">IF($B127="","",ROW()-3)</f>
        <v>124</v>
      </c>
      <c r="B127" s="31" t="s">
        <v>349</v>
      </c>
      <c r="C127" s="31" t="s">
        <v>350</v>
      </c>
      <c r="D127" s="31" t="s">
        <v>131</v>
      </c>
      <c r="E127" s="31" t="s">
        <v>357</v>
      </c>
      <c r="F127" s="32" t="n">
        <v>46081</v>
      </c>
      <c r="G127" s="32"/>
      <c r="H127" s="31" t="s">
        <v>139</v>
      </c>
      <c r="I127" s="31" t="s">
        <v>67</v>
      </c>
      <c r="J127" s="33" t="n">
        <v>60</v>
      </c>
      <c r="K127" s="34" t="n">
        <v>804303.79</v>
      </c>
      <c r="L127" s="34" t="n">
        <v>0</v>
      </c>
      <c r="M127" s="34" t="n">
        <v>0</v>
      </c>
      <c r="N127" s="39" t="n">
        <f aca="false">IF($K127="","",$K127-N($L127)-N($M127))</f>
        <v>804303.79</v>
      </c>
      <c r="O127" s="31" t="s">
        <v>68</v>
      </c>
      <c r="P127" s="31" t="s">
        <v>68</v>
      </c>
      <c r="Q127" s="31"/>
      <c r="R127" s="32"/>
      <c r="S127" s="32"/>
      <c r="T127" s="32"/>
      <c r="U127" s="32"/>
      <c r="V127" s="31" t="s">
        <v>134</v>
      </c>
      <c r="W127" s="40" t="n">
        <f aca="false">IF(OR($F127="",$J127=""),"",$F127+$J127)</f>
        <v>46141</v>
      </c>
      <c r="X127" s="32"/>
      <c r="Y127" s="34"/>
      <c r="Z127" s="31"/>
      <c r="AA127" s="31"/>
      <c r="AB127" s="32"/>
      <c r="AC127" s="31"/>
      <c r="AD127" s="32"/>
      <c r="AE127" s="31"/>
      <c r="AF127" s="41" t="str">
        <f aca="false">IF(OR($R127="",$S127=""),"",$S127-$R127)</f>
        <v/>
      </c>
      <c r="AG127" s="41" t="str">
        <f aca="false">IF(OR($S127="",$T127=""),"",$T127-$S127)</f>
        <v/>
      </c>
      <c r="AH127" s="41" t="str">
        <f aca="false">IF(OR($T127="",$U127=""),"",$U127-$T127)</f>
        <v/>
      </c>
      <c r="AI127" s="41" t="str">
        <f aca="false">IF(OR($R127="",$U127=""),"",$U127-$R127)</f>
        <v/>
      </c>
      <c r="AJ127" s="41" t="str">
        <f aca="false">IF(OR($U127="",$AB127=""),"",$AB127-$U127)</f>
        <v/>
      </c>
      <c r="AK127" s="41" t="str">
        <f aca="false">IF(OR($R127="",$AD127=""),"",$AD127-$R127)</f>
        <v/>
      </c>
      <c r="AL127" s="31"/>
      <c r="AM127" s="32"/>
      <c r="AN127" s="31" t="s">
        <v>135</v>
      </c>
    </row>
    <row r="128" customFormat="false" ht="15" hidden="false" customHeight="true" outlineLevel="0" collapsed="false">
      <c r="A128" s="38" t="n">
        <f aca="false">IF($B128="","",ROW()-3)</f>
        <v>125</v>
      </c>
      <c r="B128" s="31" t="s">
        <v>349</v>
      </c>
      <c r="C128" s="31" t="s">
        <v>350</v>
      </c>
      <c r="D128" s="31" t="s">
        <v>131</v>
      </c>
      <c r="E128" s="31" t="s">
        <v>358</v>
      </c>
      <c r="F128" s="32" t="n">
        <v>46081</v>
      </c>
      <c r="G128" s="32"/>
      <c r="H128" s="31" t="s">
        <v>139</v>
      </c>
      <c r="I128" s="31" t="s">
        <v>67</v>
      </c>
      <c r="J128" s="33" t="n">
        <v>60</v>
      </c>
      <c r="K128" s="34" t="n">
        <v>237725.46</v>
      </c>
      <c r="L128" s="34" t="n">
        <v>0</v>
      </c>
      <c r="M128" s="34" t="n">
        <v>0</v>
      </c>
      <c r="N128" s="39" t="n">
        <f aca="false">IF($K128="","",$K128-N($L128)-N($M128))</f>
        <v>237725.46</v>
      </c>
      <c r="O128" s="31" t="s">
        <v>68</v>
      </c>
      <c r="P128" s="31" t="s">
        <v>68</v>
      </c>
      <c r="Q128" s="31"/>
      <c r="R128" s="32"/>
      <c r="S128" s="32"/>
      <c r="T128" s="32"/>
      <c r="U128" s="32"/>
      <c r="V128" s="31" t="s">
        <v>134</v>
      </c>
      <c r="W128" s="40" t="n">
        <f aca="false">IF(OR($F128="",$J128=""),"",$F128+$J128)</f>
        <v>46141</v>
      </c>
      <c r="X128" s="32"/>
      <c r="Y128" s="34"/>
      <c r="Z128" s="31"/>
      <c r="AA128" s="31"/>
      <c r="AB128" s="32"/>
      <c r="AC128" s="31"/>
      <c r="AD128" s="32"/>
      <c r="AE128" s="31"/>
      <c r="AF128" s="41" t="str">
        <f aca="false">IF(OR($R128="",$S128=""),"",$S128-$R128)</f>
        <v/>
      </c>
      <c r="AG128" s="41" t="str">
        <f aca="false">IF(OR($S128="",$T128=""),"",$T128-$S128)</f>
        <v/>
      </c>
      <c r="AH128" s="41" t="str">
        <f aca="false">IF(OR($T128="",$U128=""),"",$U128-$T128)</f>
        <v/>
      </c>
      <c r="AI128" s="41" t="str">
        <f aca="false">IF(OR($R128="",$U128=""),"",$U128-$R128)</f>
        <v/>
      </c>
      <c r="AJ128" s="41" t="str">
        <f aca="false">IF(OR($U128="",$AB128=""),"",$AB128-$U128)</f>
        <v/>
      </c>
      <c r="AK128" s="41" t="str">
        <f aca="false">IF(OR($R128="",$AD128=""),"",$AD128-$R128)</f>
        <v/>
      </c>
      <c r="AL128" s="31"/>
      <c r="AM128" s="32"/>
      <c r="AN128" s="31" t="s">
        <v>135</v>
      </c>
    </row>
    <row r="129" customFormat="false" ht="15" hidden="false" customHeight="true" outlineLevel="0" collapsed="false">
      <c r="A129" s="38" t="n">
        <f aca="false">IF($B129="","",ROW()-3)</f>
        <v>126</v>
      </c>
      <c r="B129" s="31" t="s">
        <v>349</v>
      </c>
      <c r="C129" s="31" t="s">
        <v>350</v>
      </c>
      <c r="D129" s="31" t="s">
        <v>131</v>
      </c>
      <c r="E129" s="31" t="s">
        <v>359</v>
      </c>
      <c r="F129" s="32" t="n">
        <v>46081</v>
      </c>
      <c r="G129" s="32"/>
      <c r="H129" s="31" t="s">
        <v>139</v>
      </c>
      <c r="I129" s="31" t="s">
        <v>67</v>
      </c>
      <c r="J129" s="33" t="n">
        <v>60</v>
      </c>
      <c r="K129" s="34" t="n">
        <v>1060212.97</v>
      </c>
      <c r="L129" s="34" t="n">
        <v>0</v>
      </c>
      <c r="M129" s="34" t="n">
        <v>0</v>
      </c>
      <c r="N129" s="39" t="n">
        <f aca="false">IF($K129="","",$K129-N($L129)-N($M129))</f>
        <v>1060212.97</v>
      </c>
      <c r="O129" s="31" t="s">
        <v>68</v>
      </c>
      <c r="P129" s="31" t="s">
        <v>68</v>
      </c>
      <c r="Q129" s="31"/>
      <c r="R129" s="32"/>
      <c r="S129" s="32"/>
      <c r="T129" s="32"/>
      <c r="U129" s="32"/>
      <c r="V129" s="31" t="s">
        <v>134</v>
      </c>
      <c r="W129" s="40" t="n">
        <f aca="false">IF(OR($F129="",$J129=""),"",$F129+$J129)</f>
        <v>46141</v>
      </c>
      <c r="X129" s="32"/>
      <c r="Y129" s="34"/>
      <c r="Z129" s="31"/>
      <c r="AA129" s="31"/>
      <c r="AB129" s="32"/>
      <c r="AC129" s="31"/>
      <c r="AD129" s="32"/>
      <c r="AE129" s="31"/>
      <c r="AF129" s="41" t="str">
        <f aca="false">IF(OR($R129="",$S129=""),"",$S129-$R129)</f>
        <v/>
      </c>
      <c r="AG129" s="41" t="str">
        <f aca="false">IF(OR($S129="",$T129=""),"",$T129-$S129)</f>
        <v/>
      </c>
      <c r="AH129" s="41" t="str">
        <f aca="false">IF(OR($T129="",$U129=""),"",$U129-$T129)</f>
        <v/>
      </c>
      <c r="AI129" s="41" t="str">
        <f aca="false">IF(OR($R129="",$U129=""),"",$U129-$R129)</f>
        <v/>
      </c>
      <c r="AJ129" s="41" t="str">
        <f aca="false">IF(OR($U129="",$AB129=""),"",$AB129-$U129)</f>
        <v/>
      </c>
      <c r="AK129" s="41" t="str">
        <f aca="false">IF(OR($R129="",$AD129=""),"",$AD129-$R129)</f>
        <v/>
      </c>
      <c r="AL129" s="31"/>
      <c r="AM129" s="32"/>
      <c r="AN129" s="31" t="s">
        <v>135</v>
      </c>
    </row>
    <row r="130" customFormat="false" ht="15" hidden="false" customHeight="true" outlineLevel="0" collapsed="false">
      <c r="A130" s="38" t="n">
        <f aca="false">IF($B130="","",ROW()-3)</f>
        <v>127</v>
      </c>
      <c r="B130" s="31" t="s">
        <v>349</v>
      </c>
      <c r="C130" s="31" t="s">
        <v>350</v>
      </c>
      <c r="D130" s="31" t="s">
        <v>131</v>
      </c>
      <c r="E130" s="31" t="s">
        <v>360</v>
      </c>
      <c r="F130" s="32" t="n">
        <v>46081</v>
      </c>
      <c r="G130" s="32"/>
      <c r="H130" s="31" t="s">
        <v>139</v>
      </c>
      <c r="I130" s="31" t="s">
        <v>67</v>
      </c>
      <c r="J130" s="33" t="n">
        <v>60</v>
      </c>
      <c r="K130" s="34" t="n">
        <v>21911.5</v>
      </c>
      <c r="L130" s="34" t="n">
        <v>0</v>
      </c>
      <c r="M130" s="34" t="n">
        <v>0</v>
      </c>
      <c r="N130" s="39" t="n">
        <f aca="false">IF($K130="","",$K130-N($L130)-N($M130))</f>
        <v>21911.5</v>
      </c>
      <c r="O130" s="31" t="s">
        <v>68</v>
      </c>
      <c r="P130" s="31" t="s">
        <v>68</v>
      </c>
      <c r="Q130" s="31"/>
      <c r="R130" s="32"/>
      <c r="S130" s="32"/>
      <c r="T130" s="32"/>
      <c r="U130" s="32"/>
      <c r="V130" s="31" t="s">
        <v>134</v>
      </c>
      <c r="W130" s="40" t="n">
        <f aca="false">IF(OR($F130="",$J130=""),"",$F130+$J130)</f>
        <v>46141</v>
      </c>
      <c r="X130" s="32"/>
      <c r="Y130" s="34"/>
      <c r="Z130" s="31"/>
      <c r="AA130" s="31"/>
      <c r="AB130" s="32"/>
      <c r="AC130" s="31"/>
      <c r="AD130" s="32"/>
      <c r="AE130" s="31"/>
      <c r="AF130" s="41" t="str">
        <f aca="false">IF(OR($R130="",$S130=""),"",$S130-$R130)</f>
        <v/>
      </c>
      <c r="AG130" s="41" t="str">
        <f aca="false">IF(OR($S130="",$T130=""),"",$T130-$S130)</f>
        <v/>
      </c>
      <c r="AH130" s="41" t="str">
        <f aca="false">IF(OR($T130="",$U130=""),"",$U130-$T130)</f>
        <v/>
      </c>
      <c r="AI130" s="41" t="str">
        <f aca="false">IF(OR($R130="",$U130=""),"",$U130-$R130)</f>
        <v/>
      </c>
      <c r="AJ130" s="41" t="str">
        <f aca="false">IF(OR($U130="",$AB130=""),"",$AB130-$U130)</f>
        <v/>
      </c>
      <c r="AK130" s="41" t="str">
        <f aca="false">IF(OR($R130="",$AD130=""),"",$AD130-$R130)</f>
        <v/>
      </c>
      <c r="AL130" s="31"/>
      <c r="AM130" s="32"/>
      <c r="AN130" s="31" t="s">
        <v>135</v>
      </c>
    </row>
    <row r="131" customFormat="false" ht="15" hidden="false" customHeight="true" outlineLevel="0" collapsed="false">
      <c r="A131" s="38" t="n">
        <f aca="false">IF($B131="","",ROW()-3)</f>
        <v>128</v>
      </c>
      <c r="B131" s="31" t="s">
        <v>349</v>
      </c>
      <c r="C131" s="31" t="s">
        <v>350</v>
      </c>
      <c r="D131" s="31" t="s">
        <v>131</v>
      </c>
      <c r="E131" s="31" t="s">
        <v>361</v>
      </c>
      <c r="F131" s="32" t="n">
        <v>46081</v>
      </c>
      <c r="G131" s="32"/>
      <c r="H131" s="31" t="s">
        <v>139</v>
      </c>
      <c r="I131" s="31" t="s">
        <v>69</v>
      </c>
      <c r="J131" s="33" t="n">
        <v>60</v>
      </c>
      <c r="K131" s="34" t="n">
        <v>740992</v>
      </c>
      <c r="L131" s="34" t="n">
        <v>0</v>
      </c>
      <c r="M131" s="34" t="n">
        <v>0</v>
      </c>
      <c r="N131" s="39" t="n">
        <f aca="false">IF($K131="","",$K131-N($L131)-N($M131))</f>
        <v>740992</v>
      </c>
      <c r="O131" s="31" t="s">
        <v>68</v>
      </c>
      <c r="P131" s="31" t="s">
        <v>68</v>
      </c>
      <c r="Q131" s="31"/>
      <c r="R131" s="32"/>
      <c r="S131" s="32"/>
      <c r="T131" s="32"/>
      <c r="U131" s="32"/>
      <c r="V131" s="31" t="s">
        <v>134</v>
      </c>
      <c r="W131" s="40" t="n">
        <f aca="false">IF(OR($F131="",$J131=""),"",$F131+$J131)</f>
        <v>46141</v>
      </c>
      <c r="X131" s="32"/>
      <c r="Y131" s="34"/>
      <c r="Z131" s="31"/>
      <c r="AA131" s="31"/>
      <c r="AB131" s="32"/>
      <c r="AC131" s="31"/>
      <c r="AD131" s="32"/>
      <c r="AE131" s="31"/>
      <c r="AF131" s="41" t="str">
        <f aca="false">IF(OR($R131="",$S131=""),"",$S131-$R131)</f>
        <v/>
      </c>
      <c r="AG131" s="41" t="str">
        <f aca="false">IF(OR($S131="",$T131=""),"",$T131-$S131)</f>
        <v/>
      </c>
      <c r="AH131" s="41" t="str">
        <f aca="false">IF(OR($T131="",$U131=""),"",$U131-$T131)</f>
        <v/>
      </c>
      <c r="AI131" s="41" t="str">
        <f aca="false">IF(OR($R131="",$U131=""),"",$U131-$R131)</f>
        <v/>
      </c>
      <c r="AJ131" s="41" t="str">
        <f aca="false">IF(OR($U131="",$AB131=""),"",$AB131-$U131)</f>
        <v/>
      </c>
      <c r="AK131" s="41" t="str">
        <f aca="false">IF(OR($R131="",$AD131=""),"",$AD131-$R131)</f>
        <v/>
      </c>
      <c r="AL131" s="31"/>
      <c r="AM131" s="32"/>
      <c r="AN131" s="31" t="s">
        <v>135</v>
      </c>
    </row>
    <row r="132" customFormat="false" ht="15" hidden="false" customHeight="true" outlineLevel="0" collapsed="false">
      <c r="A132" s="38" t="n">
        <f aca="false">IF($B132="","",ROW()-3)</f>
        <v>129</v>
      </c>
      <c r="B132" s="31" t="s">
        <v>349</v>
      </c>
      <c r="C132" s="31" t="s">
        <v>350</v>
      </c>
      <c r="D132" s="31" t="s">
        <v>131</v>
      </c>
      <c r="E132" s="31" t="s">
        <v>362</v>
      </c>
      <c r="F132" s="32" t="n">
        <v>46081</v>
      </c>
      <c r="G132" s="32"/>
      <c r="H132" s="31" t="s">
        <v>139</v>
      </c>
      <c r="I132" s="31" t="s">
        <v>71</v>
      </c>
      <c r="J132" s="33" t="n">
        <v>60</v>
      </c>
      <c r="K132" s="34" t="n">
        <v>9911.5</v>
      </c>
      <c r="L132" s="34" t="n">
        <v>0</v>
      </c>
      <c r="M132" s="34" t="n">
        <v>0</v>
      </c>
      <c r="N132" s="39" t="n">
        <f aca="false">IF($K132="","",$K132-N($L132)-N($M132))</f>
        <v>9911.5</v>
      </c>
      <c r="O132" s="31" t="s">
        <v>68</v>
      </c>
      <c r="P132" s="31" t="s">
        <v>68</v>
      </c>
      <c r="Q132" s="31"/>
      <c r="R132" s="32"/>
      <c r="S132" s="32"/>
      <c r="T132" s="32"/>
      <c r="U132" s="32"/>
      <c r="V132" s="31" t="s">
        <v>134</v>
      </c>
      <c r="W132" s="40" t="n">
        <f aca="false">IF(OR($F132="",$J132=""),"",$F132+$J132)</f>
        <v>46141</v>
      </c>
      <c r="X132" s="32"/>
      <c r="Y132" s="34"/>
      <c r="Z132" s="31"/>
      <c r="AA132" s="31"/>
      <c r="AB132" s="32"/>
      <c r="AC132" s="31"/>
      <c r="AD132" s="32"/>
      <c r="AE132" s="31"/>
      <c r="AF132" s="41" t="str">
        <f aca="false">IF(OR($R132="",$S132=""),"",$S132-$R132)</f>
        <v/>
      </c>
      <c r="AG132" s="41" t="str">
        <f aca="false">IF(OR($S132="",$T132=""),"",$T132-$S132)</f>
        <v/>
      </c>
      <c r="AH132" s="41" t="str">
        <f aca="false">IF(OR($T132="",$U132=""),"",$U132-$T132)</f>
        <v/>
      </c>
      <c r="AI132" s="41" t="str">
        <f aca="false">IF(OR($R132="",$U132=""),"",$U132-$R132)</f>
        <v/>
      </c>
      <c r="AJ132" s="41" t="str">
        <f aca="false">IF(OR($U132="",$AB132=""),"",$AB132-$U132)</f>
        <v/>
      </c>
      <c r="AK132" s="41" t="str">
        <f aca="false">IF(OR($R132="",$AD132=""),"",$AD132-$R132)</f>
        <v/>
      </c>
      <c r="AL132" s="31"/>
      <c r="AM132" s="32"/>
      <c r="AN132" s="31" t="s">
        <v>135</v>
      </c>
    </row>
    <row r="133" customFormat="false" ht="15" hidden="false" customHeight="true" outlineLevel="0" collapsed="false">
      <c r="A133" s="38" t="n">
        <f aca="false">IF($B133="","",ROW()-3)</f>
        <v>130</v>
      </c>
      <c r="B133" s="31" t="s">
        <v>349</v>
      </c>
      <c r="C133" s="31" t="s">
        <v>350</v>
      </c>
      <c r="D133" s="31" t="s">
        <v>131</v>
      </c>
      <c r="E133" s="31" t="s">
        <v>363</v>
      </c>
      <c r="F133" s="32" t="n">
        <v>46081</v>
      </c>
      <c r="G133" s="32"/>
      <c r="H133" s="31" t="s">
        <v>139</v>
      </c>
      <c r="I133" s="31" t="s">
        <v>71</v>
      </c>
      <c r="J133" s="33" t="n">
        <v>60</v>
      </c>
      <c r="K133" s="34" t="n">
        <v>348723.11</v>
      </c>
      <c r="L133" s="34" t="n">
        <v>0</v>
      </c>
      <c r="M133" s="34" t="n">
        <v>0</v>
      </c>
      <c r="N133" s="39" t="n">
        <f aca="false">IF($K133="","",$K133-N($L133)-N($M133))</f>
        <v>348723.11</v>
      </c>
      <c r="O133" s="31" t="s">
        <v>68</v>
      </c>
      <c r="P133" s="31" t="s">
        <v>68</v>
      </c>
      <c r="Q133" s="31"/>
      <c r="R133" s="32"/>
      <c r="S133" s="32"/>
      <c r="T133" s="32"/>
      <c r="U133" s="32"/>
      <c r="V133" s="31" t="s">
        <v>134</v>
      </c>
      <c r="W133" s="40" t="n">
        <f aca="false">IF(OR($F133="",$J133=""),"",$F133+$J133)</f>
        <v>46141</v>
      </c>
      <c r="X133" s="32"/>
      <c r="Y133" s="34"/>
      <c r="Z133" s="31"/>
      <c r="AA133" s="31"/>
      <c r="AB133" s="32"/>
      <c r="AC133" s="31"/>
      <c r="AD133" s="32"/>
      <c r="AE133" s="31"/>
      <c r="AF133" s="41" t="str">
        <f aca="false">IF(OR($R133="",$S133=""),"",$S133-$R133)</f>
        <v/>
      </c>
      <c r="AG133" s="41" t="str">
        <f aca="false">IF(OR($S133="",$T133=""),"",$T133-$S133)</f>
        <v/>
      </c>
      <c r="AH133" s="41" t="str">
        <f aca="false">IF(OR($T133="",$U133=""),"",$U133-$T133)</f>
        <v/>
      </c>
      <c r="AI133" s="41" t="str">
        <f aca="false">IF(OR($R133="",$U133=""),"",$U133-$R133)</f>
        <v/>
      </c>
      <c r="AJ133" s="41" t="str">
        <f aca="false">IF(OR($U133="",$AB133=""),"",$AB133-$U133)</f>
        <v/>
      </c>
      <c r="AK133" s="41" t="str">
        <f aca="false">IF(OR($R133="",$AD133=""),"",$AD133-$R133)</f>
        <v/>
      </c>
      <c r="AL133" s="31"/>
      <c r="AM133" s="32"/>
      <c r="AN133" s="31" t="s">
        <v>135</v>
      </c>
    </row>
    <row r="134" customFormat="false" ht="15" hidden="false" customHeight="true" outlineLevel="0" collapsed="false">
      <c r="A134" s="38" t="n">
        <f aca="false">IF($B134="","",ROW()-3)</f>
        <v>131</v>
      </c>
      <c r="B134" s="31" t="s">
        <v>349</v>
      </c>
      <c r="C134" s="31" t="s">
        <v>350</v>
      </c>
      <c r="D134" s="31" t="s">
        <v>131</v>
      </c>
      <c r="E134" s="31" t="s">
        <v>364</v>
      </c>
      <c r="F134" s="32" t="n">
        <v>46081</v>
      </c>
      <c r="G134" s="32"/>
      <c r="H134" s="31" t="s">
        <v>139</v>
      </c>
      <c r="I134" s="31" t="s">
        <v>71</v>
      </c>
      <c r="J134" s="33" t="n">
        <v>60</v>
      </c>
      <c r="K134" s="34" t="n">
        <v>43460</v>
      </c>
      <c r="L134" s="34" t="n">
        <v>0</v>
      </c>
      <c r="M134" s="34" t="n">
        <v>0</v>
      </c>
      <c r="N134" s="39" t="n">
        <f aca="false">IF($K134="","",$K134-N($L134)-N($M134))</f>
        <v>43460</v>
      </c>
      <c r="O134" s="31" t="s">
        <v>68</v>
      </c>
      <c r="P134" s="31" t="s">
        <v>68</v>
      </c>
      <c r="Q134" s="31"/>
      <c r="R134" s="32"/>
      <c r="S134" s="32"/>
      <c r="T134" s="32"/>
      <c r="U134" s="32"/>
      <c r="V134" s="31" t="s">
        <v>134</v>
      </c>
      <c r="W134" s="40" t="n">
        <f aca="false">IF(OR($F134="",$J134=""),"",$F134+$J134)</f>
        <v>46141</v>
      </c>
      <c r="X134" s="32"/>
      <c r="Y134" s="34"/>
      <c r="Z134" s="31"/>
      <c r="AA134" s="31"/>
      <c r="AB134" s="32"/>
      <c r="AC134" s="31"/>
      <c r="AD134" s="32"/>
      <c r="AE134" s="31"/>
      <c r="AF134" s="41" t="str">
        <f aca="false">IF(OR($R134="",$S134=""),"",$S134-$R134)</f>
        <v/>
      </c>
      <c r="AG134" s="41" t="str">
        <f aca="false">IF(OR($S134="",$T134=""),"",$T134-$S134)</f>
        <v/>
      </c>
      <c r="AH134" s="41" t="str">
        <f aca="false">IF(OR($T134="",$U134=""),"",$U134-$T134)</f>
        <v/>
      </c>
      <c r="AI134" s="41" t="str">
        <f aca="false">IF(OR($R134="",$U134=""),"",$U134-$R134)</f>
        <v/>
      </c>
      <c r="AJ134" s="41" t="str">
        <f aca="false">IF(OR($U134="",$AB134=""),"",$AB134-$U134)</f>
        <v/>
      </c>
      <c r="AK134" s="41" t="str">
        <f aca="false">IF(OR($R134="",$AD134=""),"",$AD134-$R134)</f>
        <v/>
      </c>
      <c r="AL134" s="31"/>
      <c r="AM134" s="32"/>
      <c r="AN134" s="31" t="s">
        <v>135</v>
      </c>
    </row>
    <row r="135" customFormat="false" ht="15" hidden="false" customHeight="true" outlineLevel="0" collapsed="false">
      <c r="A135" s="38" t="n">
        <f aca="false">IF($B135="","",ROW()-3)</f>
        <v>132</v>
      </c>
      <c r="B135" s="31" t="s">
        <v>349</v>
      </c>
      <c r="C135" s="31" t="s">
        <v>350</v>
      </c>
      <c r="D135" s="31" t="s">
        <v>131</v>
      </c>
      <c r="E135" s="31" t="s">
        <v>365</v>
      </c>
      <c r="F135" s="32" t="n">
        <v>46081</v>
      </c>
      <c r="G135" s="32"/>
      <c r="H135" s="31" t="s">
        <v>139</v>
      </c>
      <c r="I135" s="31" t="s">
        <v>75</v>
      </c>
      <c r="J135" s="33" t="n">
        <v>60</v>
      </c>
      <c r="K135" s="34" t="n">
        <v>26780</v>
      </c>
      <c r="L135" s="34" t="n">
        <v>0</v>
      </c>
      <c r="M135" s="34" t="n">
        <v>0</v>
      </c>
      <c r="N135" s="39" t="n">
        <f aca="false">IF($K135="","",$K135-N($L135)-N($M135))</f>
        <v>26780</v>
      </c>
      <c r="O135" s="31" t="s">
        <v>68</v>
      </c>
      <c r="P135" s="31" t="s">
        <v>68</v>
      </c>
      <c r="Q135" s="31"/>
      <c r="R135" s="32"/>
      <c r="S135" s="32"/>
      <c r="T135" s="32"/>
      <c r="U135" s="32"/>
      <c r="V135" s="31" t="s">
        <v>134</v>
      </c>
      <c r="W135" s="40" t="n">
        <f aca="false">IF(OR($F135="",$J135=""),"",$F135+$J135)</f>
        <v>46141</v>
      </c>
      <c r="X135" s="32"/>
      <c r="Y135" s="34"/>
      <c r="Z135" s="31"/>
      <c r="AA135" s="31"/>
      <c r="AB135" s="32"/>
      <c r="AC135" s="31"/>
      <c r="AD135" s="32"/>
      <c r="AE135" s="31"/>
      <c r="AF135" s="41" t="str">
        <f aca="false">IF(OR($R135="",$S135=""),"",$S135-$R135)</f>
        <v/>
      </c>
      <c r="AG135" s="41" t="str">
        <f aca="false">IF(OR($S135="",$T135=""),"",$T135-$S135)</f>
        <v/>
      </c>
      <c r="AH135" s="41" t="str">
        <f aca="false">IF(OR($T135="",$U135=""),"",$U135-$T135)</f>
        <v/>
      </c>
      <c r="AI135" s="41" t="str">
        <f aca="false">IF(OR($R135="",$U135=""),"",$U135-$R135)</f>
        <v/>
      </c>
      <c r="AJ135" s="41" t="str">
        <f aca="false">IF(OR($U135="",$AB135=""),"",$AB135-$U135)</f>
        <v/>
      </c>
      <c r="AK135" s="41" t="str">
        <f aca="false">IF(OR($R135="",$AD135=""),"",$AD135-$R135)</f>
        <v/>
      </c>
      <c r="AL135" s="31"/>
      <c r="AM135" s="32"/>
      <c r="AN135" s="31" t="s">
        <v>135</v>
      </c>
    </row>
    <row r="136" customFormat="false" ht="15" hidden="false" customHeight="true" outlineLevel="0" collapsed="false">
      <c r="A136" s="38" t="n">
        <f aca="false">IF($B136="","",ROW()-3)</f>
        <v>133</v>
      </c>
      <c r="B136" s="31" t="s">
        <v>349</v>
      </c>
      <c r="C136" s="31" t="s">
        <v>350</v>
      </c>
      <c r="D136" s="31" t="s">
        <v>131</v>
      </c>
      <c r="E136" s="31" t="s">
        <v>366</v>
      </c>
      <c r="F136" s="32" t="n">
        <v>46081</v>
      </c>
      <c r="G136" s="32"/>
      <c r="H136" s="31" t="s">
        <v>139</v>
      </c>
      <c r="I136" s="31" t="s">
        <v>67</v>
      </c>
      <c r="J136" s="33" t="n">
        <v>60</v>
      </c>
      <c r="K136" s="34" t="n">
        <v>382660.61</v>
      </c>
      <c r="L136" s="34" t="n">
        <v>0</v>
      </c>
      <c r="M136" s="34" t="n">
        <v>0</v>
      </c>
      <c r="N136" s="39" t="n">
        <f aca="false">IF($K136="","",$K136-N($L136)-N($M136))</f>
        <v>382660.61</v>
      </c>
      <c r="O136" s="31" t="s">
        <v>68</v>
      </c>
      <c r="P136" s="31" t="s">
        <v>68</v>
      </c>
      <c r="Q136" s="31"/>
      <c r="R136" s="32"/>
      <c r="S136" s="32"/>
      <c r="T136" s="32"/>
      <c r="U136" s="32"/>
      <c r="V136" s="31" t="s">
        <v>134</v>
      </c>
      <c r="W136" s="40" t="n">
        <f aca="false">IF(OR($F136="",$J136=""),"",$F136+$J136)</f>
        <v>46141</v>
      </c>
      <c r="X136" s="32"/>
      <c r="Y136" s="34"/>
      <c r="Z136" s="31"/>
      <c r="AA136" s="31"/>
      <c r="AB136" s="32"/>
      <c r="AC136" s="31"/>
      <c r="AD136" s="32"/>
      <c r="AE136" s="31"/>
      <c r="AF136" s="41" t="str">
        <f aca="false">IF(OR($R136="",$S136=""),"",$S136-$R136)</f>
        <v/>
      </c>
      <c r="AG136" s="41" t="str">
        <f aca="false">IF(OR($S136="",$T136=""),"",$T136-$S136)</f>
        <v/>
      </c>
      <c r="AH136" s="41" t="str">
        <f aca="false">IF(OR($T136="",$U136=""),"",$U136-$T136)</f>
        <v/>
      </c>
      <c r="AI136" s="41" t="str">
        <f aca="false">IF(OR($R136="",$U136=""),"",$U136-$R136)</f>
        <v/>
      </c>
      <c r="AJ136" s="41" t="str">
        <f aca="false">IF(OR($U136="",$AB136=""),"",$AB136-$U136)</f>
        <v/>
      </c>
      <c r="AK136" s="41" t="str">
        <f aca="false">IF(OR($R136="",$AD136=""),"",$AD136-$R136)</f>
        <v/>
      </c>
      <c r="AL136" s="31"/>
      <c r="AM136" s="32"/>
      <c r="AN136" s="31" t="s">
        <v>135</v>
      </c>
    </row>
    <row r="137" customFormat="false" ht="15" hidden="false" customHeight="true" outlineLevel="0" collapsed="false">
      <c r="A137" s="38" t="n">
        <f aca="false">IF($B137="","",ROW()-3)</f>
        <v>134</v>
      </c>
      <c r="B137" s="31" t="s">
        <v>349</v>
      </c>
      <c r="C137" s="31" t="s">
        <v>350</v>
      </c>
      <c r="D137" s="31" t="s">
        <v>131</v>
      </c>
      <c r="E137" s="31" t="s">
        <v>367</v>
      </c>
      <c r="F137" s="32" t="n">
        <v>46081</v>
      </c>
      <c r="G137" s="32"/>
      <c r="H137" s="31" t="s">
        <v>139</v>
      </c>
      <c r="I137" s="31" t="s">
        <v>71</v>
      </c>
      <c r="J137" s="33" t="n">
        <v>60</v>
      </c>
      <c r="K137" s="34" t="n">
        <v>2541207.48</v>
      </c>
      <c r="L137" s="34" t="n">
        <v>24000</v>
      </c>
      <c r="M137" s="34" t="n">
        <v>0</v>
      </c>
      <c r="N137" s="39" t="n">
        <f aca="false">IF($K137="","",$K137-N($L137)-N($M137))</f>
        <v>2517207.48</v>
      </c>
      <c r="O137" s="31" t="s">
        <v>68</v>
      </c>
      <c r="P137" s="31" t="s">
        <v>68</v>
      </c>
      <c r="Q137" s="31"/>
      <c r="R137" s="32"/>
      <c r="S137" s="32"/>
      <c r="T137" s="32"/>
      <c r="U137" s="32"/>
      <c r="V137" s="31" t="s">
        <v>134</v>
      </c>
      <c r="W137" s="40" t="n">
        <f aca="false">IF(OR($F137="",$J137=""),"",$F137+$J137)</f>
        <v>46141</v>
      </c>
      <c r="X137" s="32"/>
      <c r="Y137" s="34"/>
      <c r="Z137" s="31"/>
      <c r="AA137" s="31"/>
      <c r="AB137" s="32"/>
      <c r="AC137" s="31"/>
      <c r="AD137" s="32"/>
      <c r="AE137" s="31"/>
      <c r="AF137" s="41" t="str">
        <f aca="false">IF(OR($R137="",$S137=""),"",$S137-$R137)</f>
        <v/>
      </c>
      <c r="AG137" s="41" t="str">
        <f aca="false">IF(OR($S137="",$T137=""),"",$T137-$S137)</f>
        <v/>
      </c>
      <c r="AH137" s="41" t="str">
        <f aca="false">IF(OR($T137="",$U137=""),"",$U137-$T137)</f>
        <v/>
      </c>
      <c r="AI137" s="41" t="str">
        <f aca="false">IF(OR($R137="",$U137=""),"",$U137-$R137)</f>
        <v/>
      </c>
      <c r="AJ137" s="41" t="str">
        <f aca="false">IF(OR($U137="",$AB137=""),"",$AB137-$U137)</f>
        <v/>
      </c>
      <c r="AK137" s="41" t="str">
        <f aca="false">IF(OR($R137="",$AD137=""),"",$AD137-$R137)</f>
        <v/>
      </c>
      <c r="AL137" s="31"/>
      <c r="AM137" s="32"/>
      <c r="AN137" s="31" t="s">
        <v>135</v>
      </c>
    </row>
    <row r="138" customFormat="false" ht="15" hidden="false" customHeight="true" outlineLevel="0" collapsed="false">
      <c r="A138" s="38" t="n">
        <f aca="false">IF($B138="","",ROW()-3)</f>
        <v>135</v>
      </c>
      <c r="B138" s="31" t="s">
        <v>349</v>
      </c>
      <c r="C138" s="31" t="s">
        <v>350</v>
      </c>
      <c r="D138" s="31" t="s">
        <v>131</v>
      </c>
      <c r="E138" s="31" t="s">
        <v>368</v>
      </c>
      <c r="F138" s="32" t="n">
        <v>46081</v>
      </c>
      <c r="G138" s="32"/>
      <c r="H138" s="31" t="s">
        <v>139</v>
      </c>
      <c r="I138" s="31" t="s">
        <v>71</v>
      </c>
      <c r="J138" s="33" t="n">
        <v>60</v>
      </c>
      <c r="K138" s="34" t="n">
        <v>267231.98</v>
      </c>
      <c r="L138" s="34" t="n">
        <v>2690</v>
      </c>
      <c r="M138" s="34" t="n">
        <v>0</v>
      </c>
      <c r="N138" s="39" t="n">
        <f aca="false">IF($K138="","",$K138-N($L138)-N($M138))</f>
        <v>264541.98</v>
      </c>
      <c r="O138" s="31" t="s">
        <v>68</v>
      </c>
      <c r="P138" s="31" t="s">
        <v>68</v>
      </c>
      <c r="Q138" s="31"/>
      <c r="R138" s="32"/>
      <c r="S138" s="32"/>
      <c r="T138" s="32"/>
      <c r="U138" s="32"/>
      <c r="V138" s="31" t="s">
        <v>134</v>
      </c>
      <c r="W138" s="40" t="n">
        <f aca="false">IF(OR($F138="",$J138=""),"",$F138+$J138)</f>
        <v>46141</v>
      </c>
      <c r="X138" s="32"/>
      <c r="Y138" s="34"/>
      <c r="Z138" s="31"/>
      <c r="AA138" s="31"/>
      <c r="AB138" s="32"/>
      <c r="AC138" s="31"/>
      <c r="AD138" s="32"/>
      <c r="AE138" s="31"/>
      <c r="AF138" s="41" t="str">
        <f aca="false">IF(OR($R138="",$S138=""),"",$S138-$R138)</f>
        <v/>
      </c>
      <c r="AG138" s="41" t="str">
        <f aca="false">IF(OR($S138="",$T138=""),"",$T138-$S138)</f>
        <v/>
      </c>
      <c r="AH138" s="41" t="str">
        <f aca="false">IF(OR($T138="",$U138=""),"",$U138-$T138)</f>
        <v/>
      </c>
      <c r="AI138" s="41" t="str">
        <f aca="false">IF(OR($R138="",$U138=""),"",$U138-$R138)</f>
        <v/>
      </c>
      <c r="AJ138" s="41" t="str">
        <f aca="false">IF(OR($U138="",$AB138=""),"",$AB138-$U138)</f>
        <v/>
      </c>
      <c r="AK138" s="41" t="str">
        <f aca="false">IF(OR($R138="",$AD138=""),"",$AD138-$R138)</f>
        <v/>
      </c>
      <c r="AL138" s="31"/>
      <c r="AM138" s="32"/>
      <c r="AN138" s="31" t="s">
        <v>135</v>
      </c>
    </row>
    <row r="139" customFormat="false" ht="15" hidden="false" customHeight="true" outlineLevel="0" collapsed="false">
      <c r="A139" s="38" t="n">
        <f aca="false">IF($B139="","",ROW()-3)</f>
        <v>136</v>
      </c>
      <c r="B139" s="31" t="s">
        <v>349</v>
      </c>
      <c r="C139" s="31" t="s">
        <v>350</v>
      </c>
      <c r="D139" s="31" t="s">
        <v>131</v>
      </c>
      <c r="E139" s="31" t="s">
        <v>369</v>
      </c>
      <c r="F139" s="32" t="n">
        <v>46081</v>
      </c>
      <c r="G139" s="32"/>
      <c r="H139" s="31" t="s">
        <v>139</v>
      </c>
      <c r="I139" s="31" t="s">
        <v>69</v>
      </c>
      <c r="J139" s="33" t="n">
        <v>60</v>
      </c>
      <c r="K139" s="34" t="n">
        <v>104357.8</v>
      </c>
      <c r="L139" s="34" t="n">
        <v>0</v>
      </c>
      <c r="M139" s="34" t="n">
        <v>0</v>
      </c>
      <c r="N139" s="39" t="n">
        <f aca="false">IF($K139="","",$K139-N($L139)-N($M139))</f>
        <v>104357.8</v>
      </c>
      <c r="O139" s="31" t="s">
        <v>68</v>
      </c>
      <c r="P139" s="31" t="s">
        <v>68</v>
      </c>
      <c r="Q139" s="31"/>
      <c r="R139" s="32"/>
      <c r="S139" s="32"/>
      <c r="T139" s="32"/>
      <c r="U139" s="32"/>
      <c r="V139" s="31" t="s">
        <v>134</v>
      </c>
      <c r="W139" s="40" t="n">
        <f aca="false">IF(OR($F139="",$J139=""),"",$F139+$J139)</f>
        <v>46141</v>
      </c>
      <c r="X139" s="32"/>
      <c r="Y139" s="34"/>
      <c r="Z139" s="31"/>
      <c r="AA139" s="31"/>
      <c r="AB139" s="32"/>
      <c r="AC139" s="31"/>
      <c r="AD139" s="32"/>
      <c r="AE139" s="31"/>
      <c r="AF139" s="41" t="str">
        <f aca="false">IF(OR($R139="",$S139=""),"",$S139-$R139)</f>
        <v/>
      </c>
      <c r="AG139" s="41" t="str">
        <f aca="false">IF(OR($S139="",$T139=""),"",$T139-$S139)</f>
        <v/>
      </c>
      <c r="AH139" s="41" t="str">
        <f aca="false">IF(OR($T139="",$U139=""),"",$U139-$T139)</f>
        <v/>
      </c>
      <c r="AI139" s="41" t="str">
        <f aca="false">IF(OR($R139="",$U139=""),"",$U139-$R139)</f>
        <v/>
      </c>
      <c r="AJ139" s="41" t="str">
        <f aca="false">IF(OR($U139="",$AB139=""),"",$AB139-$U139)</f>
        <v/>
      </c>
      <c r="AK139" s="41" t="str">
        <f aca="false">IF(OR($R139="",$AD139=""),"",$AD139-$R139)</f>
        <v/>
      </c>
      <c r="AL139" s="31"/>
      <c r="AM139" s="32"/>
      <c r="AN139" s="31" t="s">
        <v>135</v>
      </c>
    </row>
    <row r="140" customFormat="false" ht="15" hidden="false" customHeight="true" outlineLevel="0" collapsed="false">
      <c r="A140" s="38" t="n">
        <f aca="false">IF($B140="","",ROW()-3)</f>
        <v>137</v>
      </c>
      <c r="B140" s="31" t="s">
        <v>349</v>
      </c>
      <c r="C140" s="31" t="s">
        <v>350</v>
      </c>
      <c r="D140" s="31" t="s">
        <v>131</v>
      </c>
      <c r="E140" s="31" t="s">
        <v>370</v>
      </c>
      <c r="F140" s="32" t="n">
        <v>46081</v>
      </c>
      <c r="G140" s="32"/>
      <c r="H140" s="31" t="s">
        <v>139</v>
      </c>
      <c r="I140" s="31" t="s">
        <v>67</v>
      </c>
      <c r="J140" s="33" t="n">
        <v>60</v>
      </c>
      <c r="K140" s="34" t="n">
        <v>493759</v>
      </c>
      <c r="L140" s="34" t="n">
        <v>0</v>
      </c>
      <c r="M140" s="34" t="n">
        <v>0</v>
      </c>
      <c r="N140" s="39" t="n">
        <f aca="false">IF($K140="","",$K140-N($L140)-N($M140))</f>
        <v>493759</v>
      </c>
      <c r="O140" s="31" t="s">
        <v>68</v>
      </c>
      <c r="P140" s="31" t="s">
        <v>68</v>
      </c>
      <c r="Q140" s="31"/>
      <c r="R140" s="32"/>
      <c r="S140" s="32"/>
      <c r="T140" s="32"/>
      <c r="U140" s="32"/>
      <c r="V140" s="31" t="s">
        <v>134</v>
      </c>
      <c r="W140" s="40" t="n">
        <f aca="false">IF(OR($F140="",$J140=""),"",$F140+$J140)</f>
        <v>46141</v>
      </c>
      <c r="X140" s="32"/>
      <c r="Y140" s="34"/>
      <c r="Z140" s="31"/>
      <c r="AA140" s="31"/>
      <c r="AB140" s="32"/>
      <c r="AC140" s="31"/>
      <c r="AD140" s="32"/>
      <c r="AE140" s="31"/>
      <c r="AF140" s="41" t="str">
        <f aca="false">IF(OR($R140="",$S140=""),"",$S140-$R140)</f>
        <v/>
      </c>
      <c r="AG140" s="41" t="str">
        <f aca="false">IF(OR($S140="",$T140=""),"",$T140-$S140)</f>
        <v/>
      </c>
      <c r="AH140" s="41" t="str">
        <f aca="false">IF(OR($T140="",$U140=""),"",$U140-$T140)</f>
        <v/>
      </c>
      <c r="AI140" s="41" t="str">
        <f aca="false">IF(OR($R140="",$U140=""),"",$U140-$R140)</f>
        <v/>
      </c>
      <c r="AJ140" s="41" t="str">
        <f aca="false">IF(OR($U140="",$AB140=""),"",$AB140-$U140)</f>
        <v/>
      </c>
      <c r="AK140" s="41" t="str">
        <f aca="false">IF(OR($R140="",$AD140=""),"",$AD140-$R140)</f>
        <v/>
      </c>
      <c r="AL140" s="31"/>
      <c r="AM140" s="32"/>
      <c r="AN140" s="31" t="s">
        <v>135</v>
      </c>
    </row>
    <row r="141" customFormat="false" ht="15" hidden="false" customHeight="true" outlineLevel="0" collapsed="false">
      <c r="A141" s="38" t="n">
        <f aca="false">IF($B141="","",ROW()-3)</f>
        <v>138</v>
      </c>
      <c r="B141" s="31" t="s">
        <v>349</v>
      </c>
      <c r="C141" s="31" t="s">
        <v>350</v>
      </c>
      <c r="D141" s="31" t="s">
        <v>131</v>
      </c>
      <c r="E141" s="31" t="s">
        <v>371</v>
      </c>
      <c r="F141" s="32" t="n">
        <v>46081</v>
      </c>
      <c r="G141" s="32"/>
      <c r="H141" s="31" t="s">
        <v>139</v>
      </c>
      <c r="I141" s="31" t="s">
        <v>71</v>
      </c>
      <c r="J141" s="33" t="n">
        <v>60</v>
      </c>
      <c r="K141" s="34" t="n">
        <v>351095.23</v>
      </c>
      <c r="L141" s="34" t="n">
        <v>0</v>
      </c>
      <c r="M141" s="34" t="n">
        <v>0</v>
      </c>
      <c r="N141" s="39" t="n">
        <f aca="false">IF($K141="","",$K141-N($L141)-N($M141))</f>
        <v>351095.23</v>
      </c>
      <c r="O141" s="31" t="s">
        <v>68</v>
      </c>
      <c r="P141" s="31" t="s">
        <v>68</v>
      </c>
      <c r="Q141" s="31"/>
      <c r="R141" s="32"/>
      <c r="S141" s="32"/>
      <c r="T141" s="32"/>
      <c r="U141" s="32"/>
      <c r="V141" s="31" t="s">
        <v>134</v>
      </c>
      <c r="W141" s="40" t="n">
        <f aca="false">IF(OR($F141="",$J141=""),"",$F141+$J141)</f>
        <v>46141</v>
      </c>
      <c r="X141" s="32"/>
      <c r="Y141" s="34"/>
      <c r="Z141" s="31"/>
      <c r="AA141" s="31"/>
      <c r="AB141" s="32"/>
      <c r="AC141" s="31"/>
      <c r="AD141" s="32"/>
      <c r="AE141" s="31"/>
      <c r="AF141" s="41" t="str">
        <f aca="false">IF(OR($R141="",$S141=""),"",$S141-$R141)</f>
        <v/>
      </c>
      <c r="AG141" s="41" t="str">
        <f aca="false">IF(OR($S141="",$T141=""),"",$T141-$S141)</f>
        <v/>
      </c>
      <c r="AH141" s="41" t="str">
        <f aca="false">IF(OR($T141="",$U141=""),"",$U141-$T141)</f>
        <v/>
      </c>
      <c r="AI141" s="41" t="str">
        <f aca="false">IF(OR($R141="",$U141=""),"",$U141-$R141)</f>
        <v/>
      </c>
      <c r="AJ141" s="41" t="str">
        <f aca="false">IF(OR($U141="",$AB141=""),"",$AB141-$U141)</f>
        <v/>
      </c>
      <c r="AK141" s="41" t="str">
        <f aca="false">IF(OR($R141="",$AD141=""),"",$AD141-$R141)</f>
        <v/>
      </c>
      <c r="AL141" s="31"/>
      <c r="AM141" s="32"/>
      <c r="AN141" s="31" t="s">
        <v>135</v>
      </c>
    </row>
    <row r="142" customFormat="false" ht="15" hidden="false" customHeight="true" outlineLevel="0" collapsed="false">
      <c r="A142" s="38" t="n">
        <f aca="false">IF($B142="","",ROW()-3)</f>
        <v>139</v>
      </c>
      <c r="B142" s="31" t="s">
        <v>349</v>
      </c>
      <c r="C142" s="31" t="s">
        <v>350</v>
      </c>
      <c r="D142" s="31" t="s">
        <v>131</v>
      </c>
      <c r="E142" s="31" t="s">
        <v>372</v>
      </c>
      <c r="F142" s="32" t="n">
        <v>46081</v>
      </c>
      <c r="G142" s="32"/>
      <c r="H142" s="31" t="s">
        <v>139</v>
      </c>
      <c r="I142" s="31" t="s">
        <v>69</v>
      </c>
      <c r="J142" s="33" t="n">
        <v>60</v>
      </c>
      <c r="K142" s="34" t="n">
        <v>555979.76</v>
      </c>
      <c r="L142" s="34" t="n">
        <v>0</v>
      </c>
      <c r="M142" s="34" t="n">
        <v>0</v>
      </c>
      <c r="N142" s="39" t="n">
        <f aca="false">IF($K142="","",$K142-N($L142)-N($M142))</f>
        <v>555979.76</v>
      </c>
      <c r="O142" s="31" t="s">
        <v>68</v>
      </c>
      <c r="P142" s="31" t="s">
        <v>68</v>
      </c>
      <c r="Q142" s="31"/>
      <c r="R142" s="32"/>
      <c r="S142" s="32"/>
      <c r="T142" s="32"/>
      <c r="U142" s="32"/>
      <c r="V142" s="31" t="s">
        <v>134</v>
      </c>
      <c r="W142" s="40" t="n">
        <f aca="false">IF(OR($F142="",$J142=""),"",$F142+$J142)</f>
        <v>46141</v>
      </c>
      <c r="X142" s="32"/>
      <c r="Y142" s="34"/>
      <c r="Z142" s="31"/>
      <c r="AA142" s="31"/>
      <c r="AB142" s="32"/>
      <c r="AC142" s="31"/>
      <c r="AD142" s="32"/>
      <c r="AE142" s="31"/>
      <c r="AF142" s="41" t="str">
        <f aca="false">IF(OR($R142="",$S142=""),"",$S142-$R142)</f>
        <v/>
      </c>
      <c r="AG142" s="41" t="str">
        <f aca="false">IF(OR($S142="",$T142=""),"",$T142-$S142)</f>
        <v/>
      </c>
      <c r="AH142" s="41" t="str">
        <f aca="false">IF(OR($T142="",$U142=""),"",$U142-$T142)</f>
        <v/>
      </c>
      <c r="AI142" s="41" t="str">
        <f aca="false">IF(OR($R142="",$U142=""),"",$U142-$R142)</f>
        <v/>
      </c>
      <c r="AJ142" s="41" t="str">
        <f aca="false">IF(OR($U142="",$AB142=""),"",$AB142-$U142)</f>
        <v/>
      </c>
      <c r="AK142" s="41" t="str">
        <f aca="false">IF(OR($R142="",$AD142=""),"",$AD142-$R142)</f>
        <v/>
      </c>
      <c r="AL142" s="31"/>
      <c r="AM142" s="32"/>
      <c r="AN142" s="31" t="s">
        <v>135</v>
      </c>
    </row>
    <row r="143" customFormat="false" ht="15" hidden="false" customHeight="true" outlineLevel="0" collapsed="false">
      <c r="A143" s="38" t="n">
        <f aca="false">IF($B143="","",ROW()-3)</f>
        <v>140</v>
      </c>
      <c r="B143" s="31" t="s">
        <v>349</v>
      </c>
      <c r="C143" s="31" t="s">
        <v>350</v>
      </c>
      <c r="D143" s="31" t="s">
        <v>131</v>
      </c>
      <c r="E143" s="31" t="s">
        <v>373</v>
      </c>
      <c r="F143" s="32" t="n">
        <v>46081</v>
      </c>
      <c r="G143" s="32"/>
      <c r="H143" s="31" t="s">
        <v>139</v>
      </c>
      <c r="I143" s="31" t="s">
        <v>69</v>
      </c>
      <c r="J143" s="33" t="n">
        <v>60</v>
      </c>
      <c r="K143" s="34" t="n">
        <v>335272.56</v>
      </c>
      <c r="L143" s="34" t="n">
        <v>41844.78</v>
      </c>
      <c r="M143" s="34" t="n">
        <v>0</v>
      </c>
      <c r="N143" s="39" t="n">
        <f aca="false">IF($K143="","",$K143-N($L143)-N($M143))</f>
        <v>293427.78</v>
      </c>
      <c r="O143" s="31" t="s">
        <v>68</v>
      </c>
      <c r="P143" s="31" t="s">
        <v>68</v>
      </c>
      <c r="Q143" s="31"/>
      <c r="R143" s="32"/>
      <c r="S143" s="32"/>
      <c r="T143" s="32"/>
      <c r="U143" s="32"/>
      <c r="V143" s="31" t="s">
        <v>134</v>
      </c>
      <c r="W143" s="40" t="n">
        <f aca="false">IF(OR($F143="",$J143=""),"",$F143+$J143)</f>
        <v>46141</v>
      </c>
      <c r="X143" s="32"/>
      <c r="Y143" s="34"/>
      <c r="Z143" s="31"/>
      <c r="AA143" s="31"/>
      <c r="AB143" s="32"/>
      <c r="AC143" s="31"/>
      <c r="AD143" s="32"/>
      <c r="AE143" s="31"/>
      <c r="AF143" s="41" t="str">
        <f aca="false">IF(OR($R143="",$S143=""),"",$S143-$R143)</f>
        <v/>
      </c>
      <c r="AG143" s="41" t="str">
        <f aca="false">IF(OR($S143="",$T143=""),"",$T143-$S143)</f>
        <v/>
      </c>
      <c r="AH143" s="41" t="str">
        <f aca="false">IF(OR($T143="",$U143=""),"",$U143-$T143)</f>
        <v/>
      </c>
      <c r="AI143" s="41" t="str">
        <f aca="false">IF(OR($R143="",$U143=""),"",$U143-$R143)</f>
        <v/>
      </c>
      <c r="AJ143" s="41" t="str">
        <f aca="false">IF(OR($U143="",$AB143=""),"",$AB143-$U143)</f>
        <v/>
      </c>
      <c r="AK143" s="41" t="str">
        <f aca="false">IF(OR($R143="",$AD143=""),"",$AD143-$R143)</f>
        <v/>
      </c>
      <c r="AL143" s="31"/>
      <c r="AM143" s="32"/>
      <c r="AN143" s="31" t="s">
        <v>135</v>
      </c>
    </row>
    <row r="144" customFormat="false" ht="15" hidden="false" customHeight="true" outlineLevel="0" collapsed="false">
      <c r="A144" s="38" t="n">
        <f aca="false">IF($B144="","",ROW()-3)</f>
        <v>141</v>
      </c>
      <c r="B144" s="31" t="s">
        <v>349</v>
      </c>
      <c r="C144" s="31" t="s">
        <v>350</v>
      </c>
      <c r="D144" s="31" t="s">
        <v>131</v>
      </c>
      <c r="E144" s="31" t="s">
        <v>374</v>
      </c>
      <c r="F144" s="32" t="n">
        <v>46081</v>
      </c>
      <c r="G144" s="32"/>
      <c r="H144" s="31" t="s">
        <v>139</v>
      </c>
      <c r="I144" s="31" t="s">
        <v>67</v>
      </c>
      <c r="J144" s="33" t="n">
        <v>60</v>
      </c>
      <c r="K144" s="34" t="n">
        <v>2475805.44</v>
      </c>
      <c r="L144" s="34" t="n">
        <v>20132</v>
      </c>
      <c r="M144" s="34" t="n">
        <v>0</v>
      </c>
      <c r="N144" s="39" t="n">
        <f aca="false">IF($K144="","",$K144-N($L144)-N($M144))</f>
        <v>2455673.44</v>
      </c>
      <c r="O144" s="31" t="s">
        <v>68</v>
      </c>
      <c r="P144" s="31" t="s">
        <v>68</v>
      </c>
      <c r="Q144" s="31"/>
      <c r="R144" s="32"/>
      <c r="S144" s="32"/>
      <c r="T144" s="32"/>
      <c r="U144" s="32"/>
      <c r="V144" s="31" t="s">
        <v>134</v>
      </c>
      <c r="W144" s="40" t="n">
        <f aca="false">IF(OR($F144="",$J144=""),"",$F144+$J144)</f>
        <v>46141</v>
      </c>
      <c r="X144" s="32"/>
      <c r="Y144" s="34"/>
      <c r="Z144" s="31"/>
      <c r="AA144" s="31"/>
      <c r="AB144" s="32"/>
      <c r="AC144" s="31"/>
      <c r="AD144" s="32"/>
      <c r="AE144" s="31"/>
      <c r="AF144" s="41" t="str">
        <f aca="false">IF(OR($R144="",$S144=""),"",$S144-$R144)</f>
        <v/>
      </c>
      <c r="AG144" s="41" t="str">
        <f aca="false">IF(OR($S144="",$T144=""),"",$T144-$S144)</f>
        <v/>
      </c>
      <c r="AH144" s="41" t="str">
        <f aca="false">IF(OR($T144="",$U144=""),"",$U144-$T144)</f>
        <v/>
      </c>
      <c r="AI144" s="41" t="str">
        <f aca="false">IF(OR($R144="",$U144=""),"",$U144-$R144)</f>
        <v/>
      </c>
      <c r="AJ144" s="41" t="str">
        <f aca="false">IF(OR($U144="",$AB144=""),"",$AB144-$U144)</f>
        <v/>
      </c>
      <c r="AK144" s="41" t="str">
        <f aca="false">IF(OR($R144="",$AD144=""),"",$AD144-$R144)</f>
        <v/>
      </c>
      <c r="AL144" s="31"/>
      <c r="AM144" s="32"/>
      <c r="AN144" s="31" t="s">
        <v>135</v>
      </c>
    </row>
    <row r="145" customFormat="false" ht="15" hidden="false" customHeight="true" outlineLevel="0" collapsed="false">
      <c r="A145" s="38" t="n">
        <f aca="false">IF($B145="","",ROW()-3)</f>
        <v>142</v>
      </c>
      <c r="B145" s="31" t="s">
        <v>349</v>
      </c>
      <c r="C145" s="31" t="s">
        <v>350</v>
      </c>
      <c r="D145" s="31" t="s">
        <v>131</v>
      </c>
      <c r="E145" s="31" t="s">
        <v>375</v>
      </c>
      <c r="F145" s="32" t="n">
        <v>46081</v>
      </c>
      <c r="G145" s="32"/>
      <c r="H145" s="31" t="s">
        <v>139</v>
      </c>
      <c r="I145" s="31" t="s">
        <v>71</v>
      </c>
      <c r="J145" s="33" t="n">
        <v>60</v>
      </c>
      <c r="K145" s="34" t="n">
        <v>681352.06</v>
      </c>
      <c r="L145" s="34" t="n">
        <v>29600</v>
      </c>
      <c r="M145" s="34" t="n">
        <v>0</v>
      </c>
      <c r="N145" s="39" t="n">
        <f aca="false">IF($K145="","",$K145-N($L145)-N($M145))</f>
        <v>651752.06</v>
      </c>
      <c r="O145" s="31" t="s">
        <v>68</v>
      </c>
      <c r="P145" s="31" t="s">
        <v>68</v>
      </c>
      <c r="Q145" s="31"/>
      <c r="R145" s="32"/>
      <c r="S145" s="32"/>
      <c r="T145" s="32"/>
      <c r="U145" s="32"/>
      <c r="V145" s="31" t="s">
        <v>134</v>
      </c>
      <c r="W145" s="40" t="n">
        <f aca="false">IF(OR($F145="",$J145=""),"",$F145+$J145)</f>
        <v>46141</v>
      </c>
      <c r="X145" s="32"/>
      <c r="Y145" s="34"/>
      <c r="Z145" s="31"/>
      <c r="AA145" s="31"/>
      <c r="AB145" s="32"/>
      <c r="AC145" s="31"/>
      <c r="AD145" s="32"/>
      <c r="AE145" s="31"/>
      <c r="AF145" s="41" t="str">
        <f aca="false">IF(OR($R145="",$S145=""),"",$S145-$R145)</f>
        <v/>
      </c>
      <c r="AG145" s="41" t="str">
        <f aca="false">IF(OR($S145="",$T145=""),"",$T145-$S145)</f>
        <v/>
      </c>
      <c r="AH145" s="41" t="str">
        <f aca="false">IF(OR($T145="",$U145=""),"",$U145-$T145)</f>
        <v/>
      </c>
      <c r="AI145" s="41" t="str">
        <f aca="false">IF(OR($R145="",$U145=""),"",$U145-$R145)</f>
        <v/>
      </c>
      <c r="AJ145" s="41" t="str">
        <f aca="false">IF(OR($U145="",$AB145=""),"",$AB145-$U145)</f>
        <v/>
      </c>
      <c r="AK145" s="41" t="str">
        <f aca="false">IF(OR($R145="",$AD145=""),"",$AD145-$R145)</f>
        <v/>
      </c>
      <c r="AL145" s="31"/>
      <c r="AM145" s="32"/>
      <c r="AN145" s="31" t="s">
        <v>135</v>
      </c>
    </row>
    <row r="146" customFormat="false" ht="15" hidden="false" customHeight="true" outlineLevel="0" collapsed="false">
      <c r="A146" s="38" t="n">
        <f aca="false">IF($B146="","",ROW()-3)</f>
        <v>143</v>
      </c>
      <c r="B146" s="31" t="s">
        <v>376</v>
      </c>
      <c r="C146" s="31" t="s">
        <v>377</v>
      </c>
      <c r="D146" s="31" t="s">
        <v>131</v>
      </c>
      <c r="E146" s="31" t="s">
        <v>378</v>
      </c>
      <c r="F146" s="32" t="n">
        <v>46086</v>
      </c>
      <c r="G146" s="32"/>
      <c r="H146" s="31" t="s">
        <v>139</v>
      </c>
      <c r="I146" s="31" t="s">
        <v>67</v>
      </c>
      <c r="J146" s="33" t="n">
        <v>45</v>
      </c>
      <c r="K146" s="34" t="n">
        <v>138804</v>
      </c>
      <c r="L146" s="34" t="n">
        <v>0</v>
      </c>
      <c r="M146" s="34" t="n">
        <v>0</v>
      </c>
      <c r="N146" s="39" t="n">
        <f aca="false">IF($K146="","",$K146-N($L146)-N($M146))</f>
        <v>138804</v>
      </c>
      <c r="O146" s="31" t="s">
        <v>68</v>
      </c>
      <c r="P146" s="31" t="s">
        <v>68</v>
      </c>
      <c r="Q146" s="31"/>
      <c r="R146" s="32"/>
      <c r="S146" s="32"/>
      <c r="T146" s="32"/>
      <c r="U146" s="32"/>
      <c r="V146" s="31" t="s">
        <v>134</v>
      </c>
      <c r="W146" s="40" t="n">
        <f aca="false">IF(OR($F146="",$J146=""),"",$F146+$J146)</f>
        <v>46131</v>
      </c>
      <c r="X146" s="32"/>
      <c r="Y146" s="34"/>
      <c r="Z146" s="31"/>
      <c r="AA146" s="31"/>
      <c r="AB146" s="32"/>
      <c r="AC146" s="31"/>
      <c r="AD146" s="32"/>
      <c r="AE146" s="31"/>
      <c r="AF146" s="41" t="str">
        <f aca="false">IF(OR($R146="",$S146=""),"",$S146-$R146)</f>
        <v/>
      </c>
      <c r="AG146" s="41" t="str">
        <f aca="false">IF(OR($S146="",$T146=""),"",$T146-$S146)</f>
        <v/>
      </c>
      <c r="AH146" s="41" t="str">
        <f aca="false">IF(OR($T146="",$U146=""),"",$U146-$T146)</f>
        <v/>
      </c>
      <c r="AI146" s="41" t="str">
        <f aca="false">IF(OR($R146="",$U146=""),"",$U146-$R146)</f>
        <v/>
      </c>
      <c r="AJ146" s="41" t="str">
        <f aca="false">IF(OR($U146="",$AB146=""),"",$AB146-$U146)</f>
        <v/>
      </c>
      <c r="AK146" s="41" t="str">
        <f aca="false">IF(OR($R146="",$AD146=""),"",$AD146-$R146)</f>
        <v/>
      </c>
      <c r="AL146" s="31"/>
      <c r="AM146" s="32"/>
      <c r="AN146" s="31" t="s">
        <v>135</v>
      </c>
    </row>
    <row r="147" customFormat="false" ht="15" hidden="false" customHeight="true" outlineLevel="0" collapsed="false">
      <c r="A147" s="38" t="n">
        <f aca="false">IF($B147="","",ROW()-3)</f>
        <v>144</v>
      </c>
      <c r="B147" s="31" t="s">
        <v>376</v>
      </c>
      <c r="C147" s="31" t="s">
        <v>377</v>
      </c>
      <c r="D147" s="31" t="s">
        <v>131</v>
      </c>
      <c r="E147" s="31" t="s">
        <v>379</v>
      </c>
      <c r="F147" s="32" t="n">
        <v>46086</v>
      </c>
      <c r="G147" s="32"/>
      <c r="H147" s="31" t="s">
        <v>139</v>
      </c>
      <c r="I147" s="31" t="s">
        <v>71</v>
      </c>
      <c r="J147" s="33" t="n">
        <v>45</v>
      </c>
      <c r="K147" s="34" t="n">
        <v>41438</v>
      </c>
      <c r="L147" s="34" t="n">
        <v>0</v>
      </c>
      <c r="M147" s="34" t="n">
        <v>0</v>
      </c>
      <c r="N147" s="39" t="n">
        <f aca="false">IF($K147="","",$K147-N($L147)-N($M147))</f>
        <v>41438</v>
      </c>
      <c r="O147" s="31" t="s">
        <v>68</v>
      </c>
      <c r="P147" s="31" t="s">
        <v>68</v>
      </c>
      <c r="Q147" s="31"/>
      <c r="R147" s="32"/>
      <c r="S147" s="32"/>
      <c r="T147" s="32"/>
      <c r="U147" s="32"/>
      <c r="V147" s="31" t="s">
        <v>134</v>
      </c>
      <c r="W147" s="40" t="n">
        <f aca="false">IF(OR($F147="",$J147=""),"",$F147+$J147)</f>
        <v>46131</v>
      </c>
      <c r="X147" s="32"/>
      <c r="Y147" s="34"/>
      <c r="Z147" s="31"/>
      <c r="AA147" s="31"/>
      <c r="AB147" s="32"/>
      <c r="AC147" s="31"/>
      <c r="AD147" s="32"/>
      <c r="AE147" s="31"/>
      <c r="AF147" s="41" t="str">
        <f aca="false">IF(OR($R147="",$S147=""),"",$S147-$R147)</f>
        <v/>
      </c>
      <c r="AG147" s="41" t="str">
        <f aca="false">IF(OR($S147="",$T147=""),"",$T147-$S147)</f>
        <v/>
      </c>
      <c r="AH147" s="41" t="str">
        <f aca="false">IF(OR($T147="",$U147=""),"",$U147-$T147)</f>
        <v/>
      </c>
      <c r="AI147" s="41" t="str">
        <f aca="false">IF(OR($R147="",$U147=""),"",$U147-$R147)</f>
        <v/>
      </c>
      <c r="AJ147" s="41" t="str">
        <f aca="false">IF(OR($U147="",$AB147=""),"",$AB147-$U147)</f>
        <v/>
      </c>
      <c r="AK147" s="41" t="str">
        <f aca="false">IF(OR($R147="",$AD147=""),"",$AD147-$R147)</f>
        <v/>
      </c>
      <c r="AL147" s="31"/>
      <c r="AM147" s="32"/>
      <c r="AN147" s="31" t="s">
        <v>135</v>
      </c>
    </row>
    <row r="148" customFormat="false" ht="15" hidden="false" customHeight="true" outlineLevel="0" collapsed="false">
      <c r="A148" s="38" t="n">
        <f aca="false">IF($B148="","",ROW()-3)</f>
        <v>145</v>
      </c>
      <c r="B148" s="31" t="s">
        <v>376</v>
      </c>
      <c r="C148" s="31" t="s">
        <v>377</v>
      </c>
      <c r="D148" s="31" t="s">
        <v>131</v>
      </c>
      <c r="E148" s="31" t="s">
        <v>380</v>
      </c>
      <c r="F148" s="32" t="n">
        <v>46086</v>
      </c>
      <c r="G148" s="32"/>
      <c r="H148" s="31" t="s">
        <v>139</v>
      </c>
      <c r="I148" s="31" t="s">
        <v>67</v>
      </c>
      <c r="J148" s="33" t="n">
        <v>45</v>
      </c>
      <c r="K148" s="34" t="n">
        <v>469285</v>
      </c>
      <c r="L148" s="34" t="n">
        <v>0</v>
      </c>
      <c r="M148" s="34" t="n">
        <v>0</v>
      </c>
      <c r="N148" s="39" t="n">
        <f aca="false">IF($K148="","",$K148-N($L148)-N($M148))</f>
        <v>469285</v>
      </c>
      <c r="O148" s="31" t="s">
        <v>68</v>
      </c>
      <c r="P148" s="31" t="s">
        <v>68</v>
      </c>
      <c r="Q148" s="31"/>
      <c r="R148" s="32"/>
      <c r="S148" s="32"/>
      <c r="T148" s="32"/>
      <c r="U148" s="32"/>
      <c r="V148" s="31" t="s">
        <v>134</v>
      </c>
      <c r="W148" s="40" t="n">
        <f aca="false">IF(OR($F148="",$J148=""),"",$F148+$J148)</f>
        <v>46131</v>
      </c>
      <c r="X148" s="32"/>
      <c r="Y148" s="34"/>
      <c r="Z148" s="31"/>
      <c r="AA148" s="31"/>
      <c r="AB148" s="32"/>
      <c r="AC148" s="31"/>
      <c r="AD148" s="32"/>
      <c r="AE148" s="31"/>
      <c r="AF148" s="41" t="str">
        <f aca="false">IF(OR($R148="",$S148=""),"",$S148-$R148)</f>
        <v/>
      </c>
      <c r="AG148" s="41" t="str">
        <f aca="false">IF(OR($S148="",$T148=""),"",$T148-$S148)</f>
        <v/>
      </c>
      <c r="AH148" s="41" t="str">
        <f aca="false">IF(OR($T148="",$U148=""),"",$U148-$T148)</f>
        <v/>
      </c>
      <c r="AI148" s="41" t="str">
        <f aca="false">IF(OR($R148="",$U148=""),"",$U148-$R148)</f>
        <v/>
      </c>
      <c r="AJ148" s="41" t="str">
        <f aca="false">IF(OR($U148="",$AB148=""),"",$AB148-$U148)</f>
        <v/>
      </c>
      <c r="AK148" s="41" t="str">
        <f aca="false">IF(OR($R148="",$AD148=""),"",$AD148-$R148)</f>
        <v/>
      </c>
      <c r="AL148" s="31"/>
      <c r="AM148" s="32"/>
      <c r="AN148" s="31" t="s">
        <v>135</v>
      </c>
    </row>
    <row r="149" customFormat="false" ht="15" hidden="false" customHeight="true" outlineLevel="0" collapsed="false">
      <c r="A149" s="38" t="n">
        <f aca="false">IF($B149="","",ROW()-3)</f>
        <v>146</v>
      </c>
      <c r="B149" s="31" t="s">
        <v>376</v>
      </c>
      <c r="C149" s="31" t="s">
        <v>377</v>
      </c>
      <c r="D149" s="31" t="s">
        <v>131</v>
      </c>
      <c r="E149" s="31" t="s">
        <v>381</v>
      </c>
      <c r="F149" s="32" t="n">
        <v>46086</v>
      </c>
      <c r="G149" s="32"/>
      <c r="H149" s="31" t="s">
        <v>139</v>
      </c>
      <c r="I149" s="31" t="s">
        <v>67</v>
      </c>
      <c r="J149" s="33" t="n">
        <v>45</v>
      </c>
      <c r="K149" s="34" t="n">
        <v>390498</v>
      </c>
      <c r="L149" s="34" t="n">
        <v>0</v>
      </c>
      <c r="M149" s="34" t="n">
        <v>0</v>
      </c>
      <c r="N149" s="39" t="n">
        <f aca="false">IF($K149="","",$K149-N($L149)-N($M149))</f>
        <v>390498</v>
      </c>
      <c r="O149" s="31" t="s">
        <v>68</v>
      </c>
      <c r="P149" s="31" t="s">
        <v>68</v>
      </c>
      <c r="Q149" s="31"/>
      <c r="R149" s="32"/>
      <c r="S149" s="32"/>
      <c r="T149" s="32"/>
      <c r="U149" s="32"/>
      <c r="V149" s="31" t="s">
        <v>134</v>
      </c>
      <c r="W149" s="40" t="n">
        <f aca="false">IF(OR($F149="",$J149=""),"",$F149+$J149)</f>
        <v>46131</v>
      </c>
      <c r="X149" s="32"/>
      <c r="Y149" s="34"/>
      <c r="Z149" s="31"/>
      <c r="AA149" s="31"/>
      <c r="AB149" s="32"/>
      <c r="AC149" s="31"/>
      <c r="AD149" s="32"/>
      <c r="AE149" s="31"/>
      <c r="AF149" s="41" t="str">
        <f aca="false">IF(OR($R149="",$S149=""),"",$S149-$R149)</f>
        <v/>
      </c>
      <c r="AG149" s="41" t="str">
        <f aca="false">IF(OR($S149="",$T149=""),"",$T149-$S149)</f>
        <v/>
      </c>
      <c r="AH149" s="41" t="str">
        <f aca="false">IF(OR($T149="",$U149=""),"",$U149-$T149)</f>
        <v/>
      </c>
      <c r="AI149" s="41" t="str">
        <f aca="false">IF(OR($R149="",$U149=""),"",$U149-$R149)</f>
        <v/>
      </c>
      <c r="AJ149" s="41" t="str">
        <f aca="false">IF(OR($U149="",$AB149=""),"",$AB149-$U149)</f>
        <v/>
      </c>
      <c r="AK149" s="41" t="str">
        <f aca="false">IF(OR($R149="",$AD149=""),"",$AD149-$R149)</f>
        <v/>
      </c>
      <c r="AL149" s="31"/>
      <c r="AM149" s="32"/>
      <c r="AN149" s="31" t="s">
        <v>135</v>
      </c>
    </row>
    <row r="150" customFormat="false" ht="15" hidden="false" customHeight="true" outlineLevel="0" collapsed="false">
      <c r="A150" s="38" t="n">
        <f aca="false">IF($B150="","",ROW()-3)</f>
        <v>147</v>
      </c>
      <c r="B150" s="31" t="s">
        <v>376</v>
      </c>
      <c r="C150" s="31" t="s">
        <v>377</v>
      </c>
      <c r="D150" s="31" t="s">
        <v>131</v>
      </c>
      <c r="E150" s="31" t="s">
        <v>382</v>
      </c>
      <c r="F150" s="32" t="n">
        <v>46086</v>
      </c>
      <c r="G150" s="32"/>
      <c r="H150" s="31" t="s">
        <v>139</v>
      </c>
      <c r="I150" s="31" t="s">
        <v>67</v>
      </c>
      <c r="J150" s="33" t="n">
        <v>45</v>
      </c>
      <c r="K150" s="34" t="n">
        <v>103167</v>
      </c>
      <c r="L150" s="34" t="n">
        <v>10863.8</v>
      </c>
      <c r="M150" s="34" t="n">
        <v>0</v>
      </c>
      <c r="N150" s="39" t="n">
        <f aca="false">IF($K150="","",$K150-N($L150)-N($M150))</f>
        <v>92303.2</v>
      </c>
      <c r="O150" s="31" t="s">
        <v>68</v>
      </c>
      <c r="P150" s="31" t="s">
        <v>68</v>
      </c>
      <c r="Q150" s="31"/>
      <c r="R150" s="32"/>
      <c r="S150" s="32"/>
      <c r="T150" s="32"/>
      <c r="U150" s="32"/>
      <c r="V150" s="31" t="s">
        <v>134</v>
      </c>
      <c r="W150" s="40" t="n">
        <f aca="false">IF(OR($F150="",$J150=""),"",$F150+$J150)</f>
        <v>46131</v>
      </c>
      <c r="X150" s="32"/>
      <c r="Y150" s="34"/>
      <c r="Z150" s="31"/>
      <c r="AA150" s="31"/>
      <c r="AB150" s="32"/>
      <c r="AC150" s="31"/>
      <c r="AD150" s="32"/>
      <c r="AE150" s="31"/>
      <c r="AF150" s="41" t="str">
        <f aca="false">IF(OR($R150="",$S150=""),"",$S150-$R150)</f>
        <v/>
      </c>
      <c r="AG150" s="41" t="str">
        <f aca="false">IF(OR($S150="",$T150=""),"",$T150-$S150)</f>
        <v/>
      </c>
      <c r="AH150" s="41" t="str">
        <f aca="false">IF(OR($T150="",$U150=""),"",$U150-$T150)</f>
        <v/>
      </c>
      <c r="AI150" s="41" t="str">
        <f aca="false">IF(OR($R150="",$U150=""),"",$U150-$R150)</f>
        <v/>
      </c>
      <c r="AJ150" s="41" t="str">
        <f aca="false">IF(OR($U150="",$AB150=""),"",$AB150-$U150)</f>
        <v/>
      </c>
      <c r="AK150" s="41" t="str">
        <f aca="false">IF(OR($R150="",$AD150=""),"",$AD150-$R150)</f>
        <v/>
      </c>
      <c r="AL150" s="31"/>
      <c r="AM150" s="32"/>
      <c r="AN150" s="31" t="s">
        <v>135</v>
      </c>
    </row>
    <row r="151" customFormat="false" ht="15" hidden="false" customHeight="true" outlineLevel="0" collapsed="false">
      <c r="A151" s="38" t="n">
        <f aca="false">IF($B151="","",ROW()-3)</f>
        <v>148</v>
      </c>
      <c r="B151" s="31" t="s">
        <v>383</v>
      </c>
      <c r="C151" s="31" t="s">
        <v>384</v>
      </c>
      <c r="D151" s="31" t="s">
        <v>131</v>
      </c>
      <c r="E151" s="31" t="s">
        <v>385</v>
      </c>
      <c r="F151" s="32" t="n">
        <v>46085</v>
      </c>
      <c r="G151" s="32"/>
      <c r="H151" s="31" t="s">
        <v>139</v>
      </c>
      <c r="I151" s="31" t="s">
        <v>71</v>
      </c>
      <c r="J151" s="33" t="n">
        <v>45</v>
      </c>
      <c r="K151" s="34" t="n">
        <v>4326000</v>
      </c>
      <c r="L151" s="34" t="n">
        <v>0</v>
      </c>
      <c r="M151" s="34" t="n">
        <v>0</v>
      </c>
      <c r="N151" s="39" t="n">
        <f aca="false">IF($K151="","",$K151-N($L151)-N($M151))</f>
        <v>4326000</v>
      </c>
      <c r="O151" s="31" t="s">
        <v>68</v>
      </c>
      <c r="P151" s="31" t="s">
        <v>68</v>
      </c>
      <c r="Q151" s="31"/>
      <c r="R151" s="32"/>
      <c r="S151" s="32"/>
      <c r="T151" s="32"/>
      <c r="U151" s="32"/>
      <c r="V151" s="31" t="s">
        <v>134</v>
      </c>
      <c r="W151" s="40" t="n">
        <f aca="false">IF(OR($F151="",$J151=""),"",$F151+$J151)</f>
        <v>46130</v>
      </c>
      <c r="X151" s="32"/>
      <c r="Y151" s="34"/>
      <c r="Z151" s="31"/>
      <c r="AA151" s="31"/>
      <c r="AB151" s="32"/>
      <c r="AC151" s="31"/>
      <c r="AD151" s="32"/>
      <c r="AE151" s="31"/>
      <c r="AF151" s="41" t="str">
        <f aca="false">IF(OR($R151="",$S151=""),"",$S151-$R151)</f>
        <v/>
      </c>
      <c r="AG151" s="41" t="str">
        <f aca="false">IF(OR($S151="",$T151=""),"",$T151-$S151)</f>
        <v/>
      </c>
      <c r="AH151" s="41" t="str">
        <f aca="false">IF(OR($T151="",$U151=""),"",$U151-$T151)</f>
        <v/>
      </c>
      <c r="AI151" s="41" t="str">
        <f aca="false">IF(OR($R151="",$U151=""),"",$U151-$R151)</f>
        <v/>
      </c>
      <c r="AJ151" s="41" t="str">
        <f aca="false">IF(OR($U151="",$AB151=""),"",$AB151-$U151)</f>
        <v/>
      </c>
      <c r="AK151" s="41" t="str">
        <f aca="false">IF(OR($R151="",$AD151=""),"",$AD151-$R151)</f>
        <v/>
      </c>
      <c r="AL151" s="31"/>
      <c r="AM151" s="32"/>
      <c r="AN151" s="31" t="s">
        <v>135</v>
      </c>
    </row>
    <row r="152" customFormat="false" ht="15" hidden="false" customHeight="true" outlineLevel="0" collapsed="false">
      <c r="A152" s="38" t="n">
        <f aca="false">IF($B152="","",ROW()-3)</f>
        <v>149</v>
      </c>
      <c r="B152" s="31" t="s">
        <v>386</v>
      </c>
      <c r="C152" s="31" t="s">
        <v>387</v>
      </c>
      <c r="D152" s="31" t="s">
        <v>131</v>
      </c>
      <c r="E152" s="31" t="s">
        <v>388</v>
      </c>
      <c r="F152" s="32" t="n">
        <v>46087</v>
      </c>
      <c r="G152" s="32"/>
      <c r="H152" s="31" t="s">
        <v>139</v>
      </c>
      <c r="I152" s="31" t="s">
        <v>71</v>
      </c>
      <c r="J152" s="33" t="n">
        <v>60</v>
      </c>
      <c r="K152" s="34" t="n">
        <v>70000</v>
      </c>
      <c r="L152" s="34" t="n">
        <v>10740</v>
      </c>
      <c r="M152" s="34" t="n">
        <v>0</v>
      </c>
      <c r="N152" s="39" t="n">
        <f aca="false">IF($K152="","",$K152-N($L152)-N($M152))</f>
        <v>59260</v>
      </c>
      <c r="O152" s="31" t="s">
        <v>68</v>
      </c>
      <c r="P152" s="31" t="s">
        <v>68</v>
      </c>
      <c r="Q152" s="31"/>
      <c r="R152" s="32"/>
      <c r="S152" s="32"/>
      <c r="T152" s="32"/>
      <c r="U152" s="32"/>
      <c r="V152" s="31" t="s">
        <v>134</v>
      </c>
      <c r="W152" s="40" t="n">
        <f aca="false">IF(OR($F152="",$J152=""),"",$F152+$J152)</f>
        <v>46147</v>
      </c>
      <c r="X152" s="32"/>
      <c r="Y152" s="34"/>
      <c r="Z152" s="31"/>
      <c r="AA152" s="31"/>
      <c r="AB152" s="32"/>
      <c r="AC152" s="31"/>
      <c r="AD152" s="32"/>
      <c r="AE152" s="31"/>
      <c r="AF152" s="41" t="str">
        <f aca="false">IF(OR($R152="",$S152=""),"",$S152-$R152)</f>
        <v/>
      </c>
      <c r="AG152" s="41" t="str">
        <f aca="false">IF(OR($S152="",$T152=""),"",$T152-$S152)</f>
        <v/>
      </c>
      <c r="AH152" s="41" t="str">
        <f aca="false">IF(OR($T152="",$U152=""),"",$U152-$T152)</f>
        <v/>
      </c>
      <c r="AI152" s="41" t="str">
        <f aca="false">IF(OR($R152="",$U152=""),"",$U152-$R152)</f>
        <v/>
      </c>
      <c r="AJ152" s="41" t="str">
        <f aca="false">IF(OR($U152="",$AB152=""),"",$AB152-$U152)</f>
        <v/>
      </c>
      <c r="AK152" s="41" t="str">
        <f aca="false">IF(OR($R152="",$AD152=""),"",$AD152-$R152)</f>
        <v/>
      </c>
      <c r="AL152" s="31"/>
      <c r="AM152" s="32"/>
      <c r="AN152" s="31" t="s">
        <v>135</v>
      </c>
    </row>
    <row r="153" customFormat="false" ht="15" hidden="false" customHeight="true" outlineLevel="0" collapsed="false">
      <c r="A153" s="38" t="n">
        <f aca="false">IF($B153="","",ROW()-3)</f>
        <v>150</v>
      </c>
      <c r="B153" s="31" t="s">
        <v>389</v>
      </c>
      <c r="C153" s="31" t="s">
        <v>390</v>
      </c>
      <c r="D153" s="31" t="s">
        <v>131</v>
      </c>
      <c r="E153" s="31" t="s">
        <v>391</v>
      </c>
      <c r="F153" s="32" t="n">
        <v>46091</v>
      </c>
      <c r="G153" s="32"/>
      <c r="H153" s="31" t="s">
        <v>167</v>
      </c>
      <c r="I153" s="31" t="s">
        <v>67</v>
      </c>
      <c r="J153" s="33" t="n">
        <v>90</v>
      </c>
      <c r="K153" s="34" t="n">
        <v>4000000</v>
      </c>
      <c r="L153" s="34" t="n">
        <v>0</v>
      </c>
      <c r="M153" s="34" t="n">
        <v>0</v>
      </c>
      <c r="N153" s="39" t="n">
        <f aca="false">IF($K153="","",$K153-N($L153)-N($M153))</f>
        <v>4000000</v>
      </c>
      <c r="O153" s="31" t="s">
        <v>68</v>
      </c>
      <c r="P153" s="31" t="s">
        <v>68</v>
      </c>
      <c r="Q153" s="31"/>
      <c r="R153" s="32"/>
      <c r="S153" s="32"/>
      <c r="T153" s="32"/>
      <c r="U153" s="32"/>
      <c r="V153" s="31" t="s">
        <v>134</v>
      </c>
      <c r="W153" s="40" t="n">
        <f aca="false">IF(OR($F153="",$J153=""),"",$F153+$J153)</f>
        <v>46181</v>
      </c>
      <c r="X153" s="32"/>
      <c r="Y153" s="34"/>
      <c r="Z153" s="31"/>
      <c r="AA153" s="31"/>
      <c r="AB153" s="32"/>
      <c r="AC153" s="31"/>
      <c r="AD153" s="32"/>
      <c r="AE153" s="31"/>
      <c r="AF153" s="41" t="str">
        <f aca="false">IF(OR($R153="",$S153=""),"",$S153-$R153)</f>
        <v/>
      </c>
      <c r="AG153" s="41" t="str">
        <f aca="false">IF(OR($S153="",$T153=""),"",$T153-$S153)</f>
        <v/>
      </c>
      <c r="AH153" s="41" t="str">
        <f aca="false">IF(OR($T153="",$U153=""),"",$U153-$T153)</f>
        <v/>
      </c>
      <c r="AI153" s="41" t="str">
        <f aca="false">IF(OR($R153="",$U153=""),"",$U153-$R153)</f>
        <v/>
      </c>
      <c r="AJ153" s="41" t="str">
        <f aca="false">IF(OR($U153="",$AB153=""),"",$AB153-$U153)</f>
        <v/>
      </c>
      <c r="AK153" s="41" t="str">
        <f aca="false">IF(OR($R153="",$AD153=""),"",$AD153-$R153)</f>
        <v/>
      </c>
      <c r="AL153" s="31"/>
      <c r="AM153" s="32"/>
      <c r="AN153" s="31" t="s">
        <v>135</v>
      </c>
    </row>
    <row r="154" customFormat="false" ht="15" hidden="false" customHeight="true" outlineLevel="0" collapsed="false">
      <c r="A154" s="38" t="n">
        <f aca="false">IF($B154="","",ROW()-3)</f>
        <v>151</v>
      </c>
      <c r="B154" s="31" t="s">
        <v>392</v>
      </c>
      <c r="C154" s="31" t="s">
        <v>393</v>
      </c>
      <c r="D154" s="31" t="s">
        <v>131</v>
      </c>
      <c r="E154" s="31" t="s">
        <v>394</v>
      </c>
      <c r="F154" s="32" t="n">
        <v>46085</v>
      </c>
      <c r="G154" s="32"/>
      <c r="H154" s="31" t="s">
        <v>139</v>
      </c>
      <c r="I154" s="31" t="s">
        <v>67</v>
      </c>
      <c r="J154" s="33" t="n">
        <v>60</v>
      </c>
      <c r="K154" s="34" t="n">
        <v>200400</v>
      </c>
      <c r="L154" s="34" t="n">
        <v>33400</v>
      </c>
      <c r="M154" s="34" t="n">
        <v>0</v>
      </c>
      <c r="N154" s="39" t="n">
        <f aca="false">IF($K154="","",$K154-N($L154)-N($M154))</f>
        <v>167000</v>
      </c>
      <c r="O154" s="31" t="s">
        <v>68</v>
      </c>
      <c r="P154" s="31" t="s">
        <v>68</v>
      </c>
      <c r="Q154" s="31"/>
      <c r="R154" s="32"/>
      <c r="S154" s="32"/>
      <c r="T154" s="32"/>
      <c r="U154" s="32"/>
      <c r="V154" s="31" t="s">
        <v>134</v>
      </c>
      <c r="W154" s="40" t="n">
        <f aca="false">IF(OR($F154="",$J154=""),"",$F154+$J154)</f>
        <v>46145</v>
      </c>
      <c r="X154" s="32"/>
      <c r="Y154" s="34"/>
      <c r="Z154" s="31"/>
      <c r="AA154" s="31"/>
      <c r="AB154" s="32"/>
      <c r="AC154" s="31"/>
      <c r="AD154" s="32"/>
      <c r="AE154" s="31"/>
      <c r="AF154" s="41" t="str">
        <f aca="false">IF(OR($R154="",$S154=""),"",$S154-$R154)</f>
        <v/>
      </c>
      <c r="AG154" s="41" t="str">
        <f aca="false">IF(OR($S154="",$T154=""),"",$T154-$S154)</f>
        <v/>
      </c>
      <c r="AH154" s="41" t="str">
        <f aca="false">IF(OR($T154="",$U154=""),"",$U154-$T154)</f>
        <v/>
      </c>
      <c r="AI154" s="41" t="str">
        <f aca="false">IF(OR($R154="",$U154=""),"",$U154-$R154)</f>
        <v/>
      </c>
      <c r="AJ154" s="41" t="str">
        <f aca="false">IF(OR($U154="",$AB154=""),"",$AB154-$U154)</f>
        <v/>
      </c>
      <c r="AK154" s="41" t="str">
        <f aca="false">IF(OR($R154="",$AD154=""),"",$AD154-$R154)</f>
        <v/>
      </c>
      <c r="AL154" s="31"/>
      <c r="AM154" s="32"/>
      <c r="AN154" s="31" t="s">
        <v>135</v>
      </c>
    </row>
    <row r="155" customFormat="false" ht="15" hidden="false" customHeight="true" outlineLevel="0" collapsed="false">
      <c r="A155" s="38" t="n">
        <f aca="false">IF($B155="","",ROW()-3)</f>
        <v>152</v>
      </c>
      <c r="B155" s="31" t="s">
        <v>395</v>
      </c>
      <c r="C155" s="31" t="s">
        <v>396</v>
      </c>
      <c r="D155" s="31" t="s">
        <v>131</v>
      </c>
      <c r="E155" s="31" t="s">
        <v>397</v>
      </c>
      <c r="F155" s="32" t="n">
        <v>46085</v>
      </c>
      <c r="G155" s="32"/>
      <c r="H155" s="31" t="s">
        <v>139</v>
      </c>
      <c r="I155" s="31" t="s">
        <v>67</v>
      </c>
      <c r="J155" s="33" t="n">
        <v>45</v>
      </c>
      <c r="K155" s="34" t="n">
        <v>244225.71</v>
      </c>
      <c r="L155" s="34" t="n">
        <v>0</v>
      </c>
      <c r="M155" s="34" t="n">
        <v>0</v>
      </c>
      <c r="N155" s="39" t="n">
        <f aca="false">IF($K155="","",$K155-N($L155)-N($M155))</f>
        <v>244225.71</v>
      </c>
      <c r="O155" s="31" t="s">
        <v>68</v>
      </c>
      <c r="P155" s="31" t="s">
        <v>68</v>
      </c>
      <c r="Q155" s="31"/>
      <c r="R155" s="32"/>
      <c r="S155" s="32"/>
      <c r="T155" s="32"/>
      <c r="U155" s="32"/>
      <c r="V155" s="31" t="s">
        <v>134</v>
      </c>
      <c r="W155" s="40" t="n">
        <f aca="false">IF(OR($F155="",$J155=""),"",$F155+$J155)</f>
        <v>46130</v>
      </c>
      <c r="X155" s="32"/>
      <c r="Y155" s="34"/>
      <c r="Z155" s="31"/>
      <c r="AA155" s="31"/>
      <c r="AB155" s="32"/>
      <c r="AC155" s="31"/>
      <c r="AD155" s="32"/>
      <c r="AE155" s="31"/>
      <c r="AF155" s="41" t="str">
        <f aca="false">IF(OR($R155="",$S155=""),"",$S155-$R155)</f>
        <v/>
      </c>
      <c r="AG155" s="41" t="str">
        <f aca="false">IF(OR($S155="",$T155=""),"",$T155-$S155)</f>
        <v/>
      </c>
      <c r="AH155" s="41" t="str">
        <f aca="false">IF(OR($T155="",$U155=""),"",$U155-$T155)</f>
        <v/>
      </c>
      <c r="AI155" s="41" t="str">
        <f aca="false">IF(OR($R155="",$U155=""),"",$U155-$R155)</f>
        <v/>
      </c>
      <c r="AJ155" s="41" t="str">
        <f aca="false">IF(OR($U155="",$AB155=""),"",$AB155-$U155)</f>
        <v/>
      </c>
      <c r="AK155" s="41" t="str">
        <f aca="false">IF(OR($R155="",$AD155=""),"",$AD155-$R155)</f>
        <v/>
      </c>
      <c r="AL155" s="31"/>
      <c r="AM155" s="32"/>
      <c r="AN155" s="31" t="s">
        <v>135</v>
      </c>
    </row>
    <row r="156" customFormat="false" ht="15" hidden="false" customHeight="true" outlineLevel="0" collapsed="false">
      <c r="A156" s="38" t="n">
        <f aca="false">IF($B156="","",ROW()-3)</f>
        <v>153</v>
      </c>
      <c r="B156" s="31" t="s">
        <v>395</v>
      </c>
      <c r="C156" s="31" t="s">
        <v>396</v>
      </c>
      <c r="D156" s="31" t="s">
        <v>131</v>
      </c>
      <c r="E156" s="31" t="s">
        <v>398</v>
      </c>
      <c r="F156" s="32" t="n">
        <v>46085</v>
      </c>
      <c r="G156" s="32"/>
      <c r="H156" s="31" t="s">
        <v>139</v>
      </c>
      <c r="I156" s="31" t="s">
        <v>71</v>
      </c>
      <c r="J156" s="33" t="n">
        <v>45</v>
      </c>
      <c r="K156" s="34" t="n">
        <v>14119.33</v>
      </c>
      <c r="L156" s="34" t="n">
        <v>0</v>
      </c>
      <c r="M156" s="34" t="n">
        <v>0</v>
      </c>
      <c r="N156" s="39" t="n">
        <f aca="false">IF($K156="","",$K156-N($L156)-N($M156))</f>
        <v>14119.33</v>
      </c>
      <c r="O156" s="31" t="s">
        <v>68</v>
      </c>
      <c r="P156" s="31" t="s">
        <v>68</v>
      </c>
      <c r="Q156" s="31"/>
      <c r="R156" s="32"/>
      <c r="S156" s="32"/>
      <c r="T156" s="32"/>
      <c r="U156" s="32"/>
      <c r="V156" s="31" t="s">
        <v>134</v>
      </c>
      <c r="W156" s="40" t="n">
        <f aca="false">IF(OR($F156="",$J156=""),"",$F156+$J156)</f>
        <v>46130</v>
      </c>
      <c r="X156" s="32"/>
      <c r="Y156" s="34"/>
      <c r="Z156" s="31"/>
      <c r="AA156" s="31"/>
      <c r="AB156" s="32"/>
      <c r="AC156" s="31"/>
      <c r="AD156" s="32"/>
      <c r="AE156" s="31"/>
      <c r="AF156" s="41" t="str">
        <f aca="false">IF(OR($R156="",$S156=""),"",$S156-$R156)</f>
        <v/>
      </c>
      <c r="AG156" s="41" t="str">
        <f aca="false">IF(OR($S156="",$T156=""),"",$T156-$S156)</f>
        <v/>
      </c>
      <c r="AH156" s="41" t="str">
        <f aca="false">IF(OR($T156="",$U156=""),"",$U156-$T156)</f>
        <v/>
      </c>
      <c r="AI156" s="41" t="str">
        <f aca="false">IF(OR($R156="",$U156=""),"",$U156-$R156)</f>
        <v/>
      </c>
      <c r="AJ156" s="41" t="str">
        <f aca="false">IF(OR($U156="",$AB156=""),"",$AB156-$U156)</f>
        <v/>
      </c>
      <c r="AK156" s="41" t="str">
        <f aca="false">IF(OR($R156="",$AD156=""),"",$AD156-$R156)</f>
        <v/>
      </c>
      <c r="AL156" s="31"/>
      <c r="AM156" s="32"/>
      <c r="AN156" s="31" t="s">
        <v>135</v>
      </c>
    </row>
    <row r="157" customFormat="false" ht="15" hidden="false" customHeight="true" outlineLevel="0" collapsed="false">
      <c r="A157" s="38" t="n">
        <f aca="false">IF($B157="","",ROW()-3)</f>
        <v>154</v>
      </c>
      <c r="B157" s="31" t="s">
        <v>395</v>
      </c>
      <c r="C157" s="31" t="s">
        <v>396</v>
      </c>
      <c r="D157" s="31" t="s">
        <v>131</v>
      </c>
      <c r="E157" s="31" t="s">
        <v>399</v>
      </c>
      <c r="F157" s="32" t="n">
        <v>46045</v>
      </c>
      <c r="G157" s="32"/>
      <c r="H157" s="31" t="s">
        <v>400</v>
      </c>
      <c r="I157" s="31" t="s">
        <v>67</v>
      </c>
      <c r="J157" s="33" t="n">
        <v>45</v>
      </c>
      <c r="K157" s="34" t="n">
        <v>55292.99</v>
      </c>
      <c r="L157" s="34" t="n">
        <v>0</v>
      </c>
      <c r="M157" s="34" t="n">
        <v>0</v>
      </c>
      <c r="N157" s="39" t="n">
        <f aca="false">IF($K157="","",$K157-N($L157)-N($M157))</f>
        <v>55292.99</v>
      </c>
      <c r="O157" s="31" t="s">
        <v>68</v>
      </c>
      <c r="P157" s="31" t="s">
        <v>68</v>
      </c>
      <c r="Q157" s="31"/>
      <c r="R157" s="32"/>
      <c r="S157" s="32"/>
      <c r="T157" s="32"/>
      <c r="U157" s="32"/>
      <c r="V157" s="31" t="s">
        <v>134</v>
      </c>
      <c r="W157" s="40" t="n">
        <f aca="false">IF(OR($F157="",$J157=""),"",$F157+$J157)</f>
        <v>46090</v>
      </c>
      <c r="X157" s="32"/>
      <c r="Y157" s="34"/>
      <c r="Z157" s="31"/>
      <c r="AA157" s="31"/>
      <c r="AB157" s="32"/>
      <c r="AC157" s="31"/>
      <c r="AD157" s="32"/>
      <c r="AE157" s="31"/>
      <c r="AF157" s="41" t="str">
        <f aca="false">IF(OR($R157="",$S157=""),"",$S157-$R157)</f>
        <v/>
      </c>
      <c r="AG157" s="41" t="str">
        <f aca="false">IF(OR($S157="",$T157=""),"",$T157-$S157)</f>
        <v/>
      </c>
      <c r="AH157" s="41" t="str">
        <f aca="false">IF(OR($T157="",$U157=""),"",$U157-$T157)</f>
        <v/>
      </c>
      <c r="AI157" s="41" t="str">
        <f aca="false">IF(OR($R157="",$U157=""),"",$U157-$R157)</f>
        <v/>
      </c>
      <c r="AJ157" s="41" t="str">
        <f aca="false">IF(OR($U157="",$AB157=""),"",$AB157-$U157)</f>
        <v/>
      </c>
      <c r="AK157" s="41" t="str">
        <f aca="false">IF(OR($R157="",$AD157=""),"",$AD157-$R157)</f>
        <v/>
      </c>
      <c r="AL157" s="31"/>
      <c r="AM157" s="32"/>
      <c r="AN157" s="31" t="s">
        <v>135</v>
      </c>
    </row>
    <row r="158" customFormat="false" ht="15" hidden="false" customHeight="true" outlineLevel="0" collapsed="false">
      <c r="A158" s="38" t="n">
        <f aca="false">IF($B158="","",ROW()-3)</f>
        <v>155</v>
      </c>
      <c r="B158" s="31" t="s">
        <v>401</v>
      </c>
      <c r="C158" s="31" t="s">
        <v>402</v>
      </c>
      <c r="D158" s="31" t="s">
        <v>131</v>
      </c>
      <c r="E158" s="31" t="s">
        <v>403</v>
      </c>
      <c r="F158" s="32" t="n">
        <v>46092</v>
      </c>
      <c r="G158" s="32"/>
      <c r="H158" s="31" t="s">
        <v>139</v>
      </c>
      <c r="I158" s="31" t="s">
        <v>71</v>
      </c>
      <c r="J158" s="33" t="n">
        <v>30</v>
      </c>
      <c r="K158" s="34" t="n">
        <v>1056408</v>
      </c>
      <c r="L158" s="34" t="n">
        <v>1056408</v>
      </c>
      <c r="M158" s="34" t="n">
        <v>0</v>
      </c>
      <c r="N158" s="39" t="n">
        <f aca="false">IF($K158="","",$K158-N($L158)-N($M158))</f>
        <v>0</v>
      </c>
      <c r="O158" s="31" t="s">
        <v>68</v>
      </c>
      <c r="P158" s="31" t="s">
        <v>68</v>
      </c>
      <c r="Q158" s="31"/>
      <c r="R158" s="32"/>
      <c r="S158" s="32"/>
      <c r="T158" s="32"/>
      <c r="U158" s="32"/>
      <c r="V158" s="31" t="s">
        <v>134</v>
      </c>
      <c r="W158" s="40" t="n">
        <f aca="false">IF(OR($F158="",$J158=""),"",$F158+$J158)</f>
        <v>46122</v>
      </c>
      <c r="X158" s="32"/>
      <c r="Y158" s="34"/>
      <c r="Z158" s="31"/>
      <c r="AA158" s="31"/>
      <c r="AB158" s="32"/>
      <c r="AC158" s="31"/>
      <c r="AD158" s="32"/>
      <c r="AE158" s="31"/>
      <c r="AF158" s="41" t="str">
        <f aca="false">IF(OR($R158="",$S158=""),"",$S158-$R158)</f>
        <v/>
      </c>
      <c r="AG158" s="41" t="str">
        <f aca="false">IF(OR($S158="",$T158=""),"",$T158-$S158)</f>
        <v/>
      </c>
      <c r="AH158" s="41" t="str">
        <f aca="false">IF(OR($T158="",$U158=""),"",$U158-$T158)</f>
        <v/>
      </c>
      <c r="AI158" s="41" t="str">
        <f aca="false">IF(OR($R158="",$U158=""),"",$U158-$R158)</f>
        <v/>
      </c>
      <c r="AJ158" s="41" t="str">
        <f aca="false">IF(OR($U158="",$AB158=""),"",$AB158-$U158)</f>
        <v/>
      </c>
      <c r="AK158" s="41" t="str">
        <f aca="false">IF(OR($R158="",$AD158=""),"",$AD158-$R158)</f>
        <v/>
      </c>
      <c r="AL158" s="31"/>
      <c r="AM158" s="32"/>
      <c r="AN158" s="31" t="s">
        <v>135</v>
      </c>
    </row>
    <row r="159" customFormat="false" ht="15" hidden="false" customHeight="true" outlineLevel="0" collapsed="false">
      <c r="A159" s="38" t="n">
        <f aca="false">IF($B159="","",ROW()-3)</f>
        <v>156</v>
      </c>
      <c r="B159" s="31" t="s">
        <v>404</v>
      </c>
      <c r="C159" s="31" t="s">
        <v>405</v>
      </c>
      <c r="D159" s="31" t="s">
        <v>131</v>
      </c>
      <c r="E159" s="31" t="s">
        <v>406</v>
      </c>
      <c r="F159" s="32" t="n">
        <v>46081</v>
      </c>
      <c r="G159" s="32"/>
      <c r="H159" s="31" t="s">
        <v>139</v>
      </c>
      <c r="I159" s="31" t="s">
        <v>67</v>
      </c>
      <c r="J159" s="33" t="n">
        <v>60</v>
      </c>
      <c r="K159" s="34" t="n">
        <v>748538.44</v>
      </c>
      <c r="L159" s="34" t="n">
        <v>213934.5</v>
      </c>
      <c r="M159" s="34" t="n">
        <v>0</v>
      </c>
      <c r="N159" s="39" t="n">
        <f aca="false">IF($K159="","",$K159-N($L159)-N($M159))</f>
        <v>534603.94</v>
      </c>
      <c r="O159" s="31" t="s">
        <v>68</v>
      </c>
      <c r="P159" s="31" t="s">
        <v>68</v>
      </c>
      <c r="Q159" s="31"/>
      <c r="R159" s="32"/>
      <c r="S159" s="32"/>
      <c r="T159" s="32"/>
      <c r="U159" s="32"/>
      <c r="V159" s="31" t="s">
        <v>134</v>
      </c>
      <c r="W159" s="40" t="n">
        <f aca="false">IF(OR($F159="",$J159=""),"",$F159+$J159)</f>
        <v>46141</v>
      </c>
      <c r="X159" s="32"/>
      <c r="Y159" s="34"/>
      <c r="Z159" s="31"/>
      <c r="AA159" s="31"/>
      <c r="AB159" s="32"/>
      <c r="AC159" s="31"/>
      <c r="AD159" s="32"/>
      <c r="AE159" s="31"/>
      <c r="AF159" s="41" t="str">
        <f aca="false">IF(OR($R159="",$S159=""),"",$S159-$R159)</f>
        <v/>
      </c>
      <c r="AG159" s="41" t="str">
        <f aca="false">IF(OR($S159="",$T159=""),"",$T159-$S159)</f>
        <v/>
      </c>
      <c r="AH159" s="41" t="str">
        <f aca="false">IF(OR($T159="",$U159=""),"",$U159-$T159)</f>
        <v/>
      </c>
      <c r="AI159" s="41" t="str">
        <f aca="false">IF(OR($R159="",$U159=""),"",$U159-$R159)</f>
        <v/>
      </c>
      <c r="AJ159" s="41" t="str">
        <f aca="false">IF(OR($U159="",$AB159=""),"",$AB159-$U159)</f>
        <v/>
      </c>
      <c r="AK159" s="41" t="str">
        <f aca="false">IF(OR($R159="",$AD159=""),"",$AD159-$R159)</f>
        <v/>
      </c>
      <c r="AL159" s="31"/>
      <c r="AM159" s="32"/>
      <c r="AN159" s="31" t="s">
        <v>135</v>
      </c>
    </row>
    <row r="160" customFormat="false" ht="15" hidden="false" customHeight="true" outlineLevel="0" collapsed="false">
      <c r="A160" s="38" t="n">
        <f aca="false">IF($B160="","",ROW()-3)</f>
        <v>157</v>
      </c>
      <c r="B160" s="31" t="s">
        <v>407</v>
      </c>
      <c r="C160" s="31" t="s">
        <v>408</v>
      </c>
      <c r="D160" s="31" t="s">
        <v>131</v>
      </c>
      <c r="E160" s="31" t="s">
        <v>409</v>
      </c>
      <c r="F160" s="32" t="n">
        <v>46084</v>
      </c>
      <c r="G160" s="32"/>
      <c r="H160" s="31" t="s">
        <v>139</v>
      </c>
      <c r="I160" s="31" t="s">
        <v>69</v>
      </c>
      <c r="J160" s="33" t="n">
        <v>60</v>
      </c>
      <c r="K160" s="34" t="n">
        <v>34963.78</v>
      </c>
      <c r="L160" s="34" t="n">
        <v>0</v>
      </c>
      <c r="M160" s="34" t="n">
        <v>0</v>
      </c>
      <c r="N160" s="39" t="n">
        <f aca="false">IF($K160="","",$K160-N($L160)-N($M160))</f>
        <v>34963.78</v>
      </c>
      <c r="O160" s="31" t="s">
        <v>68</v>
      </c>
      <c r="P160" s="31" t="s">
        <v>68</v>
      </c>
      <c r="Q160" s="31"/>
      <c r="R160" s="32"/>
      <c r="S160" s="32"/>
      <c r="T160" s="32"/>
      <c r="U160" s="32"/>
      <c r="V160" s="31" t="s">
        <v>134</v>
      </c>
      <c r="W160" s="40" t="n">
        <f aca="false">IF(OR($F160="",$J160=""),"",$F160+$J160)</f>
        <v>46144</v>
      </c>
      <c r="X160" s="32"/>
      <c r="Y160" s="34"/>
      <c r="Z160" s="31"/>
      <c r="AA160" s="31"/>
      <c r="AB160" s="32"/>
      <c r="AC160" s="31"/>
      <c r="AD160" s="32"/>
      <c r="AE160" s="31"/>
      <c r="AF160" s="41" t="str">
        <f aca="false">IF(OR($R160="",$S160=""),"",$S160-$R160)</f>
        <v/>
      </c>
      <c r="AG160" s="41" t="str">
        <f aca="false">IF(OR($S160="",$T160=""),"",$T160-$S160)</f>
        <v/>
      </c>
      <c r="AH160" s="41" t="str">
        <f aca="false">IF(OR($T160="",$U160=""),"",$U160-$T160)</f>
        <v/>
      </c>
      <c r="AI160" s="41" t="str">
        <f aca="false">IF(OR($R160="",$U160=""),"",$U160-$R160)</f>
        <v/>
      </c>
      <c r="AJ160" s="41" t="str">
        <f aca="false">IF(OR($U160="",$AB160=""),"",$AB160-$U160)</f>
        <v/>
      </c>
      <c r="AK160" s="41" t="str">
        <f aca="false">IF(OR($R160="",$AD160=""),"",$AD160-$R160)</f>
        <v/>
      </c>
      <c r="AL160" s="31"/>
      <c r="AM160" s="32"/>
      <c r="AN160" s="31" t="s">
        <v>135</v>
      </c>
    </row>
    <row r="161" customFormat="false" ht="15" hidden="false" customHeight="true" outlineLevel="0" collapsed="false">
      <c r="A161" s="38" t="n">
        <f aca="false">IF($B161="","",ROW()-3)</f>
        <v>158</v>
      </c>
      <c r="B161" s="31" t="s">
        <v>407</v>
      </c>
      <c r="C161" s="31" t="s">
        <v>408</v>
      </c>
      <c r="D161" s="31" t="s">
        <v>131</v>
      </c>
      <c r="E161" s="31" t="s">
        <v>410</v>
      </c>
      <c r="F161" s="32" t="n">
        <v>46085</v>
      </c>
      <c r="G161" s="32"/>
      <c r="H161" s="31" t="s">
        <v>139</v>
      </c>
      <c r="I161" s="31" t="s">
        <v>71</v>
      </c>
      <c r="J161" s="33" t="n">
        <v>60</v>
      </c>
      <c r="K161" s="34" t="n">
        <v>8802.07</v>
      </c>
      <c r="L161" s="34" t="n">
        <v>0</v>
      </c>
      <c r="M161" s="34" t="n">
        <v>0</v>
      </c>
      <c r="N161" s="39" t="n">
        <f aca="false">IF($K161="","",$K161-N($L161)-N($M161))</f>
        <v>8802.07</v>
      </c>
      <c r="O161" s="31" t="s">
        <v>68</v>
      </c>
      <c r="P161" s="31" t="s">
        <v>68</v>
      </c>
      <c r="Q161" s="31"/>
      <c r="R161" s="32"/>
      <c r="S161" s="32"/>
      <c r="T161" s="32"/>
      <c r="U161" s="32"/>
      <c r="V161" s="31" t="s">
        <v>134</v>
      </c>
      <c r="W161" s="40" t="n">
        <f aca="false">IF(OR($F161="",$J161=""),"",$F161+$J161)</f>
        <v>46145</v>
      </c>
      <c r="X161" s="32"/>
      <c r="Y161" s="34"/>
      <c r="Z161" s="31"/>
      <c r="AA161" s="31"/>
      <c r="AB161" s="32"/>
      <c r="AC161" s="31"/>
      <c r="AD161" s="32"/>
      <c r="AE161" s="31"/>
      <c r="AF161" s="41" t="str">
        <f aca="false">IF(OR($R161="",$S161=""),"",$S161-$R161)</f>
        <v/>
      </c>
      <c r="AG161" s="41" t="str">
        <f aca="false">IF(OR($S161="",$T161=""),"",$T161-$S161)</f>
        <v/>
      </c>
      <c r="AH161" s="41" t="str">
        <f aca="false">IF(OR($T161="",$U161=""),"",$U161-$T161)</f>
        <v/>
      </c>
      <c r="AI161" s="41" t="str">
        <f aca="false">IF(OR($R161="",$U161=""),"",$U161-$R161)</f>
        <v/>
      </c>
      <c r="AJ161" s="41" t="str">
        <f aca="false">IF(OR($U161="",$AB161=""),"",$AB161-$U161)</f>
        <v/>
      </c>
      <c r="AK161" s="41" t="str">
        <f aca="false">IF(OR($R161="",$AD161=""),"",$AD161-$R161)</f>
        <v/>
      </c>
      <c r="AL161" s="31"/>
      <c r="AM161" s="32"/>
      <c r="AN161" s="31" t="s">
        <v>135</v>
      </c>
    </row>
    <row r="162" customFormat="false" ht="15" hidden="false" customHeight="true" outlineLevel="0" collapsed="false">
      <c r="A162" s="38" t="n">
        <f aca="false">IF($B162="","",ROW()-3)</f>
        <v>159</v>
      </c>
      <c r="B162" s="31" t="s">
        <v>411</v>
      </c>
      <c r="C162" s="31" t="s">
        <v>412</v>
      </c>
      <c r="D162" s="31" t="s">
        <v>131</v>
      </c>
      <c r="E162" s="31" t="s">
        <v>413</v>
      </c>
      <c r="F162" s="32" t="n">
        <v>46064</v>
      </c>
      <c r="G162" s="32"/>
      <c r="H162" s="31" t="s">
        <v>167</v>
      </c>
      <c r="I162" s="31" t="s">
        <v>67</v>
      </c>
      <c r="J162" s="33" t="n">
        <v>45</v>
      </c>
      <c r="K162" s="34" t="n">
        <v>6097795.82</v>
      </c>
      <c r="L162" s="34" t="n">
        <v>545610.2</v>
      </c>
      <c r="M162" s="34" t="n">
        <v>117867.47</v>
      </c>
      <c r="N162" s="39" t="n">
        <f aca="false">IF($K162="","",$K162-N($L162)-N($M162))</f>
        <v>5434318.15</v>
      </c>
      <c r="O162" s="31" t="s">
        <v>68</v>
      </c>
      <c r="P162" s="31" t="s">
        <v>68</v>
      </c>
      <c r="Q162" s="31"/>
      <c r="R162" s="32"/>
      <c r="S162" s="32"/>
      <c r="T162" s="32"/>
      <c r="U162" s="32"/>
      <c r="V162" s="31" t="s">
        <v>134</v>
      </c>
      <c r="W162" s="40" t="n">
        <f aca="false">IF(OR($F162="",$J162=""),"",$F162+$J162)</f>
        <v>46109</v>
      </c>
      <c r="X162" s="32"/>
      <c r="Y162" s="34"/>
      <c r="Z162" s="31"/>
      <c r="AA162" s="31"/>
      <c r="AB162" s="32"/>
      <c r="AC162" s="31"/>
      <c r="AD162" s="32"/>
      <c r="AE162" s="31"/>
      <c r="AF162" s="41" t="str">
        <f aca="false">IF(OR($R162="",$S162=""),"",$S162-$R162)</f>
        <v/>
      </c>
      <c r="AG162" s="41" t="str">
        <f aca="false">IF(OR($S162="",$T162=""),"",$T162-$S162)</f>
        <v/>
      </c>
      <c r="AH162" s="41" t="str">
        <f aca="false">IF(OR($T162="",$U162=""),"",$U162-$T162)</f>
        <v/>
      </c>
      <c r="AI162" s="41" t="str">
        <f aca="false">IF(OR($R162="",$U162=""),"",$U162-$R162)</f>
        <v/>
      </c>
      <c r="AJ162" s="41" t="str">
        <f aca="false">IF(OR($U162="",$AB162=""),"",$AB162-$U162)</f>
        <v/>
      </c>
      <c r="AK162" s="41" t="str">
        <f aca="false">IF(OR($R162="",$AD162=""),"",$AD162-$R162)</f>
        <v/>
      </c>
      <c r="AL162" s="31"/>
      <c r="AM162" s="32"/>
      <c r="AN162" s="31" t="s">
        <v>135</v>
      </c>
    </row>
    <row r="163" customFormat="false" ht="15" hidden="false" customHeight="true" outlineLevel="0" collapsed="false">
      <c r="A163" s="38" t="n">
        <f aca="false">IF($B163="","",ROW()-3)</f>
        <v>160</v>
      </c>
      <c r="B163" s="31" t="s">
        <v>411</v>
      </c>
      <c r="C163" s="31" t="s">
        <v>412</v>
      </c>
      <c r="D163" s="31" t="s">
        <v>131</v>
      </c>
      <c r="E163" s="31" t="s">
        <v>414</v>
      </c>
      <c r="F163" s="32" t="n">
        <v>46094</v>
      </c>
      <c r="G163" s="32"/>
      <c r="H163" s="31" t="s">
        <v>167</v>
      </c>
      <c r="I163" s="31" t="s">
        <v>69</v>
      </c>
      <c r="J163" s="33" t="n">
        <v>45</v>
      </c>
      <c r="K163" s="34" t="n">
        <v>1471134.97</v>
      </c>
      <c r="L163" s="34" t="n">
        <v>365905.76</v>
      </c>
      <c r="M163" s="34" t="n">
        <v>0</v>
      </c>
      <c r="N163" s="39" t="n">
        <f aca="false">IF($K163="","",$K163-N($L163)-N($M163))</f>
        <v>1105229.21</v>
      </c>
      <c r="O163" s="31" t="s">
        <v>68</v>
      </c>
      <c r="P163" s="31" t="s">
        <v>68</v>
      </c>
      <c r="Q163" s="31"/>
      <c r="R163" s="32"/>
      <c r="S163" s="32"/>
      <c r="T163" s="32"/>
      <c r="U163" s="32"/>
      <c r="V163" s="31" t="s">
        <v>134</v>
      </c>
      <c r="W163" s="40" t="n">
        <f aca="false">IF(OR($F163="",$J163=""),"",$F163+$J163)</f>
        <v>46139</v>
      </c>
      <c r="X163" s="32"/>
      <c r="Y163" s="34"/>
      <c r="Z163" s="31"/>
      <c r="AA163" s="31"/>
      <c r="AB163" s="32"/>
      <c r="AC163" s="31"/>
      <c r="AD163" s="32"/>
      <c r="AE163" s="31"/>
      <c r="AF163" s="41" t="str">
        <f aca="false">IF(OR($R163="",$S163=""),"",$S163-$R163)</f>
        <v/>
      </c>
      <c r="AG163" s="41" t="str">
        <f aca="false">IF(OR($S163="",$T163=""),"",$T163-$S163)</f>
        <v/>
      </c>
      <c r="AH163" s="41" t="str">
        <f aca="false">IF(OR($T163="",$U163=""),"",$U163-$T163)</f>
        <v/>
      </c>
      <c r="AI163" s="41" t="str">
        <f aca="false">IF(OR($R163="",$U163=""),"",$U163-$R163)</f>
        <v/>
      </c>
      <c r="AJ163" s="41" t="str">
        <f aca="false">IF(OR($U163="",$AB163=""),"",$AB163-$U163)</f>
        <v/>
      </c>
      <c r="AK163" s="41" t="str">
        <f aca="false">IF(OR($R163="",$AD163=""),"",$AD163-$R163)</f>
        <v/>
      </c>
      <c r="AL163" s="31"/>
      <c r="AM163" s="32"/>
      <c r="AN163" s="31" t="s">
        <v>135</v>
      </c>
    </row>
    <row r="164" customFormat="false" ht="15" hidden="false" customHeight="true" outlineLevel="0" collapsed="false">
      <c r="A164" s="38" t="n">
        <f aca="false">IF($B164="","",ROW()-3)</f>
        <v>161</v>
      </c>
      <c r="B164" s="31" t="s">
        <v>411</v>
      </c>
      <c r="C164" s="31" t="s">
        <v>412</v>
      </c>
      <c r="D164" s="31" t="s">
        <v>131</v>
      </c>
      <c r="E164" s="31" t="s">
        <v>415</v>
      </c>
      <c r="F164" s="32" t="n">
        <v>46094</v>
      </c>
      <c r="G164" s="32"/>
      <c r="H164" s="31" t="s">
        <v>167</v>
      </c>
      <c r="I164" s="31" t="s">
        <v>67</v>
      </c>
      <c r="J164" s="33" t="n">
        <v>45</v>
      </c>
      <c r="K164" s="34" t="n">
        <v>2140392.99</v>
      </c>
      <c r="L164" s="34" t="n">
        <v>363354.38</v>
      </c>
      <c r="M164" s="34" t="n">
        <v>0</v>
      </c>
      <c r="N164" s="39" t="n">
        <f aca="false">IF($K164="","",$K164-N($L164)-N($M164))</f>
        <v>1777038.61</v>
      </c>
      <c r="O164" s="31" t="s">
        <v>68</v>
      </c>
      <c r="P164" s="31" t="s">
        <v>68</v>
      </c>
      <c r="Q164" s="31"/>
      <c r="R164" s="32"/>
      <c r="S164" s="32"/>
      <c r="T164" s="32"/>
      <c r="U164" s="32"/>
      <c r="V164" s="31" t="s">
        <v>134</v>
      </c>
      <c r="W164" s="40" t="n">
        <f aca="false">IF(OR($F164="",$J164=""),"",$F164+$J164)</f>
        <v>46139</v>
      </c>
      <c r="X164" s="32"/>
      <c r="Y164" s="34"/>
      <c r="Z164" s="31"/>
      <c r="AA164" s="31"/>
      <c r="AB164" s="32"/>
      <c r="AC164" s="31"/>
      <c r="AD164" s="32"/>
      <c r="AE164" s="31"/>
      <c r="AF164" s="41" t="str">
        <f aca="false">IF(OR($R164="",$S164=""),"",$S164-$R164)</f>
        <v/>
      </c>
      <c r="AG164" s="41" t="str">
        <f aca="false">IF(OR($S164="",$T164=""),"",$T164-$S164)</f>
        <v/>
      </c>
      <c r="AH164" s="41" t="str">
        <f aca="false">IF(OR($T164="",$U164=""),"",$U164-$T164)</f>
        <v/>
      </c>
      <c r="AI164" s="41" t="str">
        <f aca="false">IF(OR($R164="",$U164=""),"",$U164-$R164)</f>
        <v/>
      </c>
      <c r="AJ164" s="41" t="str">
        <f aca="false">IF(OR($U164="",$AB164=""),"",$AB164-$U164)</f>
        <v/>
      </c>
      <c r="AK164" s="41" t="str">
        <f aca="false">IF(OR($R164="",$AD164=""),"",$AD164-$R164)</f>
        <v/>
      </c>
      <c r="AL164" s="31"/>
      <c r="AM164" s="32"/>
      <c r="AN164" s="31" t="s">
        <v>135</v>
      </c>
    </row>
    <row r="165" customFormat="false" ht="15" hidden="false" customHeight="true" outlineLevel="0" collapsed="false">
      <c r="A165" s="38" t="n">
        <f aca="false">IF($B165="","",ROW()-3)</f>
        <v>162</v>
      </c>
      <c r="B165" s="31" t="s">
        <v>411</v>
      </c>
      <c r="C165" s="31" t="s">
        <v>412</v>
      </c>
      <c r="D165" s="31" t="s">
        <v>131</v>
      </c>
      <c r="E165" s="31" t="s">
        <v>416</v>
      </c>
      <c r="F165" s="32" t="n">
        <v>46064</v>
      </c>
      <c r="G165" s="32"/>
      <c r="H165" s="31" t="s">
        <v>139</v>
      </c>
      <c r="I165" s="31" t="s">
        <v>67</v>
      </c>
      <c r="J165" s="33" t="n">
        <v>45</v>
      </c>
      <c r="K165" s="34" t="n">
        <v>1190238.48</v>
      </c>
      <c r="L165" s="34" t="n">
        <v>129921.21</v>
      </c>
      <c r="M165" s="34" t="n">
        <v>0</v>
      </c>
      <c r="N165" s="39" t="n">
        <f aca="false">IF($K165="","",$K165-N($L165)-N($M165))</f>
        <v>1060317.27</v>
      </c>
      <c r="O165" s="31" t="s">
        <v>68</v>
      </c>
      <c r="P165" s="31" t="s">
        <v>68</v>
      </c>
      <c r="Q165" s="31"/>
      <c r="R165" s="32"/>
      <c r="S165" s="32"/>
      <c r="T165" s="32"/>
      <c r="U165" s="32"/>
      <c r="V165" s="31" t="s">
        <v>134</v>
      </c>
      <c r="W165" s="40" t="n">
        <f aca="false">IF(OR($F165="",$J165=""),"",$F165+$J165)</f>
        <v>46109</v>
      </c>
      <c r="X165" s="32"/>
      <c r="Y165" s="34"/>
      <c r="Z165" s="31"/>
      <c r="AA165" s="31"/>
      <c r="AB165" s="32"/>
      <c r="AC165" s="31"/>
      <c r="AD165" s="32"/>
      <c r="AE165" s="31"/>
      <c r="AF165" s="41" t="str">
        <f aca="false">IF(OR($R165="",$S165=""),"",$S165-$R165)</f>
        <v/>
      </c>
      <c r="AG165" s="41" t="str">
        <f aca="false">IF(OR($S165="",$T165=""),"",$T165-$S165)</f>
        <v/>
      </c>
      <c r="AH165" s="41" t="str">
        <f aca="false">IF(OR($T165="",$U165=""),"",$U165-$T165)</f>
        <v/>
      </c>
      <c r="AI165" s="41" t="str">
        <f aca="false">IF(OR($R165="",$U165=""),"",$U165-$R165)</f>
        <v/>
      </c>
      <c r="AJ165" s="41" t="str">
        <f aca="false">IF(OR($U165="",$AB165=""),"",$AB165-$U165)</f>
        <v/>
      </c>
      <c r="AK165" s="41" t="str">
        <f aca="false">IF(OR($R165="",$AD165=""),"",$AD165-$R165)</f>
        <v/>
      </c>
      <c r="AL165" s="31"/>
      <c r="AM165" s="32"/>
      <c r="AN165" s="31" t="s">
        <v>135</v>
      </c>
    </row>
    <row r="166" customFormat="false" ht="15" hidden="false" customHeight="true" outlineLevel="0" collapsed="false">
      <c r="A166" s="38" t="n">
        <f aca="false">IF($B166="","",ROW()-3)</f>
        <v>163</v>
      </c>
      <c r="B166" s="31" t="s">
        <v>411</v>
      </c>
      <c r="C166" s="31" t="s">
        <v>412</v>
      </c>
      <c r="D166" s="31" t="s">
        <v>131</v>
      </c>
      <c r="E166" s="31" t="s">
        <v>417</v>
      </c>
      <c r="F166" s="32" t="n">
        <v>46064</v>
      </c>
      <c r="G166" s="32"/>
      <c r="H166" s="31" t="s">
        <v>167</v>
      </c>
      <c r="I166" s="31" t="s">
        <v>69</v>
      </c>
      <c r="J166" s="33" t="n">
        <v>45</v>
      </c>
      <c r="K166" s="34" t="n">
        <v>1637791.99</v>
      </c>
      <c r="L166" s="34" t="n">
        <v>364320.27</v>
      </c>
      <c r="M166" s="34" t="n">
        <v>0</v>
      </c>
      <c r="N166" s="39" t="n">
        <f aca="false">IF($K166="","",$K166-N($L166)-N($M166))</f>
        <v>1273471.72</v>
      </c>
      <c r="O166" s="31" t="s">
        <v>68</v>
      </c>
      <c r="P166" s="31" t="s">
        <v>68</v>
      </c>
      <c r="Q166" s="31"/>
      <c r="R166" s="32"/>
      <c r="S166" s="32"/>
      <c r="T166" s="32"/>
      <c r="U166" s="32"/>
      <c r="V166" s="31" t="s">
        <v>134</v>
      </c>
      <c r="W166" s="40" t="n">
        <f aca="false">IF(OR($F166="",$J166=""),"",$F166+$J166)</f>
        <v>46109</v>
      </c>
      <c r="X166" s="32"/>
      <c r="Y166" s="34"/>
      <c r="Z166" s="31"/>
      <c r="AA166" s="31"/>
      <c r="AB166" s="32"/>
      <c r="AC166" s="31"/>
      <c r="AD166" s="32"/>
      <c r="AE166" s="31"/>
      <c r="AF166" s="41" t="str">
        <f aca="false">IF(OR($R166="",$S166=""),"",$S166-$R166)</f>
        <v/>
      </c>
      <c r="AG166" s="41" t="str">
        <f aca="false">IF(OR($S166="",$T166=""),"",$T166-$S166)</f>
        <v/>
      </c>
      <c r="AH166" s="41" t="str">
        <f aca="false">IF(OR($T166="",$U166=""),"",$U166-$T166)</f>
        <v/>
      </c>
      <c r="AI166" s="41" t="str">
        <f aca="false">IF(OR($R166="",$U166=""),"",$U166-$R166)</f>
        <v/>
      </c>
      <c r="AJ166" s="41" t="str">
        <f aca="false">IF(OR($U166="",$AB166=""),"",$AB166-$U166)</f>
        <v/>
      </c>
      <c r="AK166" s="41" t="str">
        <f aca="false">IF(OR($R166="",$AD166=""),"",$AD166-$R166)</f>
        <v/>
      </c>
      <c r="AL166" s="31"/>
      <c r="AM166" s="32"/>
      <c r="AN166" s="31" t="s">
        <v>135</v>
      </c>
    </row>
    <row r="167" customFormat="false" ht="15" hidden="false" customHeight="true" outlineLevel="0" collapsed="false">
      <c r="A167" s="38" t="n">
        <f aca="false">IF($B167="","",ROW()-3)</f>
        <v>164</v>
      </c>
      <c r="B167" s="31" t="s">
        <v>411</v>
      </c>
      <c r="C167" s="31" t="s">
        <v>412</v>
      </c>
      <c r="D167" s="31" t="s">
        <v>131</v>
      </c>
      <c r="E167" s="31" t="s">
        <v>418</v>
      </c>
      <c r="F167" s="32" t="n">
        <v>46064</v>
      </c>
      <c r="G167" s="32"/>
      <c r="H167" s="31" t="s">
        <v>139</v>
      </c>
      <c r="I167" s="31" t="s">
        <v>69</v>
      </c>
      <c r="J167" s="33" t="n">
        <v>45</v>
      </c>
      <c r="K167" s="34" t="n">
        <v>2791268.43</v>
      </c>
      <c r="L167" s="34" t="n">
        <v>51645.15</v>
      </c>
      <c r="M167" s="34" t="n">
        <v>0</v>
      </c>
      <c r="N167" s="39" t="n">
        <f aca="false">IF($K167="","",$K167-N($L167)-N($M167))</f>
        <v>2739623.28</v>
      </c>
      <c r="O167" s="31" t="s">
        <v>68</v>
      </c>
      <c r="P167" s="31" t="s">
        <v>68</v>
      </c>
      <c r="Q167" s="31"/>
      <c r="R167" s="32"/>
      <c r="S167" s="32"/>
      <c r="T167" s="32"/>
      <c r="U167" s="32"/>
      <c r="V167" s="31" t="s">
        <v>134</v>
      </c>
      <c r="W167" s="40" t="n">
        <f aca="false">IF(OR($F167="",$J167=""),"",$F167+$J167)</f>
        <v>46109</v>
      </c>
      <c r="X167" s="32"/>
      <c r="Y167" s="34"/>
      <c r="Z167" s="31"/>
      <c r="AA167" s="31"/>
      <c r="AB167" s="32"/>
      <c r="AC167" s="31"/>
      <c r="AD167" s="32"/>
      <c r="AE167" s="31"/>
      <c r="AF167" s="41" t="str">
        <f aca="false">IF(OR($R167="",$S167=""),"",$S167-$R167)</f>
        <v/>
      </c>
      <c r="AG167" s="41" t="str">
        <f aca="false">IF(OR($S167="",$T167=""),"",$T167-$S167)</f>
        <v/>
      </c>
      <c r="AH167" s="41" t="str">
        <f aca="false">IF(OR($T167="",$U167=""),"",$U167-$T167)</f>
        <v/>
      </c>
      <c r="AI167" s="41" t="str">
        <f aca="false">IF(OR($R167="",$U167=""),"",$U167-$R167)</f>
        <v/>
      </c>
      <c r="AJ167" s="41" t="str">
        <f aca="false">IF(OR($U167="",$AB167=""),"",$AB167-$U167)</f>
        <v/>
      </c>
      <c r="AK167" s="41" t="str">
        <f aca="false">IF(OR($R167="",$AD167=""),"",$AD167-$R167)</f>
        <v/>
      </c>
      <c r="AL167" s="31"/>
      <c r="AM167" s="32"/>
      <c r="AN167" s="31" t="s">
        <v>135</v>
      </c>
    </row>
    <row r="168" customFormat="false" ht="15" hidden="false" customHeight="true" outlineLevel="0" collapsed="false">
      <c r="A168" s="38" t="n">
        <f aca="false">IF($B168="","",ROW()-3)</f>
        <v>165</v>
      </c>
      <c r="B168" s="31" t="s">
        <v>411</v>
      </c>
      <c r="C168" s="31" t="s">
        <v>412</v>
      </c>
      <c r="D168" s="31" t="s">
        <v>131</v>
      </c>
      <c r="E168" s="31" t="s">
        <v>419</v>
      </c>
      <c r="F168" s="32" t="n">
        <v>46094</v>
      </c>
      <c r="G168" s="32"/>
      <c r="H168" s="31" t="s">
        <v>139</v>
      </c>
      <c r="I168" s="31" t="s">
        <v>69</v>
      </c>
      <c r="J168" s="33" t="n">
        <v>45</v>
      </c>
      <c r="K168" s="34" t="n">
        <v>538004.81</v>
      </c>
      <c r="L168" s="34" t="n">
        <v>0</v>
      </c>
      <c r="M168" s="34" t="n">
        <v>0</v>
      </c>
      <c r="N168" s="39" t="n">
        <f aca="false">IF($K168="","",$K168-N($L168)-N($M168))</f>
        <v>538004.81</v>
      </c>
      <c r="O168" s="31" t="s">
        <v>68</v>
      </c>
      <c r="P168" s="31" t="s">
        <v>68</v>
      </c>
      <c r="Q168" s="31"/>
      <c r="R168" s="32"/>
      <c r="S168" s="32"/>
      <c r="T168" s="32"/>
      <c r="U168" s="32"/>
      <c r="V168" s="31" t="s">
        <v>134</v>
      </c>
      <c r="W168" s="40" t="n">
        <f aca="false">IF(OR($F168="",$J168=""),"",$F168+$J168)</f>
        <v>46139</v>
      </c>
      <c r="X168" s="32"/>
      <c r="Y168" s="34"/>
      <c r="Z168" s="31"/>
      <c r="AA168" s="31"/>
      <c r="AB168" s="32"/>
      <c r="AC168" s="31"/>
      <c r="AD168" s="32"/>
      <c r="AE168" s="31"/>
      <c r="AF168" s="41" t="str">
        <f aca="false">IF(OR($R168="",$S168=""),"",$S168-$R168)</f>
        <v/>
      </c>
      <c r="AG168" s="41" t="str">
        <f aca="false">IF(OR($S168="",$T168=""),"",$T168-$S168)</f>
        <v/>
      </c>
      <c r="AH168" s="41" t="str">
        <f aca="false">IF(OR($T168="",$U168=""),"",$U168-$T168)</f>
        <v/>
      </c>
      <c r="AI168" s="41" t="str">
        <f aca="false">IF(OR($R168="",$U168=""),"",$U168-$R168)</f>
        <v/>
      </c>
      <c r="AJ168" s="41" t="str">
        <f aca="false">IF(OR($U168="",$AB168=""),"",$AB168-$U168)</f>
        <v/>
      </c>
      <c r="AK168" s="41" t="str">
        <f aca="false">IF(OR($R168="",$AD168=""),"",$AD168-$R168)</f>
        <v/>
      </c>
      <c r="AL168" s="31"/>
      <c r="AM168" s="32"/>
      <c r="AN168" s="31" t="s">
        <v>135</v>
      </c>
    </row>
    <row r="169" customFormat="false" ht="15" hidden="false" customHeight="true" outlineLevel="0" collapsed="false">
      <c r="A169" s="38" t="n">
        <f aca="false">IF($B169="","",ROW()-3)</f>
        <v>166</v>
      </c>
      <c r="B169" s="31" t="s">
        <v>411</v>
      </c>
      <c r="C169" s="31" t="s">
        <v>412</v>
      </c>
      <c r="D169" s="31" t="s">
        <v>131</v>
      </c>
      <c r="E169" s="31" t="s">
        <v>420</v>
      </c>
      <c r="F169" s="32" t="n">
        <v>46094</v>
      </c>
      <c r="G169" s="32"/>
      <c r="H169" s="31" t="s">
        <v>139</v>
      </c>
      <c r="I169" s="31" t="s">
        <v>67</v>
      </c>
      <c r="J169" s="33" t="n">
        <v>45</v>
      </c>
      <c r="K169" s="34" t="n">
        <v>1304701.43</v>
      </c>
      <c r="L169" s="34" t="n">
        <v>163500.09</v>
      </c>
      <c r="M169" s="34" t="n">
        <v>0</v>
      </c>
      <c r="N169" s="39" t="n">
        <f aca="false">IF($K169="","",$K169-N($L169)-N($M169))</f>
        <v>1141201.34</v>
      </c>
      <c r="O169" s="31" t="s">
        <v>68</v>
      </c>
      <c r="P169" s="31" t="s">
        <v>68</v>
      </c>
      <c r="Q169" s="31"/>
      <c r="R169" s="32"/>
      <c r="S169" s="32"/>
      <c r="T169" s="32"/>
      <c r="U169" s="32"/>
      <c r="V169" s="31" t="s">
        <v>134</v>
      </c>
      <c r="W169" s="40" t="n">
        <f aca="false">IF(OR($F169="",$J169=""),"",$F169+$J169)</f>
        <v>46139</v>
      </c>
      <c r="X169" s="32"/>
      <c r="Y169" s="34"/>
      <c r="Z169" s="31"/>
      <c r="AA169" s="31"/>
      <c r="AB169" s="32"/>
      <c r="AC169" s="31"/>
      <c r="AD169" s="32"/>
      <c r="AE169" s="31"/>
      <c r="AF169" s="41" t="str">
        <f aca="false">IF(OR($R169="",$S169=""),"",$S169-$R169)</f>
        <v/>
      </c>
      <c r="AG169" s="41" t="str">
        <f aca="false">IF(OR($S169="",$T169=""),"",$T169-$S169)</f>
        <v/>
      </c>
      <c r="AH169" s="41" t="str">
        <f aca="false">IF(OR($T169="",$U169=""),"",$U169-$T169)</f>
        <v/>
      </c>
      <c r="AI169" s="41" t="str">
        <f aca="false">IF(OR($R169="",$U169=""),"",$U169-$R169)</f>
        <v/>
      </c>
      <c r="AJ169" s="41" t="str">
        <f aca="false">IF(OR($U169="",$AB169=""),"",$AB169-$U169)</f>
        <v/>
      </c>
      <c r="AK169" s="41" t="str">
        <f aca="false">IF(OR($R169="",$AD169=""),"",$AD169-$R169)</f>
        <v/>
      </c>
      <c r="AL169" s="31"/>
      <c r="AM169" s="32"/>
      <c r="AN169" s="31" t="s">
        <v>135</v>
      </c>
    </row>
    <row r="170" customFormat="false" ht="15" hidden="false" customHeight="true" outlineLevel="0" collapsed="false">
      <c r="A170" s="38" t="n">
        <f aca="false">IF($B170="","",ROW()-3)</f>
        <v>167</v>
      </c>
      <c r="B170" s="31" t="s">
        <v>421</v>
      </c>
      <c r="C170" s="31" t="s">
        <v>422</v>
      </c>
      <c r="D170" s="31" t="s">
        <v>131</v>
      </c>
      <c r="E170" s="31" t="s">
        <v>423</v>
      </c>
      <c r="F170" s="32" t="n">
        <v>46081</v>
      </c>
      <c r="G170" s="32"/>
      <c r="H170" s="31" t="s">
        <v>139</v>
      </c>
      <c r="I170" s="31" t="s">
        <v>69</v>
      </c>
      <c r="J170" s="33" t="n">
        <v>45</v>
      </c>
      <c r="K170" s="34" t="n">
        <v>1486142.73</v>
      </c>
      <c r="L170" s="34" t="n">
        <v>82208.7</v>
      </c>
      <c r="M170" s="34" t="n">
        <v>0</v>
      </c>
      <c r="N170" s="39" t="n">
        <f aca="false">IF($K170="","",$K170-N($L170)-N($M170))</f>
        <v>1403934.03</v>
      </c>
      <c r="O170" s="31" t="s">
        <v>68</v>
      </c>
      <c r="P170" s="31" t="s">
        <v>68</v>
      </c>
      <c r="Q170" s="31"/>
      <c r="R170" s="32"/>
      <c r="S170" s="32"/>
      <c r="T170" s="32"/>
      <c r="U170" s="32"/>
      <c r="V170" s="31" t="s">
        <v>134</v>
      </c>
      <c r="W170" s="40" t="n">
        <f aca="false">IF(OR($F170="",$J170=""),"",$F170+$J170)</f>
        <v>46126</v>
      </c>
      <c r="X170" s="32"/>
      <c r="Y170" s="34"/>
      <c r="Z170" s="31"/>
      <c r="AA170" s="31"/>
      <c r="AB170" s="32"/>
      <c r="AC170" s="31"/>
      <c r="AD170" s="32"/>
      <c r="AE170" s="31"/>
      <c r="AF170" s="41" t="str">
        <f aca="false">IF(OR($R170="",$S170=""),"",$S170-$R170)</f>
        <v/>
      </c>
      <c r="AG170" s="41" t="str">
        <f aca="false">IF(OR($S170="",$T170=""),"",$T170-$S170)</f>
        <v/>
      </c>
      <c r="AH170" s="41" t="str">
        <f aca="false">IF(OR($T170="",$U170=""),"",$U170-$T170)</f>
        <v/>
      </c>
      <c r="AI170" s="41" t="str">
        <f aca="false">IF(OR($R170="",$U170=""),"",$U170-$R170)</f>
        <v/>
      </c>
      <c r="AJ170" s="41" t="str">
        <f aca="false">IF(OR($U170="",$AB170=""),"",$AB170-$U170)</f>
        <v/>
      </c>
      <c r="AK170" s="41" t="str">
        <f aca="false">IF(OR($R170="",$AD170=""),"",$AD170-$R170)</f>
        <v/>
      </c>
      <c r="AL170" s="31"/>
      <c r="AM170" s="32"/>
      <c r="AN170" s="31" t="s">
        <v>135</v>
      </c>
    </row>
    <row r="171" customFormat="false" ht="15" hidden="false" customHeight="true" outlineLevel="0" collapsed="false">
      <c r="A171" s="38" t="n">
        <f aca="false">IF($B171="","",ROW()-3)</f>
        <v>168</v>
      </c>
      <c r="B171" s="31" t="s">
        <v>421</v>
      </c>
      <c r="C171" s="31" t="s">
        <v>422</v>
      </c>
      <c r="D171" s="31" t="s">
        <v>131</v>
      </c>
      <c r="E171" s="31" t="s">
        <v>424</v>
      </c>
      <c r="F171" s="32" t="n">
        <v>46081</v>
      </c>
      <c r="G171" s="32"/>
      <c r="H171" s="31" t="s">
        <v>139</v>
      </c>
      <c r="I171" s="31" t="s">
        <v>67</v>
      </c>
      <c r="J171" s="33" t="n">
        <v>45</v>
      </c>
      <c r="K171" s="34" t="n">
        <v>1116038.37</v>
      </c>
      <c r="L171" s="34" t="n">
        <v>6285.57</v>
      </c>
      <c r="M171" s="34" t="n">
        <v>0</v>
      </c>
      <c r="N171" s="39" t="n">
        <f aca="false">IF($K171="","",$K171-N($L171)-N($M171))</f>
        <v>1109752.8</v>
      </c>
      <c r="O171" s="31" t="s">
        <v>68</v>
      </c>
      <c r="P171" s="31" t="s">
        <v>68</v>
      </c>
      <c r="Q171" s="31"/>
      <c r="R171" s="32"/>
      <c r="S171" s="32"/>
      <c r="T171" s="32"/>
      <c r="U171" s="32"/>
      <c r="V171" s="31" t="s">
        <v>134</v>
      </c>
      <c r="W171" s="40" t="n">
        <f aca="false">IF(OR($F171="",$J171=""),"",$F171+$J171)</f>
        <v>46126</v>
      </c>
      <c r="X171" s="32"/>
      <c r="Y171" s="34"/>
      <c r="Z171" s="31"/>
      <c r="AA171" s="31"/>
      <c r="AB171" s="32"/>
      <c r="AC171" s="31"/>
      <c r="AD171" s="32"/>
      <c r="AE171" s="31"/>
      <c r="AF171" s="41" t="str">
        <f aca="false">IF(OR($R171="",$S171=""),"",$S171-$R171)</f>
        <v/>
      </c>
      <c r="AG171" s="41" t="str">
        <f aca="false">IF(OR($S171="",$T171=""),"",$T171-$S171)</f>
        <v/>
      </c>
      <c r="AH171" s="41" t="str">
        <f aca="false">IF(OR($T171="",$U171=""),"",$U171-$T171)</f>
        <v/>
      </c>
      <c r="AI171" s="41" t="str">
        <f aca="false">IF(OR($R171="",$U171=""),"",$U171-$R171)</f>
        <v/>
      </c>
      <c r="AJ171" s="41" t="str">
        <f aca="false">IF(OR($U171="",$AB171=""),"",$AB171-$U171)</f>
        <v/>
      </c>
      <c r="AK171" s="41" t="str">
        <f aca="false">IF(OR($R171="",$AD171=""),"",$AD171-$R171)</f>
        <v/>
      </c>
      <c r="AL171" s="31"/>
      <c r="AM171" s="32"/>
      <c r="AN171" s="31" t="s">
        <v>135</v>
      </c>
    </row>
    <row r="172" customFormat="false" ht="15" hidden="false" customHeight="true" outlineLevel="0" collapsed="false">
      <c r="A172" s="38" t="n">
        <f aca="false">IF($B172="","",ROW()-3)</f>
        <v>169</v>
      </c>
      <c r="B172" s="31" t="s">
        <v>421</v>
      </c>
      <c r="C172" s="31" t="s">
        <v>422</v>
      </c>
      <c r="D172" s="31" t="s">
        <v>131</v>
      </c>
      <c r="E172" s="31" t="s">
        <v>425</v>
      </c>
      <c r="F172" s="32" t="n">
        <v>46081</v>
      </c>
      <c r="G172" s="32"/>
      <c r="H172" s="31" t="s">
        <v>139</v>
      </c>
      <c r="I172" s="31" t="s">
        <v>73</v>
      </c>
      <c r="J172" s="33" t="n">
        <v>45</v>
      </c>
      <c r="K172" s="34" t="n">
        <v>1125506.23</v>
      </c>
      <c r="L172" s="34" t="n">
        <v>200996.86</v>
      </c>
      <c r="M172" s="34" t="n">
        <v>0</v>
      </c>
      <c r="N172" s="39" t="n">
        <f aca="false">IF($K172="","",$K172-N($L172)-N($M172))</f>
        <v>924509.37</v>
      </c>
      <c r="O172" s="31" t="s">
        <v>68</v>
      </c>
      <c r="P172" s="31" t="s">
        <v>68</v>
      </c>
      <c r="Q172" s="31"/>
      <c r="R172" s="32"/>
      <c r="S172" s="32"/>
      <c r="T172" s="32"/>
      <c r="U172" s="32"/>
      <c r="V172" s="31" t="s">
        <v>134</v>
      </c>
      <c r="W172" s="40" t="n">
        <f aca="false">IF(OR($F172="",$J172=""),"",$F172+$J172)</f>
        <v>46126</v>
      </c>
      <c r="X172" s="32"/>
      <c r="Y172" s="34"/>
      <c r="Z172" s="31"/>
      <c r="AA172" s="31"/>
      <c r="AB172" s="32"/>
      <c r="AC172" s="31"/>
      <c r="AD172" s="32"/>
      <c r="AE172" s="31"/>
      <c r="AF172" s="41" t="str">
        <f aca="false">IF(OR($R172="",$S172=""),"",$S172-$R172)</f>
        <v/>
      </c>
      <c r="AG172" s="41" t="str">
        <f aca="false">IF(OR($S172="",$T172=""),"",$T172-$S172)</f>
        <v/>
      </c>
      <c r="AH172" s="41" t="str">
        <f aca="false">IF(OR($T172="",$U172=""),"",$U172-$T172)</f>
        <v/>
      </c>
      <c r="AI172" s="41" t="str">
        <f aca="false">IF(OR($R172="",$U172=""),"",$U172-$R172)</f>
        <v/>
      </c>
      <c r="AJ172" s="41" t="str">
        <f aca="false">IF(OR($U172="",$AB172=""),"",$AB172-$U172)</f>
        <v/>
      </c>
      <c r="AK172" s="41" t="str">
        <f aca="false">IF(OR($R172="",$AD172=""),"",$AD172-$R172)</f>
        <v/>
      </c>
      <c r="AL172" s="31"/>
      <c r="AM172" s="32"/>
      <c r="AN172" s="31" t="s">
        <v>135</v>
      </c>
    </row>
    <row r="173" customFormat="false" ht="15" hidden="false" customHeight="true" outlineLevel="0" collapsed="false">
      <c r="A173" s="38" t="n">
        <f aca="false">IF($B173="","",ROW()-3)</f>
        <v>170</v>
      </c>
      <c r="B173" s="31" t="s">
        <v>421</v>
      </c>
      <c r="C173" s="31" t="s">
        <v>422</v>
      </c>
      <c r="D173" s="31" t="s">
        <v>131</v>
      </c>
      <c r="E173" s="31" t="s">
        <v>426</v>
      </c>
      <c r="F173" s="32" t="n">
        <v>46081</v>
      </c>
      <c r="G173" s="32"/>
      <c r="H173" s="31" t="s">
        <v>167</v>
      </c>
      <c r="I173" s="31" t="s">
        <v>69</v>
      </c>
      <c r="J173" s="33" t="n">
        <v>45</v>
      </c>
      <c r="K173" s="34" t="n">
        <v>985431.88</v>
      </c>
      <c r="L173" s="34" t="n">
        <v>0</v>
      </c>
      <c r="M173" s="34" t="n">
        <v>0</v>
      </c>
      <c r="N173" s="39" t="n">
        <f aca="false">IF($K173="","",$K173-N($L173)-N($M173))</f>
        <v>985431.88</v>
      </c>
      <c r="O173" s="31" t="s">
        <v>68</v>
      </c>
      <c r="P173" s="31" t="s">
        <v>68</v>
      </c>
      <c r="Q173" s="31"/>
      <c r="R173" s="32"/>
      <c r="S173" s="32"/>
      <c r="T173" s="32"/>
      <c r="U173" s="32"/>
      <c r="V173" s="31" t="s">
        <v>134</v>
      </c>
      <c r="W173" s="40" t="n">
        <f aca="false">IF(OR($F173="",$J173=""),"",$F173+$J173)</f>
        <v>46126</v>
      </c>
      <c r="X173" s="32"/>
      <c r="Y173" s="34"/>
      <c r="Z173" s="31"/>
      <c r="AA173" s="31"/>
      <c r="AB173" s="32"/>
      <c r="AC173" s="31"/>
      <c r="AD173" s="32"/>
      <c r="AE173" s="31"/>
      <c r="AF173" s="41" t="str">
        <f aca="false">IF(OR($R173="",$S173=""),"",$S173-$R173)</f>
        <v/>
      </c>
      <c r="AG173" s="41" t="str">
        <f aca="false">IF(OR($S173="",$T173=""),"",$T173-$S173)</f>
        <v/>
      </c>
      <c r="AH173" s="41" t="str">
        <f aca="false">IF(OR($T173="",$U173=""),"",$U173-$T173)</f>
        <v/>
      </c>
      <c r="AI173" s="41" t="str">
        <f aca="false">IF(OR($R173="",$U173=""),"",$U173-$R173)</f>
        <v/>
      </c>
      <c r="AJ173" s="41" t="str">
        <f aca="false">IF(OR($U173="",$AB173=""),"",$AB173-$U173)</f>
        <v/>
      </c>
      <c r="AK173" s="41" t="str">
        <f aca="false">IF(OR($R173="",$AD173=""),"",$AD173-$R173)</f>
        <v/>
      </c>
      <c r="AL173" s="31"/>
      <c r="AM173" s="32"/>
      <c r="AN173" s="31" t="s">
        <v>135</v>
      </c>
    </row>
    <row r="174" customFormat="false" ht="15" hidden="false" customHeight="true" outlineLevel="0" collapsed="false">
      <c r="A174" s="38" t="n">
        <f aca="false">IF($B174="","",ROW()-3)</f>
        <v>171</v>
      </c>
      <c r="B174" s="31" t="s">
        <v>421</v>
      </c>
      <c r="C174" s="31" t="s">
        <v>422</v>
      </c>
      <c r="D174" s="31" t="s">
        <v>131</v>
      </c>
      <c r="E174" s="31" t="s">
        <v>427</v>
      </c>
      <c r="F174" s="32" t="n">
        <v>46081</v>
      </c>
      <c r="G174" s="32"/>
      <c r="H174" s="31" t="s">
        <v>167</v>
      </c>
      <c r="I174" s="31" t="s">
        <v>69</v>
      </c>
      <c r="J174" s="33" t="n">
        <v>45</v>
      </c>
      <c r="K174" s="34" t="n">
        <v>180647.37</v>
      </c>
      <c r="L174" s="34" t="n">
        <v>180647.37</v>
      </c>
      <c r="M174" s="34" t="n">
        <v>0</v>
      </c>
      <c r="N174" s="39" t="n">
        <f aca="false">IF($K174="","",$K174-N($L174)-N($M174))</f>
        <v>0</v>
      </c>
      <c r="O174" s="31" t="s">
        <v>68</v>
      </c>
      <c r="P174" s="31" t="s">
        <v>68</v>
      </c>
      <c r="Q174" s="31"/>
      <c r="R174" s="32"/>
      <c r="S174" s="32"/>
      <c r="T174" s="32"/>
      <c r="U174" s="32"/>
      <c r="V174" s="31" t="s">
        <v>134</v>
      </c>
      <c r="W174" s="40" t="n">
        <f aca="false">IF(OR($F174="",$J174=""),"",$F174+$J174)</f>
        <v>46126</v>
      </c>
      <c r="X174" s="32"/>
      <c r="Y174" s="34"/>
      <c r="Z174" s="31"/>
      <c r="AA174" s="31"/>
      <c r="AB174" s="32"/>
      <c r="AC174" s="31"/>
      <c r="AD174" s="32"/>
      <c r="AE174" s="31"/>
      <c r="AF174" s="41" t="str">
        <f aca="false">IF(OR($R174="",$S174=""),"",$S174-$R174)</f>
        <v/>
      </c>
      <c r="AG174" s="41" t="str">
        <f aca="false">IF(OR($S174="",$T174=""),"",$T174-$S174)</f>
        <v/>
      </c>
      <c r="AH174" s="41" t="str">
        <f aca="false">IF(OR($T174="",$U174=""),"",$U174-$T174)</f>
        <v/>
      </c>
      <c r="AI174" s="41" t="str">
        <f aca="false">IF(OR($R174="",$U174=""),"",$U174-$R174)</f>
        <v/>
      </c>
      <c r="AJ174" s="41" t="str">
        <f aca="false">IF(OR($U174="",$AB174=""),"",$AB174-$U174)</f>
        <v/>
      </c>
      <c r="AK174" s="41" t="str">
        <f aca="false">IF(OR($R174="",$AD174=""),"",$AD174-$R174)</f>
        <v/>
      </c>
      <c r="AL174" s="31"/>
      <c r="AM174" s="32"/>
      <c r="AN174" s="31" t="s">
        <v>135</v>
      </c>
    </row>
    <row r="175" customFormat="false" ht="15" hidden="false" customHeight="true" outlineLevel="0" collapsed="false">
      <c r="A175" s="38" t="n">
        <f aca="false">IF($B175="","",ROW()-3)</f>
        <v>172</v>
      </c>
      <c r="B175" s="31" t="s">
        <v>428</v>
      </c>
      <c r="C175" s="31" t="s">
        <v>429</v>
      </c>
      <c r="D175" s="31" t="s">
        <v>131</v>
      </c>
      <c r="E175" s="31" t="s">
        <v>430</v>
      </c>
      <c r="F175" s="32" t="n">
        <v>46087</v>
      </c>
      <c r="G175" s="32"/>
      <c r="H175" s="31" t="s">
        <v>139</v>
      </c>
      <c r="I175" s="31" t="s">
        <v>73</v>
      </c>
      <c r="J175" s="33" t="n">
        <v>60</v>
      </c>
      <c r="K175" s="34" t="n">
        <v>747174.17</v>
      </c>
      <c r="L175" s="34" t="n">
        <v>0</v>
      </c>
      <c r="M175" s="34" t="n">
        <v>0</v>
      </c>
      <c r="N175" s="39" t="n">
        <f aca="false">IF($K175="","",$K175-N($L175)-N($M175))</f>
        <v>747174.17</v>
      </c>
      <c r="O175" s="31" t="s">
        <v>68</v>
      </c>
      <c r="P175" s="31" t="s">
        <v>68</v>
      </c>
      <c r="Q175" s="31"/>
      <c r="R175" s="32"/>
      <c r="S175" s="32"/>
      <c r="T175" s="32"/>
      <c r="U175" s="32"/>
      <c r="V175" s="31" t="s">
        <v>134</v>
      </c>
      <c r="W175" s="40" t="n">
        <f aca="false">IF(OR($F175="",$J175=""),"",$F175+$J175)</f>
        <v>46147</v>
      </c>
      <c r="X175" s="32"/>
      <c r="Y175" s="34"/>
      <c r="Z175" s="31"/>
      <c r="AA175" s="31"/>
      <c r="AB175" s="32"/>
      <c r="AC175" s="31"/>
      <c r="AD175" s="32"/>
      <c r="AE175" s="31"/>
      <c r="AF175" s="41" t="str">
        <f aca="false">IF(OR($R175="",$S175=""),"",$S175-$R175)</f>
        <v/>
      </c>
      <c r="AG175" s="41" t="str">
        <f aca="false">IF(OR($S175="",$T175=""),"",$T175-$S175)</f>
        <v/>
      </c>
      <c r="AH175" s="41" t="str">
        <f aca="false">IF(OR($T175="",$U175=""),"",$U175-$T175)</f>
        <v/>
      </c>
      <c r="AI175" s="41" t="str">
        <f aca="false">IF(OR($R175="",$U175=""),"",$U175-$R175)</f>
        <v/>
      </c>
      <c r="AJ175" s="41" t="str">
        <f aca="false">IF(OR($U175="",$AB175=""),"",$AB175-$U175)</f>
        <v/>
      </c>
      <c r="AK175" s="41" t="str">
        <f aca="false">IF(OR($R175="",$AD175=""),"",$AD175-$R175)</f>
        <v/>
      </c>
      <c r="AL175" s="31"/>
      <c r="AM175" s="32"/>
      <c r="AN175" s="31" t="s">
        <v>135</v>
      </c>
    </row>
    <row r="176" customFormat="false" ht="15" hidden="false" customHeight="true" outlineLevel="0" collapsed="false">
      <c r="A176" s="38" t="n">
        <f aca="false">IF($B176="","",ROW()-3)</f>
        <v>173</v>
      </c>
      <c r="B176" s="31" t="s">
        <v>428</v>
      </c>
      <c r="C176" s="31" t="s">
        <v>429</v>
      </c>
      <c r="D176" s="31" t="s">
        <v>131</v>
      </c>
      <c r="E176" s="31" t="s">
        <v>431</v>
      </c>
      <c r="F176" s="32" t="n">
        <v>46084</v>
      </c>
      <c r="G176" s="32"/>
      <c r="H176" s="31" t="s">
        <v>139</v>
      </c>
      <c r="I176" s="31" t="s">
        <v>69</v>
      </c>
      <c r="J176" s="33" t="n">
        <v>60</v>
      </c>
      <c r="K176" s="34" t="n">
        <v>27483.47</v>
      </c>
      <c r="L176" s="34" t="n">
        <v>0</v>
      </c>
      <c r="M176" s="34" t="n">
        <v>0</v>
      </c>
      <c r="N176" s="39" t="n">
        <f aca="false">IF($K176="","",$K176-N($L176)-N($M176))</f>
        <v>27483.47</v>
      </c>
      <c r="O176" s="31" t="s">
        <v>68</v>
      </c>
      <c r="P176" s="31" t="s">
        <v>68</v>
      </c>
      <c r="Q176" s="31"/>
      <c r="R176" s="32"/>
      <c r="S176" s="32"/>
      <c r="T176" s="32"/>
      <c r="U176" s="32"/>
      <c r="V176" s="31" t="s">
        <v>134</v>
      </c>
      <c r="W176" s="40" t="n">
        <f aca="false">IF(OR($F176="",$J176=""),"",$F176+$J176)</f>
        <v>46144</v>
      </c>
      <c r="X176" s="32"/>
      <c r="Y176" s="34"/>
      <c r="Z176" s="31"/>
      <c r="AA176" s="31"/>
      <c r="AB176" s="32"/>
      <c r="AC176" s="31"/>
      <c r="AD176" s="32"/>
      <c r="AE176" s="31"/>
      <c r="AF176" s="41" t="str">
        <f aca="false">IF(OR($R176="",$S176=""),"",$S176-$R176)</f>
        <v/>
      </c>
      <c r="AG176" s="41" t="str">
        <f aca="false">IF(OR($S176="",$T176=""),"",$T176-$S176)</f>
        <v/>
      </c>
      <c r="AH176" s="41" t="str">
        <f aca="false">IF(OR($T176="",$U176=""),"",$U176-$T176)</f>
        <v/>
      </c>
      <c r="AI176" s="41" t="str">
        <f aca="false">IF(OR($R176="",$U176=""),"",$U176-$R176)</f>
        <v/>
      </c>
      <c r="AJ176" s="41" t="str">
        <f aca="false">IF(OR($U176="",$AB176=""),"",$AB176-$U176)</f>
        <v/>
      </c>
      <c r="AK176" s="41" t="str">
        <f aca="false">IF(OR($R176="",$AD176=""),"",$AD176-$R176)</f>
        <v/>
      </c>
      <c r="AL176" s="31"/>
      <c r="AM176" s="32"/>
      <c r="AN176" s="31" t="s">
        <v>135</v>
      </c>
    </row>
    <row r="177" customFormat="false" ht="15" hidden="false" customHeight="true" outlineLevel="0" collapsed="false">
      <c r="A177" s="38" t="n">
        <f aca="false">IF($B177="","",ROW()-3)</f>
        <v>174</v>
      </c>
      <c r="B177" s="31" t="s">
        <v>428</v>
      </c>
      <c r="C177" s="31" t="s">
        <v>429</v>
      </c>
      <c r="D177" s="31" t="s">
        <v>131</v>
      </c>
      <c r="E177" s="31" t="s">
        <v>432</v>
      </c>
      <c r="F177" s="32" t="n">
        <v>46084</v>
      </c>
      <c r="G177" s="32"/>
      <c r="H177" s="31" t="s">
        <v>306</v>
      </c>
      <c r="I177" s="31" t="s">
        <v>73</v>
      </c>
      <c r="J177" s="33" t="n">
        <v>60</v>
      </c>
      <c r="K177" s="34" t="n">
        <v>26300</v>
      </c>
      <c r="L177" s="34" t="n">
        <v>0</v>
      </c>
      <c r="M177" s="34" t="n">
        <v>0</v>
      </c>
      <c r="N177" s="39" t="n">
        <f aca="false">IF($K177="","",$K177-N($L177)-N($M177))</f>
        <v>26300</v>
      </c>
      <c r="O177" s="31" t="s">
        <v>68</v>
      </c>
      <c r="P177" s="31" t="s">
        <v>68</v>
      </c>
      <c r="Q177" s="31"/>
      <c r="R177" s="32"/>
      <c r="S177" s="32"/>
      <c r="T177" s="32"/>
      <c r="U177" s="32"/>
      <c r="V177" s="31" t="s">
        <v>134</v>
      </c>
      <c r="W177" s="40" t="n">
        <f aca="false">IF(OR($F177="",$J177=""),"",$F177+$J177)</f>
        <v>46144</v>
      </c>
      <c r="X177" s="32"/>
      <c r="Y177" s="34"/>
      <c r="Z177" s="31"/>
      <c r="AA177" s="31"/>
      <c r="AB177" s="32"/>
      <c r="AC177" s="31"/>
      <c r="AD177" s="32"/>
      <c r="AE177" s="31"/>
      <c r="AF177" s="41" t="str">
        <f aca="false">IF(OR($R177="",$S177=""),"",$S177-$R177)</f>
        <v/>
      </c>
      <c r="AG177" s="41" t="str">
        <f aca="false">IF(OR($S177="",$T177=""),"",$T177-$S177)</f>
        <v/>
      </c>
      <c r="AH177" s="41" t="str">
        <f aca="false">IF(OR($T177="",$U177=""),"",$U177-$T177)</f>
        <v/>
      </c>
      <c r="AI177" s="41" t="str">
        <f aca="false">IF(OR($R177="",$U177=""),"",$U177-$R177)</f>
        <v/>
      </c>
      <c r="AJ177" s="41" t="str">
        <f aca="false">IF(OR($U177="",$AB177=""),"",$AB177-$U177)</f>
        <v/>
      </c>
      <c r="AK177" s="41" t="str">
        <f aca="false">IF(OR($R177="",$AD177=""),"",$AD177-$R177)</f>
        <v/>
      </c>
      <c r="AL177" s="31"/>
      <c r="AM177" s="32"/>
      <c r="AN177" s="31" t="s">
        <v>135</v>
      </c>
    </row>
    <row r="178" customFormat="false" ht="15" hidden="false" customHeight="true" outlineLevel="0" collapsed="false">
      <c r="A178" s="38" t="n">
        <f aca="false">IF($B178="","",ROW()-3)</f>
        <v>175</v>
      </c>
      <c r="B178" s="31" t="s">
        <v>433</v>
      </c>
      <c r="C178" s="31" t="s">
        <v>434</v>
      </c>
      <c r="D178" s="31" t="s">
        <v>131</v>
      </c>
      <c r="E178" s="31" t="s">
        <v>435</v>
      </c>
      <c r="F178" s="32" t="n">
        <v>46086</v>
      </c>
      <c r="G178" s="32"/>
      <c r="H178" s="31" t="s">
        <v>139</v>
      </c>
      <c r="I178" s="31" t="s">
        <v>67</v>
      </c>
      <c r="J178" s="33" t="n">
        <v>60</v>
      </c>
      <c r="K178" s="34" t="n">
        <v>18540</v>
      </c>
      <c r="L178" s="34" t="n">
        <v>0</v>
      </c>
      <c r="M178" s="34" t="n">
        <v>0</v>
      </c>
      <c r="N178" s="39" t="n">
        <f aca="false">IF($K178="","",$K178-N($L178)-N($M178))</f>
        <v>18540</v>
      </c>
      <c r="O178" s="31" t="s">
        <v>68</v>
      </c>
      <c r="P178" s="31" t="s">
        <v>68</v>
      </c>
      <c r="Q178" s="31"/>
      <c r="R178" s="32"/>
      <c r="S178" s="32"/>
      <c r="T178" s="32"/>
      <c r="U178" s="32"/>
      <c r="V178" s="31" t="s">
        <v>134</v>
      </c>
      <c r="W178" s="40" t="n">
        <f aca="false">IF(OR($F178="",$J178=""),"",$F178+$J178)</f>
        <v>46146</v>
      </c>
      <c r="X178" s="32"/>
      <c r="Y178" s="34"/>
      <c r="Z178" s="31"/>
      <c r="AA178" s="31"/>
      <c r="AB178" s="32"/>
      <c r="AC178" s="31"/>
      <c r="AD178" s="32"/>
      <c r="AE178" s="31"/>
      <c r="AF178" s="41" t="str">
        <f aca="false">IF(OR($R178="",$S178=""),"",$S178-$R178)</f>
        <v/>
      </c>
      <c r="AG178" s="41" t="str">
        <f aca="false">IF(OR($S178="",$T178=""),"",$T178-$S178)</f>
        <v/>
      </c>
      <c r="AH178" s="41" t="str">
        <f aca="false">IF(OR($T178="",$U178=""),"",$U178-$T178)</f>
        <v/>
      </c>
      <c r="AI178" s="41" t="str">
        <f aca="false">IF(OR($R178="",$U178=""),"",$U178-$R178)</f>
        <v/>
      </c>
      <c r="AJ178" s="41" t="str">
        <f aca="false">IF(OR($U178="",$AB178=""),"",$AB178-$U178)</f>
        <v/>
      </c>
      <c r="AK178" s="41" t="str">
        <f aca="false">IF(OR($R178="",$AD178=""),"",$AD178-$R178)</f>
        <v/>
      </c>
      <c r="AL178" s="31"/>
      <c r="AM178" s="32"/>
      <c r="AN178" s="31" t="s">
        <v>135</v>
      </c>
    </row>
    <row r="179" customFormat="false" ht="15" hidden="false" customHeight="true" outlineLevel="0" collapsed="false">
      <c r="A179" s="38" t="n">
        <f aca="false">IF($B179="","",ROW()-3)</f>
        <v>176</v>
      </c>
      <c r="B179" s="31" t="s">
        <v>436</v>
      </c>
      <c r="C179" s="31" t="s">
        <v>437</v>
      </c>
      <c r="D179" s="31" t="s">
        <v>131</v>
      </c>
      <c r="E179" s="31" t="s">
        <v>438</v>
      </c>
      <c r="F179" s="32" t="n">
        <v>46090</v>
      </c>
      <c r="G179" s="32"/>
      <c r="H179" s="31" t="s">
        <v>139</v>
      </c>
      <c r="I179" s="31" t="s">
        <v>69</v>
      </c>
      <c r="J179" s="33" t="n">
        <v>60</v>
      </c>
      <c r="K179" s="34" t="n">
        <v>92000</v>
      </c>
      <c r="L179" s="34" t="n">
        <v>0</v>
      </c>
      <c r="M179" s="34" t="n">
        <v>0</v>
      </c>
      <c r="N179" s="39" t="n">
        <f aca="false">IF($K179="","",$K179-N($L179)-N($M179))</f>
        <v>92000</v>
      </c>
      <c r="O179" s="31" t="s">
        <v>68</v>
      </c>
      <c r="P179" s="31" t="s">
        <v>68</v>
      </c>
      <c r="Q179" s="31"/>
      <c r="R179" s="32"/>
      <c r="S179" s="32"/>
      <c r="T179" s="32"/>
      <c r="U179" s="32"/>
      <c r="V179" s="31" t="s">
        <v>134</v>
      </c>
      <c r="W179" s="40" t="n">
        <f aca="false">IF(OR($F179="",$J179=""),"",$F179+$J179)</f>
        <v>46150</v>
      </c>
      <c r="X179" s="32"/>
      <c r="Y179" s="34"/>
      <c r="Z179" s="31"/>
      <c r="AA179" s="31"/>
      <c r="AB179" s="32"/>
      <c r="AC179" s="31"/>
      <c r="AD179" s="32"/>
      <c r="AE179" s="31"/>
      <c r="AF179" s="41" t="str">
        <f aca="false">IF(OR($R179="",$S179=""),"",$S179-$R179)</f>
        <v/>
      </c>
      <c r="AG179" s="41" t="str">
        <f aca="false">IF(OR($S179="",$T179=""),"",$T179-$S179)</f>
        <v/>
      </c>
      <c r="AH179" s="41" t="str">
        <f aca="false">IF(OR($T179="",$U179=""),"",$U179-$T179)</f>
        <v/>
      </c>
      <c r="AI179" s="41" t="str">
        <f aca="false">IF(OR($R179="",$U179=""),"",$U179-$R179)</f>
        <v/>
      </c>
      <c r="AJ179" s="41" t="str">
        <f aca="false">IF(OR($U179="",$AB179=""),"",$AB179-$U179)</f>
        <v/>
      </c>
      <c r="AK179" s="41" t="str">
        <f aca="false">IF(OR($R179="",$AD179=""),"",$AD179-$R179)</f>
        <v/>
      </c>
      <c r="AL179" s="31"/>
      <c r="AM179" s="32"/>
      <c r="AN179" s="31" t="s">
        <v>135</v>
      </c>
    </row>
    <row r="180" customFormat="false" ht="15" hidden="false" customHeight="true" outlineLevel="0" collapsed="false">
      <c r="A180" s="38" t="n">
        <f aca="false">IF($B180="","",ROW()-3)</f>
        <v>177</v>
      </c>
      <c r="B180" s="31" t="s">
        <v>436</v>
      </c>
      <c r="C180" s="31" t="s">
        <v>437</v>
      </c>
      <c r="D180" s="31" t="s">
        <v>131</v>
      </c>
      <c r="E180" s="31" t="s">
        <v>439</v>
      </c>
      <c r="F180" s="32" t="n">
        <v>46090</v>
      </c>
      <c r="G180" s="32"/>
      <c r="H180" s="31" t="s">
        <v>139</v>
      </c>
      <c r="I180" s="31" t="s">
        <v>67</v>
      </c>
      <c r="J180" s="33" t="n">
        <v>60</v>
      </c>
      <c r="K180" s="34" t="n">
        <v>271240</v>
      </c>
      <c r="L180" s="34" t="n">
        <v>0</v>
      </c>
      <c r="M180" s="34" t="n">
        <v>0</v>
      </c>
      <c r="N180" s="39" t="n">
        <f aca="false">IF($K180="","",$K180-N($L180)-N($M180))</f>
        <v>271240</v>
      </c>
      <c r="O180" s="31" t="s">
        <v>68</v>
      </c>
      <c r="P180" s="31" t="s">
        <v>68</v>
      </c>
      <c r="Q180" s="31"/>
      <c r="R180" s="32"/>
      <c r="S180" s="32"/>
      <c r="T180" s="32"/>
      <c r="U180" s="32"/>
      <c r="V180" s="31" t="s">
        <v>134</v>
      </c>
      <c r="W180" s="40" t="n">
        <f aca="false">IF(OR($F180="",$J180=""),"",$F180+$J180)</f>
        <v>46150</v>
      </c>
      <c r="X180" s="32"/>
      <c r="Y180" s="34"/>
      <c r="Z180" s="31"/>
      <c r="AA180" s="31"/>
      <c r="AB180" s="32"/>
      <c r="AC180" s="31"/>
      <c r="AD180" s="32"/>
      <c r="AE180" s="31"/>
      <c r="AF180" s="41" t="str">
        <f aca="false">IF(OR($R180="",$S180=""),"",$S180-$R180)</f>
        <v/>
      </c>
      <c r="AG180" s="41" t="str">
        <f aca="false">IF(OR($S180="",$T180=""),"",$T180-$S180)</f>
        <v/>
      </c>
      <c r="AH180" s="41" t="str">
        <f aca="false">IF(OR($T180="",$U180=""),"",$U180-$T180)</f>
        <v/>
      </c>
      <c r="AI180" s="41" t="str">
        <f aca="false">IF(OR($R180="",$U180=""),"",$U180-$R180)</f>
        <v/>
      </c>
      <c r="AJ180" s="41" t="str">
        <f aca="false">IF(OR($U180="",$AB180=""),"",$AB180-$U180)</f>
        <v/>
      </c>
      <c r="AK180" s="41" t="str">
        <f aca="false">IF(OR($R180="",$AD180=""),"",$AD180-$R180)</f>
        <v/>
      </c>
      <c r="AL180" s="31"/>
      <c r="AM180" s="32"/>
      <c r="AN180" s="31" t="s">
        <v>135</v>
      </c>
    </row>
    <row r="181" customFormat="false" ht="15" hidden="false" customHeight="true" outlineLevel="0" collapsed="false">
      <c r="A181" s="38" t="n">
        <f aca="false">IF($B181="","",ROW()-3)</f>
        <v>178</v>
      </c>
      <c r="B181" s="31" t="s">
        <v>440</v>
      </c>
      <c r="C181" s="31" t="s">
        <v>441</v>
      </c>
      <c r="D181" s="31" t="s">
        <v>131</v>
      </c>
      <c r="E181" s="31" t="s">
        <v>442</v>
      </c>
      <c r="F181" s="32" t="n">
        <v>46086</v>
      </c>
      <c r="G181" s="32"/>
      <c r="H181" s="31" t="s">
        <v>139</v>
      </c>
      <c r="I181" s="31" t="s">
        <v>67</v>
      </c>
      <c r="J181" s="33" t="n">
        <v>60</v>
      </c>
      <c r="K181" s="34" t="n">
        <v>1556101.71</v>
      </c>
      <c r="L181" s="34" t="n">
        <v>0</v>
      </c>
      <c r="M181" s="34" t="n">
        <v>0</v>
      </c>
      <c r="N181" s="39" t="n">
        <f aca="false">IF($K181="","",$K181-N($L181)-N($M181))</f>
        <v>1556101.71</v>
      </c>
      <c r="O181" s="31" t="s">
        <v>68</v>
      </c>
      <c r="P181" s="31" t="s">
        <v>68</v>
      </c>
      <c r="Q181" s="31"/>
      <c r="R181" s="32"/>
      <c r="S181" s="32"/>
      <c r="T181" s="32"/>
      <c r="U181" s="32"/>
      <c r="V181" s="31" t="s">
        <v>134</v>
      </c>
      <c r="W181" s="40" t="n">
        <f aca="false">IF(OR($F181="",$J181=""),"",$F181+$J181)</f>
        <v>46146</v>
      </c>
      <c r="X181" s="32"/>
      <c r="Y181" s="34"/>
      <c r="Z181" s="31"/>
      <c r="AA181" s="31"/>
      <c r="AB181" s="32"/>
      <c r="AC181" s="31"/>
      <c r="AD181" s="32"/>
      <c r="AE181" s="31"/>
      <c r="AF181" s="41" t="str">
        <f aca="false">IF(OR($R181="",$S181=""),"",$S181-$R181)</f>
        <v/>
      </c>
      <c r="AG181" s="41" t="str">
        <f aca="false">IF(OR($S181="",$T181=""),"",$T181-$S181)</f>
        <v/>
      </c>
      <c r="AH181" s="41" t="str">
        <f aca="false">IF(OR($T181="",$U181=""),"",$U181-$T181)</f>
        <v/>
      </c>
      <c r="AI181" s="41" t="str">
        <f aca="false">IF(OR($R181="",$U181=""),"",$U181-$R181)</f>
        <v/>
      </c>
      <c r="AJ181" s="41" t="str">
        <f aca="false">IF(OR($U181="",$AB181=""),"",$AB181-$U181)</f>
        <v/>
      </c>
      <c r="AK181" s="41" t="str">
        <f aca="false">IF(OR($R181="",$AD181=""),"",$AD181-$R181)</f>
        <v/>
      </c>
      <c r="AL181" s="31"/>
      <c r="AM181" s="32"/>
      <c r="AN181" s="31" t="s">
        <v>135</v>
      </c>
    </row>
    <row r="182" customFormat="false" ht="15" hidden="false" customHeight="true" outlineLevel="0" collapsed="false">
      <c r="A182" s="38" t="n">
        <f aca="false">IF($B182="","",ROW()-3)</f>
        <v>179</v>
      </c>
      <c r="B182" s="31" t="s">
        <v>440</v>
      </c>
      <c r="C182" s="31" t="s">
        <v>441</v>
      </c>
      <c r="D182" s="31" t="s">
        <v>131</v>
      </c>
      <c r="E182" s="31" t="s">
        <v>443</v>
      </c>
      <c r="F182" s="32" t="n">
        <v>46086</v>
      </c>
      <c r="G182" s="32"/>
      <c r="H182" s="31" t="s">
        <v>139</v>
      </c>
      <c r="I182" s="31" t="s">
        <v>69</v>
      </c>
      <c r="J182" s="33" t="n">
        <v>60</v>
      </c>
      <c r="K182" s="34" t="n">
        <v>42200.58</v>
      </c>
      <c r="L182" s="34" t="n">
        <v>0</v>
      </c>
      <c r="M182" s="34" t="n">
        <v>0</v>
      </c>
      <c r="N182" s="39" t="n">
        <f aca="false">IF($K182="","",$K182-N($L182)-N($M182))</f>
        <v>42200.58</v>
      </c>
      <c r="O182" s="31" t="s">
        <v>68</v>
      </c>
      <c r="P182" s="31" t="s">
        <v>68</v>
      </c>
      <c r="Q182" s="31"/>
      <c r="R182" s="32"/>
      <c r="S182" s="32"/>
      <c r="T182" s="32"/>
      <c r="U182" s="32"/>
      <c r="V182" s="31" t="s">
        <v>134</v>
      </c>
      <c r="W182" s="40" t="n">
        <f aca="false">IF(OR($F182="",$J182=""),"",$F182+$J182)</f>
        <v>46146</v>
      </c>
      <c r="X182" s="32"/>
      <c r="Y182" s="34"/>
      <c r="Z182" s="31"/>
      <c r="AA182" s="31"/>
      <c r="AB182" s="32"/>
      <c r="AC182" s="31"/>
      <c r="AD182" s="32"/>
      <c r="AE182" s="31"/>
      <c r="AF182" s="41" t="str">
        <f aca="false">IF(OR($R182="",$S182=""),"",$S182-$R182)</f>
        <v/>
      </c>
      <c r="AG182" s="41" t="str">
        <f aca="false">IF(OR($S182="",$T182=""),"",$T182-$S182)</f>
        <v/>
      </c>
      <c r="AH182" s="41" t="str">
        <f aca="false">IF(OR($T182="",$U182=""),"",$U182-$T182)</f>
        <v/>
      </c>
      <c r="AI182" s="41" t="str">
        <f aca="false">IF(OR($R182="",$U182=""),"",$U182-$R182)</f>
        <v/>
      </c>
      <c r="AJ182" s="41" t="str">
        <f aca="false">IF(OR($U182="",$AB182=""),"",$AB182-$U182)</f>
        <v/>
      </c>
      <c r="AK182" s="41" t="str">
        <f aca="false">IF(OR($R182="",$AD182=""),"",$AD182-$R182)</f>
        <v/>
      </c>
      <c r="AL182" s="31"/>
      <c r="AM182" s="32"/>
      <c r="AN182" s="31" t="s">
        <v>135</v>
      </c>
    </row>
    <row r="183" customFormat="false" ht="15" hidden="false" customHeight="true" outlineLevel="0" collapsed="false">
      <c r="A183" s="38" t="n">
        <f aca="false">IF($B183="","",ROW()-3)</f>
        <v>180</v>
      </c>
      <c r="B183" s="31" t="s">
        <v>440</v>
      </c>
      <c r="C183" s="31" t="s">
        <v>441</v>
      </c>
      <c r="D183" s="31" t="s">
        <v>131</v>
      </c>
      <c r="E183" s="31" t="s">
        <v>444</v>
      </c>
      <c r="F183" s="32" t="n">
        <v>46086</v>
      </c>
      <c r="G183" s="32"/>
      <c r="H183" s="31" t="s">
        <v>167</v>
      </c>
      <c r="I183" s="31" t="s">
        <v>67</v>
      </c>
      <c r="J183" s="33" t="n">
        <v>60</v>
      </c>
      <c r="K183" s="34" t="n">
        <v>9980886.16</v>
      </c>
      <c r="L183" s="34" t="n">
        <v>0</v>
      </c>
      <c r="M183" s="34" t="n">
        <v>1112774.19</v>
      </c>
      <c r="N183" s="39" t="n">
        <f aca="false">IF($K183="","",$K183-N($L183)-N($M183))</f>
        <v>8868111.97</v>
      </c>
      <c r="O183" s="31" t="s">
        <v>68</v>
      </c>
      <c r="P183" s="31" t="s">
        <v>68</v>
      </c>
      <c r="Q183" s="31"/>
      <c r="R183" s="32"/>
      <c r="S183" s="32"/>
      <c r="T183" s="32"/>
      <c r="U183" s="32"/>
      <c r="V183" s="31" t="s">
        <v>134</v>
      </c>
      <c r="W183" s="40" t="n">
        <f aca="false">IF(OR($F183="",$J183=""),"",$F183+$J183)</f>
        <v>46146</v>
      </c>
      <c r="X183" s="32"/>
      <c r="Y183" s="34"/>
      <c r="Z183" s="31"/>
      <c r="AA183" s="31"/>
      <c r="AB183" s="32"/>
      <c r="AC183" s="31"/>
      <c r="AD183" s="32"/>
      <c r="AE183" s="31"/>
      <c r="AF183" s="41" t="str">
        <f aca="false">IF(OR($R183="",$S183=""),"",$S183-$R183)</f>
        <v/>
      </c>
      <c r="AG183" s="41" t="str">
        <f aca="false">IF(OR($S183="",$T183=""),"",$T183-$S183)</f>
        <v/>
      </c>
      <c r="AH183" s="41" t="str">
        <f aca="false">IF(OR($T183="",$U183=""),"",$U183-$T183)</f>
        <v/>
      </c>
      <c r="AI183" s="41" t="str">
        <f aca="false">IF(OR($R183="",$U183=""),"",$U183-$R183)</f>
        <v/>
      </c>
      <c r="AJ183" s="41" t="str">
        <f aca="false">IF(OR($U183="",$AB183=""),"",$AB183-$U183)</f>
        <v/>
      </c>
      <c r="AK183" s="41" t="str">
        <f aca="false">IF(OR($R183="",$AD183=""),"",$AD183-$R183)</f>
        <v/>
      </c>
      <c r="AL183" s="31"/>
      <c r="AM183" s="32"/>
      <c r="AN183" s="31" t="s">
        <v>135</v>
      </c>
    </row>
    <row r="184" customFormat="false" ht="15" hidden="false" customHeight="true" outlineLevel="0" collapsed="false">
      <c r="A184" s="38" t="n">
        <f aca="false">IF($B184="","",ROW()-3)</f>
        <v>181</v>
      </c>
      <c r="B184" s="31" t="s">
        <v>440</v>
      </c>
      <c r="C184" s="31" t="s">
        <v>441</v>
      </c>
      <c r="D184" s="31" t="s">
        <v>131</v>
      </c>
      <c r="E184" s="31" t="s">
        <v>445</v>
      </c>
      <c r="F184" s="32" t="n">
        <v>46086</v>
      </c>
      <c r="G184" s="32"/>
      <c r="H184" s="31" t="s">
        <v>167</v>
      </c>
      <c r="I184" s="31" t="s">
        <v>67</v>
      </c>
      <c r="J184" s="33" t="n">
        <v>60</v>
      </c>
      <c r="K184" s="34" t="n">
        <v>22379135.71</v>
      </c>
      <c r="L184" s="34" t="n">
        <v>0</v>
      </c>
      <c r="M184" s="34" t="n">
        <v>1058837.7</v>
      </c>
      <c r="N184" s="39" t="n">
        <f aca="false">IF($K184="","",$K184-N($L184)-N($M184))</f>
        <v>21320298.01</v>
      </c>
      <c r="O184" s="31" t="s">
        <v>68</v>
      </c>
      <c r="P184" s="31" t="s">
        <v>68</v>
      </c>
      <c r="Q184" s="31"/>
      <c r="R184" s="32"/>
      <c r="S184" s="32"/>
      <c r="T184" s="32"/>
      <c r="U184" s="32"/>
      <c r="V184" s="31" t="s">
        <v>134</v>
      </c>
      <c r="W184" s="40" t="n">
        <f aca="false">IF(OR($F184="",$J184=""),"",$F184+$J184)</f>
        <v>46146</v>
      </c>
      <c r="X184" s="32"/>
      <c r="Y184" s="34"/>
      <c r="Z184" s="31"/>
      <c r="AA184" s="31"/>
      <c r="AB184" s="32"/>
      <c r="AC184" s="31"/>
      <c r="AD184" s="32"/>
      <c r="AE184" s="31"/>
      <c r="AF184" s="41" t="str">
        <f aca="false">IF(OR($R184="",$S184=""),"",$S184-$R184)</f>
        <v/>
      </c>
      <c r="AG184" s="41" t="str">
        <f aca="false">IF(OR($S184="",$T184=""),"",$T184-$S184)</f>
        <v/>
      </c>
      <c r="AH184" s="41" t="str">
        <f aca="false">IF(OR($T184="",$U184=""),"",$U184-$T184)</f>
        <v/>
      </c>
      <c r="AI184" s="41" t="str">
        <f aca="false">IF(OR($R184="",$U184=""),"",$U184-$R184)</f>
        <v/>
      </c>
      <c r="AJ184" s="41" t="str">
        <f aca="false">IF(OR($U184="",$AB184=""),"",$AB184-$U184)</f>
        <v/>
      </c>
      <c r="AK184" s="41" t="str">
        <f aca="false">IF(OR($R184="",$AD184=""),"",$AD184-$R184)</f>
        <v/>
      </c>
      <c r="AL184" s="31"/>
      <c r="AM184" s="32"/>
      <c r="AN184" s="31" t="s">
        <v>135</v>
      </c>
    </row>
    <row r="185" customFormat="false" ht="15" hidden="false" customHeight="true" outlineLevel="0" collapsed="false">
      <c r="A185" s="38" t="n">
        <f aca="false">IF($B185="","",ROW()-3)</f>
        <v>182</v>
      </c>
      <c r="B185" s="31" t="s">
        <v>440</v>
      </c>
      <c r="C185" s="31" t="s">
        <v>441</v>
      </c>
      <c r="D185" s="31" t="s">
        <v>131</v>
      </c>
      <c r="E185" s="31" t="s">
        <v>446</v>
      </c>
      <c r="F185" s="32" t="n">
        <v>46086</v>
      </c>
      <c r="G185" s="32"/>
      <c r="H185" s="31" t="s">
        <v>167</v>
      </c>
      <c r="I185" s="31" t="s">
        <v>67</v>
      </c>
      <c r="J185" s="33" t="n">
        <v>60</v>
      </c>
      <c r="K185" s="34" t="n">
        <v>8492271.13</v>
      </c>
      <c r="L185" s="34" t="n">
        <v>0</v>
      </c>
      <c r="M185" s="34" t="n">
        <v>1006938.4</v>
      </c>
      <c r="N185" s="39" t="n">
        <f aca="false">IF($K185="","",$K185-N($L185)-N($M185))</f>
        <v>7485332.73</v>
      </c>
      <c r="O185" s="31" t="s">
        <v>68</v>
      </c>
      <c r="P185" s="31" t="s">
        <v>68</v>
      </c>
      <c r="Q185" s="31"/>
      <c r="R185" s="32"/>
      <c r="S185" s="32"/>
      <c r="T185" s="32"/>
      <c r="U185" s="32"/>
      <c r="V185" s="31" t="s">
        <v>134</v>
      </c>
      <c r="W185" s="40" t="n">
        <f aca="false">IF(OR($F185="",$J185=""),"",$F185+$J185)</f>
        <v>46146</v>
      </c>
      <c r="X185" s="32"/>
      <c r="Y185" s="34"/>
      <c r="Z185" s="31"/>
      <c r="AA185" s="31"/>
      <c r="AB185" s="32"/>
      <c r="AC185" s="31"/>
      <c r="AD185" s="32"/>
      <c r="AE185" s="31"/>
      <c r="AF185" s="41" t="str">
        <f aca="false">IF(OR($R185="",$S185=""),"",$S185-$R185)</f>
        <v/>
      </c>
      <c r="AG185" s="41" t="str">
        <f aca="false">IF(OR($S185="",$T185=""),"",$T185-$S185)</f>
        <v/>
      </c>
      <c r="AH185" s="41" t="str">
        <f aca="false">IF(OR($T185="",$U185=""),"",$U185-$T185)</f>
        <v/>
      </c>
      <c r="AI185" s="41" t="str">
        <f aca="false">IF(OR($R185="",$U185=""),"",$U185-$R185)</f>
        <v/>
      </c>
      <c r="AJ185" s="41" t="str">
        <f aca="false">IF(OR($U185="",$AB185=""),"",$AB185-$U185)</f>
        <v/>
      </c>
      <c r="AK185" s="41" t="str">
        <f aca="false">IF(OR($R185="",$AD185=""),"",$AD185-$R185)</f>
        <v/>
      </c>
      <c r="AL185" s="31"/>
      <c r="AM185" s="32"/>
      <c r="AN185" s="31" t="s">
        <v>135</v>
      </c>
    </row>
    <row r="186" customFormat="false" ht="15" hidden="false" customHeight="true" outlineLevel="0" collapsed="false">
      <c r="A186" s="38" t="n">
        <f aca="false">IF($B186="","",ROW()-3)</f>
        <v>183</v>
      </c>
      <c r="B186" s="31" t="s">
        <v>440</v>
      </c>
      <c r="C186" s="31" t="s">
        <v>441</v>
      </c>
      <c r="D186" s="31" t="s">
        <v>131</v>
      </c>
      <c r="E186" s="31" t="s">
        <v>447</v>
      </c>
      <c r="F186" s="32" t="n">
        <v>46086</v>
      </c>
      <c r="G186" s="32"/>
      <c r="H186" s="31" t="s">
        <v>167</v>
      </c>
      <c r="I186" s="31" t="s">
        <v>75</v>
      </c>
      <c r="J186" s="33" t="n">
        <v>60</v>
      </c>
      <c r="K186" s="34" t="n">
        <v>2335686.7</v>
      </c>
      <c r="L186" s="34" t="n">
        <v>0</v>
      </c>
      <c r="M186" s="34" t="n">
        <v>141897.88</v>
      </c>
      <c r="N186" s="39" t="n">
        <f aca="false">IF($K186="","",$K186-N($L186)-N($M186))</f>
        <v>2193788.82</v>
      </c>
      <c r="O186" s="31" t="s">
        <v>68</v>
      </c>
      <c r="P186" s="31" t="s">
        <v>68</v>
      </c>
      <c r="Q186" s="31"/>
      <c r="R186" s="32"/>
      <c r="S186" s="32"/>
      <c r="T186" s="32"/>
      <c r="U186" s="32"/>
      <c r="V186" s="31" t="s">
        <v>134</v>
      </c>
      <c r="W186" s="40" t="n">
        <f aca="false">IF(OR($F186="",$J186=""),"",$F186+$J186)</f>
        <v>46146</v>
      </c>
      <c r="X186" s="32"/>
      <c r="Y186" s="34"/>
      <c r="Z186" s="31"/>
      <c r="AA186" s="31"/>
      <c r="AB186" s="32"/>
      <c r="AC186" s="31"/>
      <c r="AD186" s="32"/>
      <c r="AE186" s="31"/>
      <c r="AF186" s="41" t="str">
        <f aca="false">IF(OR($R186="",$S186=""),"",$S186-$R186)</f>
        <v/>
      </c>
      <c r="AG186" s="41" t="str">
        <f aca="false">IF(OR($S186="",$T186=""),"",$T186-$S186)</f>
        <v/>
      </c>
      <c r="AH186" s="41" t="str">
        <f aca="false">IF(OR($T186="",$U186=""),"",$U186-$T186)</f>
        <v/>
      </c>
      <c r="AI186" s="41" t="str">
        <f aca="false">IF(OR($R186="",$U186=""),"",$U186-$R186)</f>
        <v/>
      </c>
      <c r="AJ186" s="41" t="str">
        <f aca="false">IF(OR($U186="",$AB186=""),"",$AB186-$U186)</f>
        <v/>
      </c>
      <c r="AK186" s="41" t="str">
        <f aca="false">IF(OR($R186="",$AD186=""),"",$AD186-$R186)</f>
        <v/>
      </c>
      <c r="AL186" s="31"/>
      <c r="AM186" s="32"/>
      <c r="AN186" s="31" t="s">
        <v>135</v>
      </c>
    </row>
    <row r="187" customFormat="false" ht="15" hidden="false" customHeight="true" outlineLevel="0" collapsed="false">
      <c r="A187" s="38" t="n">
        <f aca="false">IF($B187="","",ROW()-3)</f>
        <v>184</v>
      </c>
      <c r="B187" s="31" t="s">
        <v>440</v>
      </c>
      <c r="C187" s="31" t="s">
        <v>441</v>
      </c>
      <c r="D187" s="31" t="s">
        <v>131</v>
      </c>
      <c r="E187" s="31" t="s">
        <v>448</v>
      </c>
      <c r="F187" s="32" t="n">
        <v>46087</v>
      </c>
      <c r="G187" s="32"/>
      <c r="H187" s="31" t="s">
        <v>139</v>
      </c>
      <c r="I187" s="31" t="s">
        <v>67</v>
      </c>
      <c r="J187" s="33" t="n">
        <v>60</v>
      </c>
      <c r="K187" s="34" t="n">
        <v>163284.22</v>
      </c>
      <c r="L187" s="34" t="n">
        <v>0</v>
      </c>
      <c r="M187" s="34" t="n">
        <v>0</v>
      </c>
      <c r="N187" s="39" t="n">
        <f aca="false">IF($K187="","",$K187-N($L187)-N($M187))</f>
        <v>163284.22</v>
      </c>
      <c r="O187" s="31" t="s">
        <v>68</v>
      </c>
      <c r="P187" s="31" t="s">
        <v>68</v>
      </c>
      <c r="Q187" s="31"/>
      <c r="R187" s="32"/>
      <c r="S187" s="32"/>
      <c r="T187" s="32"/>
      <c r="U187" s="32"/>
      <c r="V187" s="31" t="s">
        <v>134</v>
      </c>
      <c r="W187" s="40" t="n">
        <f aca="false">IF(OR($F187="",$J187=""),"",$F187+$J187)</f>
        <v>46147</v>
      </c>
      <c r="X187" s="32"/>
      <c r="Y187" s="34"/>
      <c r="Z187" s="31"/>
      <c r="AA187" s="31"/>
      <c r="AB187" s="32"/>
      <c r="AC187" s="31"/>
      <c r="AD187" s="32"/>
      <c r="AE187" s="31"/>
      <c r="AF187" s="41" t="str">
        <f aca="false">IF(OR($R187="",$S187=""),"",$S187-$R187)</f>
        <v/>
      </c>
      <c r="AG187" s="41" t="str">
        <f aca="false">IF(OR($S187="",$T187=""),"",$T187-$S187)</f>
        <v/>
      </c>
      <c r="AH187" s="41" t="str">
        <f aca="false">IF(OR($T187="",$U187=""),"",$U187-$T187)</f>
        <v/>
      </c>
      <c r="AI187" s="41" t="str">
        <f aca="false">IF(OR($R187="",$U187=""),"",$U187-$R187)</f>
        <v/>
      </c>
      <c r="AJ187" s="41" t="str">
        <f aca="false">IF(OR($U187="",$AB187=""),"",$AB187-$U187)</f>
        <v/>
      </c>
      <c r="AK187" s="41" t="str">
        <f aca="false">IF(OR($R187="",$AD187=""),"",$AD187-$R187)</f>
        <v/>
      </c>
      <c r="AL187" s="31"/>
      <c r="AM187" s="32"/>
      <c r="AN187" s="31" t="s">
        <v>135</v>
      </c>
    </row>
    <row r="188" customFormat="false" ht="15" hidden="false" customHeight="true" outlineLevel="0" collapsed="false">
      <c r="A188" s="38" t="n">
        <f aca="false">IF($B188="","",ROW()-3)</f>
        <v>185</v>
      </c>
      <c r="B188" s="31" t="s">
        <v>440</v>
      </c>
      <c r="C188" s="31" t="s">
        <v>441</v>
      </c>
      <c r="D188" s="31" t="s">
        <v>131</v>
      </c>
      <c r="E188" s="31" t="s">
        <v>449</v>
      </c>
      <c r="F188" s="32" t="n">
        <v>46087</v>
      </c>
      <c r="G188" s="32"/>
      <c r="H188" s="31" t="s">
        <v>167</v>
      </c>
      <c r="I188" s="31" t="s">
        <v>67</v>
      </c>
      <c r="J188" s="33" t="n">
        <v>60</v>
      </c>
      <c r="K188" s="34" t="n">
        <v>3641129.51</v>
      </c>
      <c r="L188" s="34" t="n">
        <v>0</v>
      </c>
      <c r="M188" s="34" t="n">
        <v>299540.11</v>
      </c>
      <c r="N188" s="39" t="n">
        <f aca="false">IF($K188="","",$K188-N($L188)-N($M188))</f>
        <v>3341589.4</v>
      </c>
      <c r="O188" s="31" t="s">
        <v>68</v>
      </c>
      <c r="P188" s="31" t="s">
        <v>68</v>
      </c>
      <c r="Q188" s="31"/>
      <c r="R188" s="32"/>
      <c r="S188" s="32"/>
      <c r="T188" s="32"/>
      <c r="U188" s="32"/>
      <c r="V188" s="31" t="s">
        <v>134</v>
      </c>
      <c r="W188" s="40" t="n">
        <f aca="false">IF(OR($F188="",$J188=""),"",$F188+$J188)</f>
        <v>46147</v>
      </c>
      <c r="X188" s="32"/>
      <c r="Y188" s="34"/>
      <c r="Z188" s="31"/>
      <c r="AA188" s="31"/>
      <c r="AB188" s="32"/>
      <c r="AC188" s="31"/>
      <c r="AD188" s="32"/>
      <c r="AE188" s="31"/>
      <c r="AF188" s="41" t="str">
        <f aca="false">IF(OR($R188="",$S188=""),"",$S188-$R188)</f>
        <v/>
      </c>
      <c r="AG188" s="41" t="str">
        <f aca="false">IF(OR($S188="",$T188=""),"",$T188-$S188)</f>
        <v/>
      </c>
      <c r="AH188" s="41" t="str">
        <f aca="false">IF(OR($T188="",$U188=""),"",$U188-$T188)</f>
        <v/>
      </c>
      <c r="AI188" s="41" t="str">
        <f aca="false">IF(OR($R188="",$U188=""),"",$U188-$R188)</f>
        <v/>
      </c>
      <c r="AJ188" s="41" t="str">
        <f aca="false">IF(OR($U188="",$AB188=""),"",$AB188-$U188)</f>
        <v/>
      </c>
      <c r="AK188" s="41" t="str">
        <f aca="false">IF(OR($R188="",$AD188=""),"",$AD188-$R188)</f>
        <v/>
      </c>
      <c r="AL188" s="31"/>
      <c r="AM188" s="32"/>
      <c r="AN188" s="31" t="s">
        <v>135</v>
      </c>
    </row>
    <row r="189" customFormat="false" ht="15" hidden="false" customHeight="true" outlineLevel="0" collapsed="false">
      <c r="A189" s="38" t="n">
        <f aca="false">IF($B189="","",ROW()-3)</f>
        <v>186</v>
      </c>
      <c r="B189" s="31" t="s">
        <v>450</v>
      </c>
      <c r="C189" s="31" t="s">
        <v>451</v>
      </c>
      <c r="D189" s="31" t="s">
        <v>131</v>
      </c>
      <c r="E189" s="31" t="s">
        <v>452</v>
      </c>
      <c r="F189" s="32" t="n">
        <v>46085</v>
      </c>
      <c r="G189" s="32"/>
      <c r="H189" s="31" t="s">
        <v>167</v>
      </c>
      <c r="I189" s="31" t="s">
        <v>69</v>
      </c>
      <c r="J189" s="33" t="n">
        <v>60</v>
      </c>
      <c r="K189" s="34" t="n">
        <v>6618190.07</v>
      </c>
      <c r="L189" s="34" t="n">
        <v>0</v>
      </c>
      <c r="M189" s="34" t="n">
        <v>233965.78</v>
      </c>
      <c r="N189" s="39" t="n">
        <f aca="false">IF($K189="","",$K189-N($L189)-N($M189))</f>
        <v>6384224.29</v>
      </c>
      <c r="O189" s="31" t="s">
        <v>68</v>
      </c>
      <c r="P189" s="31" t="s">
        <v>68</v>
      </c>
      <c r="Q189" s="31"/>
      <c r="R189" s="32"/>
      <c r="S189" s="32"/>
      <c r="T189" s="32"/>
      <c r="U189" s="32"/>
      <c r="V189" s="31" t="s">
        <v>134</v>
      </c>
      <c r="W189" s="40" t="n">
        <f aca="false">IF(OR($F189="",$J189=""),"",$F189+$J189)</f>
        <v>46145</v>
      </c>
      <c r="X189" s="32"/>
      <c r="Y189" s="34"/>
      <c r="Z189" s="31"/>
      <c r="AA189" s="31"/>
      <c r="AB189" s="32"/>
      <c r="AC189" s="31"/>
      <c r="AD189" s="32"/>
      <c r="AE189" s="31"/>
      <c r="AF189" s="41" t="str">
        <f aca="false">IF(OR($R189="",$S189=""),"",$S189-$R189)</f>
        <v/>
      </c>
      <c r="AG189" s="41" t="str">
        <f aca="false">IF(OR($S189="",$T189=""),"",$T189-$S189)</f>
        <v/>
      </c>
      <c r="AH189" s="41" t="str">
        <f aca="false">IF(OR($T189="",$U189=""),"",$U189-$T189)</f>
        <v/>
      </c>
      <c r="AI189" s="41" t="str">
        <f aca="false">IF(OR($R189="",$U189=""),"",$U189-$R189)</f>
        <v/>
      </c>
      <c r="AJ189" s="41" t="str">
        <f aca="false">IF(OR($U189="",$AB189=""),"",$AB189-$U189)</f>
        <v/>
      </c>
      <c r="AK189" s="41" t="str">
        <f aca="false">IF(OR($R189="",$AD189=""),"",$AD189-$R189)</f>
        <v/>
      </c>
      <c r="AL189" s="31"/>
      <c r="AM189" s="32"/>
      <c r="AN189" s="31" t="s">
        <v>135</v>
      </c>
    </row>
    <row r="190" customFormat="false" ht="15" hidden="false" customHeight="true" outlineLevel="0" collapsed="false">
      <c r="A190" s="38" t="n">
        <f aca="false">IF($B190="","",ROW()-3)</f>
        <v>187</v>
      </c>
      <c r="B190" s="31" t="s">
        <v>450</v>
      </c>
      <c r="C190" s="31" t="s">
        <v>451</v>
      </c>
      <c r="D190" s="31" t="s">
        <v>131</v>
      </c>
      <c r="E190" s="31" t="s">
        <v>453</v>
      </c>
      <c r="F190" s="32" t="n">
        <v>46085</v>
      </c>
      <c r="G190" s="32"/>
      <c r="H190" s="31" t="s">
        <v>167</v>
      </c>
      <c r="I190" s="31" t="s">
        <v>69</v>
      </c>
      <c r="J190" s="33" t="n">
        <v>60</v>
      </c>
      <c r="K190" s="34" t="n">
        <v>1951325.4</v>
      </c>
      <c r="L190" s="34" t="n">
        <v>0</v>
      </c>
      <c r="M190" s="34" t="n">
        <v>0</v>
      </c>
      <c r="N190" s="39" t="n">
        <f aca="false">IF($K190="","",$K190-N($L190)-N($M190))</f>
        <v>1951325.4</v>
      </c>
      <c r="O190" s="31" t="s">
        <v>68</v>
      </c>
      <c r="P190" s="31" t="s">
        <v>68</v>
      </c>
      <c r="Q190" s="31"/>
      <c r="R190" s="32"/>
      <c r="S190" s="32"/>
      <c r="T190" s="32"/>
      <c r="U190" s="32"/>
      <c r="V190" s="31" t="s">
        <v>134</v>
      </c>
      <c r="W190" s="40" t="n">
        <f aca="false">IF(OR($F190="",$J190=""),"",$F190+$J190)</f>
        <v>46145</v>
      </c>
      <c r="X190" s="32"/>
      <c r="Y190" s="34"/>
      <c r="Z190" s="31"/>
      <c r="AA190" s="31"/>
      <c r="AB190" s="32"/>
      <c r="AC190" s="31"/>
      <c r="AD190" s="32"/>
      <c r="AE190" s="31"/>
      <c r="AF190" s="41" t="str">
        <f aca="false">IF(OR($R190="",$S190=""),"",$S190-$R190)</f>
        <v/>
      </c>
      <c r="AG190" s="41" t="str">
        <f aca="false">IF(OR($S190="",$T190=""),"",$T190-$S190)</f>
        <v/>
      </c>
      <c r="AH190" s="41" t="str">
        <f aca="false">IF(OR($T190="",$U190=""),"",$U190-$T190)</f>
        <v/>
      </c>
      <c r="AI190" s="41" t="str">
        <f aca="false">IF(OR($R190="",$U190=""),"",$U190-$R190)</f>
        <v/>
      </c>
      <c r="AJ190" s="41" t="str">
        <f aca="false">IF(OR($U190="",$AB190=""),"",$AB190-$U190)</f>
        <v/>
      </c>
      <c r="AK190" s="41" t="str">
        <f aca="false">IF(OR($R190="",$AD190=""),"",$AD190-$R190)</f>
        <v/>
      </c>
      <c r="AL190" s="31"/>
      <c r="AM190" s="32"/>
      <c r="AN190" s="31" t="s">
        <v>135</v>
      </c>
    </row>
    <row r="191" customFormat="false" ht="15" hidden="false" customHeight="true" outlineLevel="0" collapsed="false">
      <c r="A191" s="38" t="n">
        <f aca="false">IF($B191="","",ROW()-3)</f>
        <v>188</v>
      </c>
      <c r="B191" s="31" t="s">
        <v>450</v>
      </c>
      <c r="C191" s="31" t="s">
        <v>451</v>
      </c>
      <c r="D191" s="31" t="s">
        <v>131</v>
      </c>
      <c r="E191" s="31" t="s">
        <v>454</v>
      </c>
      <c r="F191" s="32" t="n">
        <v>46090</v>
      </c>
      <c r="G191" s="32"/>
      <c r="H191" s="31" t="s">
        <v>167</v>
      </c>
      <c r="I191" s="31" t="s">
        <v>67</v>
      </c>
      <c r="J191" s="33" t="n">
        <v>60</v>
      </c>
      <c r="K191" s="34" t="n">
        <v>1950592.16</v>
      </c>
      <c r="L191" s="34" t="n">
        <v>0</v>
      </c>
      <c r="M191" s="34" t="n">
        <v>233551.53</v>
      </c>
      <c r="N191" s="39" t="n">
        <f aca="false">IF($K191="","",$K191-N($L191)-N($M191))</f>
        <v>1717040.63</v>
      </c>
      <c r="O191" s="31" t="s">
        <v>68</v>
      </c>
      <c r="P191" s="31" t="s">
        <v>68</v>
      </c>
      <c r="Q191" s="31"/>
      <c r="R191" s="32"/>
      <c r="S191" s="32"/>
      <c r="T191" s="32"/>
      <c r="U191" s="32"/>
      <c r="V191" s="31" t="s">
        <v>134</v>
      </c>
      <c r="W191" s="40" t="n">
        <f aca="false">IF(OR($F191="",$J191=""),"",$F191+$J191)</f>
        <v>46150</v>
      </c>
      <c r="X191" s="32"/>
      <c r="Y191" s="34"/>
      <c r="Z191" s="31"/>
      <c r="AA191" s="31"/>
      <c r="AB191" s="32"/>
      <c r="AC191" s="31"/>
      <c r="AD191" s="32"/>
      <c r="AE191" s="31"/>
      <c r="AF191" s="41" t="str">
        <f aca="false">IF(OR($R191="",$S191=""),"",$S191-$R191)</f>
        <v/>
      </c>
      <c r="AG191" s="41" t="str">
        <f aca="false">IF(OR($S191="",$T191=""),"",$T191-$S191)</f>
        <v/>
      </c>
      <c r="AH191" s="41" t="str">
        <f aca="false">IF(OR($T191="",$U191=""),"",$U191-$T191)</f>
        <v/>
      </c>
      <c r="AI191" s="41" t="str">
        <f aca="false">IF(OR($R191="",$U191=""),"",$U191-$R191)</f>
        <v/>
      </c>
      <c r="AJ191" s="41" t="str">
        <f aca="false">IF(OR($U191="",$AB191=""),"",$AB191-$U191)</f>
        <v/>
      </c>
      <c r="AK191" s="41" t="str">
        <f aca="false">IF(OR($R191="",$AD191=""),"",$AD191-$R191)</f>
        <v/>
      </c>
      <c r="AL191" s="31"/>
      <c r="AM191" s="32"/>
      <c r="AN191" s="31" t="s">
        <v>135</v>
      </c>
    </row>
    <row r="192" customFormat="false" ht="15" hidden="false" customHeight="true" outlineLevel="0" collapsed="false">
      <c r="A192" s="38" t="n">
        <f aca="false">IF($B192="","",ROW()-3)</f>
        <v>189</v>
      </c>
      <c r="B192" s="31" t="s">
        <v>450</v>
      </c>
      <c r="C192" s="31" t="s">
        <v>451</v>
      </c>
      <c r="D192" s="31" t="s">
        <v>131</v>
      </c>
      <c r="E192" s="31" t="s">
        <v>455</v>
      </c>
      <c r="F192" s="32" t="n">
        <v>46090</v>
      </c>
      <c r="G192" s="32"/>
      <c r="H192" s="31" t="s">
        <v>167</v>
      </c>
      <c r="I192" s="31" t="s">
        <v>67</v>
      </c>
      <c r="J192" s="33" t="n">
        <v>60</v>
      </c>
      <c r="K192" s="34" t="n">
        <v>1896558.83</v>
      </c>
      <c r="L192" s="34" t="n">
        <v>0</v>
      </c>
      <c r="M192" s="34" t="n">
        <v>198175</v>
      </c>
      <c r="N192" s="39" t="n">
        <f aca="false">IF($K192="","",$K192-N($L192)-N($M192))</f>
        <v>1698383.83</v>
      </c>
      <c r="O192" s="31" t="s">
        <v>68</v>
      </c>
      <c r="P192" s="31" t="s">
        <v>68</v>
      </c>
      <c r="Q192" s="31"/>
      <c r="R192" s="32"/>
      <c r="S192" s="32"/>
      <c r="T192" s="32"/>
      <c r="U192" s="32"/>
      <c r="V192" s="31" t="s">
        <v>134</v>
      </c>
      <c r="W192" s="40" t="n">
        <f aca="false">IF(OR($F192="",$J192=""),"",$F192+$J192)</f>
        <v>46150</v>
      </c>
      <c r="X192" s="32"/>
      <c r="Y192" s="34"/>
      <c r="Z192" s="31"/>
      <c r="AA192" s="31"/>
      <c r="AB192" s="32"/>
      <c r="AC192" s="31"/>
      <c r="AD192" s="32"/>
      <c r="AE192" s="31"/>
      <c r="AF192" s="41" t="str">
        <f aca="false">IF(OR($R192="",$S192=""),"",$S192-$R192)</f>
        <v/>
      </c>
      <c r="AG192" s="41" t="str">
        <f aca="false">IF(OR($S192="",$T192=""),"",$T192-$S192)</f>
        <v/>
      </c>
      <c r="AH192" s="41" t="str">
        <f aca="false">IF(OR($T192="",$U192=""),"",$U192-$T192)</f>
        <v/>
      </c>
      <c r="AI192" s="41" t="str">
        <f aca="false">IF(OR($R192="",$U192=""),"",$U192-$R192)</f>
        <v/>
      </c>
      <c r="AJ192" s="41" t="str">
        <f aca="false">IF(OR($U192="",$AB192=""),"",$AB192-$U192)</f>
        <v/>
      </c>
      <c r="AK192" s="41" t="str">
        <f aca="false">IF(OR($R192="",$AD192=""),"",$AD192-$R192)</f>
        <v/>
      </c>
      <c r="AL192" s="31"/>
      <c r="AM192" s="32"/>
      <c r="AN192" s="31" t="s">
        <v>135</v>
      </c>
    </row>
    <row r="193" customFormat="false" ht="15" hidden="false" customHeight="true" outlineLevel="0" collapsed="false">
      <c r="A193" s="38" t="n">
        <f aca="false">IF($B193="","",ROW()-3)</f>
        <v>190</v>
      </c>
      <c r="B193" s="31" t="s">
        <v>450</v>
      </c>
      <c r="C193" s="31" t="s">
        <v>451</v>
      </c>
      <c r="D193" s="31" t="s">
        <v>131</v>
      </c>
      <c r="E193" s="31" t="s">
        <v>456</v>
      </c>
      <c r="F193" s="32" t="n">
        <v>46090</v>
      </c>
      <c r="G193" s="32"/>
      <c r="H193" s="31" t="s">
        <v>167</v>
      </c>
      <c r="I193" s="31" t="s">
        <v>67</v>
      </c>
      <c r="J193" s="33" t="n">
        <v>60</v>
      </c>
      <c r="K193" s="34" t="n">
        <v>7381194.77</v>
      </c>
      <c r="L193" s="34" t="n">
        <v>0</v>
      </c>
      <c r="M193" s="34" t="n">
        <v>283135.73</v>
      </c>
      <c r="N193" s="39" t="n">
        <f aca="false">IF($K193="","",$K193-N($L193)-N($M193))</f>
        <v>7098059.04</v>
      </c>
      <c r="O193" s="31" t="s">
        <v>68</v>
      </c>
      <c r="P193" s="31" t="s">
        <v>68</v>
      </c>
      <c r="Q193" s="31"/>
      <c r="R193" s="32"/>
      <c r="S193" s="32"/>
      <c r="T193" s="32"/>
      <c r="U193" s="32"/>
      <c r="V193" s="31" t="s">
        <v>134</v>
      </c>
      <c r="W193" s="40" t="n">
        <f aca="false">IF(OR($F193="",$J193=""),"",$F193+$J193)</f>
        <v>46150</v>
      </c>
      <c r="X193" s="32"/>
      <c r="Y193" s="34"/>
      <c r="Z193" s="31"/>
      <c r="AA193" s="31"/>
      <c r="AB193" s="32"/>
      <c r="AC193" s="31"/>
      <c r="AD193" s="32"/>
      <c r="AE193" s="31"/>
      <c r="AF193" s="41" t="str">
        <f aca="false">IF(OR($R193="",$S193=""),"",$S193-$R193)</f>
        <v/>
      </c>
      <c r="AG193" s="41" t="str">
        <f aca="false">IF(OR($S193="",$T193=""),"",$T193-$S193)</f>
        <v/>
      </c>
      <c r="AH193" s="41" t="str">
        <f aca="false">IF(OR($T193="",$U193=""),"",$U193-$T193)</f>
        <v/>
      </c>
      <c r="AI193" s="41" t="str">
        <f aca="false">IF(OR($R193="",$U193=""),"",$U193-$R193)</f>
        <v/>
      </c>
      <c r="AJ193" s="41" t="str">
        <f aca="false">IF(OR($U193="",$AB193=""),"",$AB193-$U193)</f>
        <v/>
      </c>
      <c r="AK193" s="41" t="str">
        <f aca="false">IF(OR($R193="",$AD193=""),"",$AD193-$R193)</f>
        <v/>
      </c>
      <c r="AL193" s="31"/>
      <c r="AM193" s="32"/>
      <c r="AN193" s="31" t="s">
        <v>135</v>
      </c>
    </row>
    <row r="194" customFormat="false" ht="15" hidden="false" customHeight="true" outlineLevel="0" collapsed="false">
      <c r="A194" s="38" t="n">
        <f aca="false">IF($B194="","",ROW()-3)</f>
        <v>191</v>
      </c>
      <c r="B194" s="31" t="s">
        <v>450</v>
      </c>
      <c r="C194" s="31" t="s">
        <v>451</v>
      </c>
      <c r="D194" s="31" t="s">
        <v>131</v>
      </c>
      <c r="E194" s="31" t="s">
        <v>457</v>
      </c>
      <c r="F194" s="32" t="n">
        <v>46090</v>
      </c>
      <c r="G194" s="32"/>
      <c r="H194" s="31" t="s">
        <v>139</v>
      </c>
      <c r="I194" s="31" t="s">
        <v>71</v>
      </c>
      <c r="J194" s="33" t="n">
        <v>60</v>
      </c>
      <c r="K194" s="34" t="n">
        <v>8802.07</v>
      </c>
      <c r="L194" s="34" t="n">
        <v>0</v>
      </c>
      <c r="M194" s="34" t="n">
        <v>0</v>
      </c>
      <c r="N194" s="39" t="n">
        <f aca="false">IF($K194="","",$K194-N($L194)-N($M194))</f>
        <v>8802.07</v>
      </c>
      <c r="O194" s="31" t="s">
        <v>68</v>
      </c>
      <c r="P194" s="31" t="s">
        <v>68</v>
      </c>
      <c r="Q194" s="31"/>
      <c r="R194" s="32"/>
      <c r="S194" s="32"/>
      <c r="T194" s="32"/>
      <c r="U194" s="32"/>
      <c r="V194" s="31" t="s">
        <v>134</v>
      </c>
      <c r="W194" s="40" t="n">
        <f aca="false">IF(OR($F194="",$J194=""),"",$F194+$J194)</f>
        <v>46150</v>
      </c>
      <c r="X194" s="32"/>
      <c r="Y194" s="34"/>
      <c r="Z194" s="31"/>
      <c r="AA194" s="31"/>
      <c r="AB194" s="32"/>
      <c r="AC194" s="31"/>
      <c r="AD194" s="32"/>
      <c r="AE194" s="31"/>
      <c r="AF194" s="41" t="str">
        <f aca="false">IF(OR($R194="",$S194=""),"",$S194-$R194)</f>
        <v/>
      </c>
      <c r="AG194" s="41" t="str">
        <f aca="false">IF(OR($S194="",$T194=""),"",$T194-$S194)</f>
        <v/>
      </c>
      <c r="AH194" s="41" t="str">
        <f aca="false">IF(OR($T194="",$U194=""),"",$U194-$T194)</f>
        <v/>
      </c>
      <c r="AI194" s="41" t="str">
        <f aca="false">IF(OR($R194="",$U194=""),"",$U194-$R194)</f>
        <v/>
      </c>
      <c r="AJ194" s="41" t="str">
        <f aca="false">IF(OR($U194="",$AB194=""),"",$AB194-$U194)</f>
        <v/>
      </c>
      <c r="AK194" s="41" t="str">
        <f aca="false">IF(OR($R194="",$AD194=""),"",$AD194-$R194)</f>
        <v/>
      </c>
      <c r="AL194" s="31"/>
      <c r="AM194" s="32"/>
      <c r="AN194" s="31" t="s">
        <v>135</v>
      </c>
    </row>
    <row r="195" customFormat="false" ht="15" hidden="false" customHeight="true" outlineLevel="0" collapsed="false">
      <c r="A195" s="38" t="n">
        <f aca="false">IF($B195="","",ROW()-3)</f>
        <v>192</v>
      </c>
      <c r="B195" s="31" t="s">
        <v>450</v>
      </c>
      <c r="C195" s="31" t="s">
        <v>451</v>
      </c>
      <c r="D195" s="31" t="s">
        <v>131</v>
      </c>
      <c r="E195" s="31" t="s">
        <v>458</v>
      </c>
      <c r="F195" s="32" t="n">
        <v>46091</v>
      </c>
      <c r="G195" s="32"/>
      <c r="H195" s="31" t="s">
        <v>139</v>
      </c>
      <c r="I195" s="31" t="s">
        <v>69</v>
      </c>
      <c r="J195" s="33" t="n">
        <v>60</v>
      </c>
      <c r="K195" s="34" t="n">
        <v>457834.12</v>
      </c>
      <c r="L195" s="34" t="n">
        <v>63716.85</v>
      </c>
      <c r="M195" s="34" t="n">
        <v>0</v>
      </c>
      <c r="N195" s="39" t="n">
        <f aca="false">IF($K195="","",$K195-N($L195)-N($M195))</f>
        <v>394117.27</v>
      </c>
      <c r="O195" s="31" t="s">
        <v>68</v>
      </c>
      <c r="P195" s="31" t="s">
        <v>68</v>
      </c>
      <c r="Q195" s="31"/>
      <c r="R195" s="32"/>
      <c r="S195" s="32"/>
      <c r="T195" s="32"/>
      <c r="U195" s="32"/>
      <c r="V195" s="31" t="s">
        <v>134</v>
      </c>
      <c r="W195" s="40" t="n">
        <f aca="false">IF(OR($F195="",$J195=""),"",$F195+$J195)</f>
        <v>46151</v>
      </c>
      <c r="X195" s="32"/>
      <c r="Y195" s="34"/>
      <c r="Z195" s="31"/>
      <c r="AA195" s="31"/>
      <c r="AB195" s="32"/>
      <c r="AC195" s="31"/>
      <c r="AD195" s="32"/>
      <c r="AE195" s="31"/>
      <c r="AF195" s="41" t="str">
        <f aca="false">IF(OR($R195="",$S195=""),"",$S195-$R195)</f>
        <v/>
      </c>
      <c r="AG195" s="41" t="str">
        <f aca="false">IF(OR($S195="",$T195=""),"",$T195-$S195)</f>
        <v/>
      </c>
      <c r="AH195" s="41" t="str">
        <f aca="false">IF(OR($T195="",$U195=""),"",$U195-$T195)</f>
        <v/>
      </c>
      <c r="AI195" s="41" t="str">
        <f aca="false">IF(OR($R195="",$U195=""),"",$U195-$R195)</f>
        <v/>
      </c>
      <c r="AJ195" s="41" t="str">
        <f aca="false">IF(OR($U195="",$AB195=""),"",$AB195-$U195)</f>
        <v/>
      </c>
      <c r="AK195" s="41" t="str">
        <f aca="false">IF(OR($R195="",$AD195=""),"",$AD195-$R195)</f>
        <v/>
      </c>
      <c r="AL195" s="31"/>
      <c r="AM195" s="32"/>
      <c r="AN195" s="31" t="s">
        <v>135</v>
      </c>
    </row>
    <row r="196" customFormat="false" ht="15" hidden="false" customHeight="true" outlineLevel="0" collapsed="false">
      <c r="A196" s="38" t="n">
        <f aca="false">IF($B196="","",ROW()-3)</f>
        <v>193</v>
      </c>
      <c r="B196" s="31" t="s">
        <v>450</v>
      </c>
      <c r="C196" s="31" t="s">
        <v>451</v>
      </c>
      <c r="D196" s="31" t="s">
        <v>131</v>
      </c>
      <c r="E196" s="31" t="s">
        <v>459</v>
      </c>
      <c r="F196" s="32" t="n">
        <v>46091</v>
      </c>
      <c r="G196" s="32"/>
      <c r="H196" s="31" t="s">
        <v>167</v>
      </c>
      <c r="I196" s="31" t="s">
        <v>67</v>
      </c>
      <c r="J196" s="33" t="n">
        <v>60</v>
      </c>
      <c r="K196" s="34" t="n">
        <v>22904180.38</v>
      </c>
      <c r="L196" s="34" t="n">
        <v>0</v>
      </c>
      <c r="M196" s="34" t="n">
        <v>839329.63</v>
      </c>
      <c r="N196" s="39" t="n">
        <f aca="false">IF($K196="","",$K196-N($L196)-N($M196))</f>
        <v>22064850.75</v>
      </c>
      <c r="O196" s="31" t="s">
        <v>68</v>
      </c>
      <c r="P196" s="31" t="s">
        <v>68</v>
      </c>
      <c r="Q196" s="31"/>
      <c r="R196" s="32"/>
      <c r="S196" s="32"/>
      <c r="T196" s="32"/>
      <c r="U196" s="32"/>
      <c r="V196" s="31" t="s">
        <v>134</v>
      </c>
      <c r="W196" s="40" t="n">
        <f aca="false">IF(OR($F196="",$J196=""),"",$F196+$J196)</f>
        <v>46151</v>
      </c>
      <c r="X196" s="32"/>
      <c r="Y196" s="34"/>
      <c r="Z196" s="31"/>
      <c r="AA196" s="31"/>
      <c r="AB196" s="32"/>
      <c r="AC196" s="31"/>
      <c r="AD196" s="32"/>
      <c r="AE196" s="31"/>
      <c r="AF196" s="41" t="str">
        <f aca="false">IF(OR($R196="",$S196=""),"",$S196-$R196)</f>
        <v/>
      </c>
      <c r="AG196" s="41" t="str">
        <f aca="false">IF(OR($S196="",$T196=""),"",$T196-$S196)</f>
        <v/>
      </c>
      <c r="AH196" s="41" t="str">
        <f aca="false">IF(OR($T196="",$U196=""),"",$U196-$T196)</f>
        <v/>
      </c>
      <c r="AI196" s="41" t="str">
        <f aca="false">IF(OR($R196="",$U196=""),"",$U196-$R196)</f>
        <v/>
      </c>
      <c r="AJ196" s="41" t="str">
        <f aca="false">IF(OR($U196="",$AB196=""),"",$AB196-$U196)</f>
        <v/>
      </c>
      <c r="AK196" s="41" t="str">
        <f aca="false">IF(OR($R196="",$AD196=""),"",$AD196-$R196)</f>
        <v/>
      </c>
      <c r="AL196" s="31"/>
      <c r="AM196" s="32"/>
      <c r="AN196" s="31" t="s">
        <v>135</v>
      </c>
    </row>
    <row r="197" customFormat="false" ht="15" hidden="false" customHeight="true" outlineLevel="0" collapsed="false">
      <c r="A197" s="38" t="n">
        <f aca="false">IF($B197="","",ROW()-3)</f>
        <v>194</v>
      </c>
      <c r="B197" s="31" t="s">
        <v>460</v>
      </c>
      <c r="C197" s="31" t="s">
        <v>461</v>
      </c>
      <c r="D197" s="31" t="s">
        <v>131</v>
      </c>
      <c r="E197" s="31" t="s">
        <v>462</v>
      </c>
      <c r="F197" s="32" t="n">
        <v>46089</v>
      </c>
      <c r="G197" s="32"/>
      <c r="H197" s="31" t="s">
        <v>139</v>
      </c>
      <c r="I197" s="31" t="s">
        <v>71</v>
      </c>
      <c r="J197" s="33" t="n">
        <v>60</v>
      </c>
      <c r="K197" s="34" t="n">
        <v>51800</v>
      </c>
      <c r="L197" s="34" t="n">
        <v>0</v>
      </c>
      <c r="M197" s="34" t="n">
        <v>0</v>
      </c>
      <c r="N197" s="39" t="n">
        <f aca="false">IF($K197="","",$K197-N($L197)-N($M197))</f>
        <v>51800</v>
      </c>
      <c r="O197" s="31" t="s">
        <v>68</v>
      </c>
      <c r="P197" s="31" t="s">
        <v>68</v>
      </c>
      <c r="Q197" s="31"/>
      <c r="R197" s="32"/>
      <c r="S197" s="32"/>
      <c r="T197" s="32"/>
      <c r="U197" s="32"/>
      <c r="V197" s="31" t="s">
        <v>134</v>
      </c>
      <c r="W197" s="40" t="n">
        <f aca="false">IF(OR($F197="",$J197=""),"",$F197+$J197)</f>
        <v>46149</v>
      </c>
      <c r="X197" s="32"/>
      <c r="Y197" s="34"/>
      <c r="Z197" s="31"/>
      <c r="AA197" s="31"/>
      <c r="AB197" s="32"/>
      <c r="AC197" s="31"/>
      <c r="AD197" s="32"/>
      <c r="AE197" s="31"/>
      <c r="AF197" s="41" t="str">
        <f aca="false">IF(OR($R197="",$S197=""),"",$S197-$R197)</f>
        <v/>
      </c>
      <c r="AG197" s="41" t="str">
        <f aca="false">IF(OR($S197="",$T197=""),"",$T197-$S197)</f>
        <v/>
      </c>
      <c r="AH197" s="41" t="str">
        <f aca="false">IF(OR($T197="",$U197=""),"",$U197-$T197)</f>
        <v/>
      </c>
      <c r="AI197" s="41" t="str">
        <f aca="false">IF(OR($R197="",$U197=""),"",$U197-$R197)</f>
        <v/>
      </c>
      <c r="AJ197" s="41" t="str">
        <f aca="false">IF(OR($U197="",$AB197=""),"",$AB197-$U197)</f>
        <v/>
      </c>
      <c r="AK197" s="41" t="str">
        <f aca="false">IF(OR($R197="",$AD197=""),"",$AD197-$R197)</f>
        <v/>
      </c>
      <c r="AL197" s="31"/>
      <c r="AM197" s="32"/>
      <c r="AN197" s="31" t="s">
        <v>135</v>
      </c>
    </row>
    <row r="198" customFormat="false" ht="15" hidden="false" customHeight="true" outlineLevel="0" collapsed="false">
      <c r="A198" s="38" t="n">
        <f aca="false">IF($B198="","",ROW()-3)</f>
        <v>195</v>
      </c>
      <c r="B198" s="31" t="s">
        <v>460</v>
      </c>
      <c r="C198" s="31" t="s">
        <v>461</v>
      </c>
      <c r="D198" s="31" t="s">
        <v>131</v>
      </c>
      <c r="E198" s="31" t="s">
        <v>463</v>
      </c>
      <c r="F198" s="32" t="n">
        <v>46090</v>
      </c>
      <c r="G198" s="32"/>
      <c r="H198" s="31" t="s">
        <v>139</v>
      </c>
      <c r="I198" s="31" t="s">
        <v>67</v>
      </c>
      <c r="J198" s="33" t="n">
        <v>60</v>
      </c>
      <c r="K198" s="34" t="n">
        <v>555173.54</v>
      </c>
      <c r="L198" s="34" t="n">
        <v>0</v>
      </c>
      <c r="M198" s="34" t="n">
        <v>0</v>
      </c>
      <c r="N198" s="39" t="n">
        <f aca="false">IF($K198="","",$K198-N($L198)-N($M198))</f>
        <v>555173.54</v>
      </c>
      <c r="O198" s="31" t="s">
        <v>68</v>
      </c>
      <c r="P198" s="31" t="s">
        <v>68</v>
      </c>
      <c r="Q198" s="31"/>
      <c r="R198" s="32"/>
      <c r="S198" s="32"/>
      <c r="T198" s="32"/>
      <c r="U198" s="32"/>
      <c r="V198" s="31" t="s">
        <v>134</v>
      </c>
      <c r="W198" s="40" t="n">
        <f aca="false">IF(OR($F198="",$J198=""),"",$F198+$J198)</f>
        <v>46150</v>
      </c>
      <c r="X198" s="32"/>
      <c r="Y198" s="34"/>
      <c r="Z198" s="31"/>
      <c r="AA198" s="31"/>
      <c r="AB198" s="32"/>
      <c r="AC198" s="31"/>
      <c r="AD198" s="32"/>
      <c r="AE198" s="31"/>
      <c r="AF198" s="41" t="str">
        <f aca="false">IF(OR($R198="",$S198=""),"",$S198-$R198)</f>
        <v/>
      </c>
      <c r="AG198" s="41" t="str">
        <f aca="false">IF(OR($S198="",$T198=""),"",$T198-$S198)</f>
        <v/>
      </c>
      <c r="AH198" s="41" t="str">
        <f aca="false">IF(OR($T198="",$U198=""),"",$U198-$T198)</f>
        <v/>
      </c>
      <c r="AI198" s="41" t="str">
        <f aca="false">IF(OR($R198="",$U198=""),"",$U198-$R198)</f>
        <v/>
      </c>
      <c r="AJ198" s="41" t="str">
        <f aca="false">IF(OR($U198="",$AB198=""),"",$AB198-$U198)</f>
        <v/>
      </c>
      <c r="AK198" s="41" t="str">
        <f aca="false">IF(OR($R198="",$AD198=""),"",$AD198-$R198)</f>
        <v/>
      </c>
      <c r="AL198" s="31"/>
      <c r="AM198" s="32"/>
      <c r="AN198" s="31" t="s">
        <v>135</v>
      </c>
    </row>
    <row r="199" customFormat="false" ht="15" hidden="false" customHeight="true" outlineLevel="0" collapsed="false">
      <c r="A199" s="38" t="n">
        <f aca="false">IF($B199="","",ROW()-3)</f>
        <v>196</v>
      </c>
      <c r="B199" s="31" t="s">
        <v>460</v>
      </c>
      <c r="C199" s="31" t="s">
        <v>461</v>
      </c>
      <c r="D199" s="31" t="s">
        <v>131</v>
      </c>
      <c r="E199" s="31" t="s">
        <v>464</v>
      </c>
      <c r="F199" s="32" t="n">
        <v>46090</v>
      </c>
      <c r="G199" s="32"/>
      <c r="H199" s="31" t="s">
        <v>139</v>
      </c>
      <c r="I199" s="31" t="s">
        <v>69</v>
      </c>
      <c r="J199" s="33" t="n">
        <v>60</v>
      </c>
      <c r="K199" s="34" t="n">
        <v>244111.34</v>
      </c>
      <c r="L199" s="34" t="n">
        <v>0</v>
      </c>
      <c r="M199" s="34" t="n">
        <v>0</v>
      </c>
      <c r="N199" s="39" t="n">
        <f aca="false">IF($K199="","",$K199-N($L199)-N($M199))</f>
        <v>244111.34</v>
      </c>
      <c r="O199" s="31" t="s">
        <v>68</v>
      </c>
      <c r="P199" s="31" t="s">
        <v>68</v>
      </c>
      <c r="Q199" s="31"/>
      <c r="R199" s="32"/>
      <c r="S199" s="32"/>
      <c r="T199" s="32"/>
      <c r="U199" s="32"/>
      <c r="V199" s="31" t="s">
        <v>134</v>
      </c>
      <c r="W199" s="40" t="n">
        <f aca="false">IF(OR($F199="",$J199=""),"",$F199+$J199)</f>
        <v>46150</v>
      </c>
      <c r="X199" s="32"/>
      <c r="Y199" s="34"/>
      <c r="Z199" s="31"/>
      <c r="AA199" s="31"/>
      <c r="AB199" s="32"/>
      <c r="AC199" s="31"/>
      <c r="AD199" s="32"/>
      <c r="AE199" s="31"/>
      <c r="AF199" s="41" t="str">
        <f aca="false">IF(OR($R199="",$S199=""),"",$S199-$R199)</f>
        <v/>
      </c>
      <c r="AG199" s="41" t="str">
        <f aca="false">IF(OR($S199="",$T199=""),"",$T199-$S199)</f>
        <v/>
      </c>
      <c r="AH199" s="41" t="str">
        <f aca="false">IF(OR($T199="",$U199=""),"",$U199-$T199)</f>
        <v/>
      </c>
      <c r="AI199" s="41" t="str">
        <f aca="false">IF(OR($R199="",$U199=""),"",$U199-$R199)</f>
        <v/>
      </c>
      <c r="AJ199" s="41" t="str">
        <f aca="false">IF(OR($U199="",$AB199=""),"",$AB199-$U199)</f>
        <v/>
      </c>
      <c r="AK199" s="41" t="str">
        <f aca="false">IF(OR($R199="",$AD199=""),"",$AD199-$R199)</f>
        <v/>
      </c>
      <c r="AL199" s="31"/>
      <c r="AM199" s="32"/>
      <c r="AN199" s="31" t="s">
        <v>135</v>
      </c>
    </row>
    <row r="200" customFormat="false" ht="15" hidden="false" customHeight="true" outlineLevel="0" collapsed="false">
      <c r="A200" s="38" t="n">
        <f aca="false">IF($B200="","",ROW()-3)</f>
        <v>197</v>
      </c>
      <c r="B200" s="31" t="s">
        <v>465</v>
      </c>
      <c r="C200" s="31" t="s">
        <v>466</v>
      </c>
      <c r="D200" s="31" t="s">
        <v>131</v>
      </c>
      <c r="E200" s="31" t="s">
        <v>467</v>
      </c>
      <c r="F200" s="32" t="n">
        <v>46090</v>
      </c>
      <c r="G200" s="32"/>
      <c r="H200" s="31" t="s">
        <v>339</v>
      </c>
      <c r="I200" s="31" t="s">
        <v>67</v>
      </c>
      <c r="J200" s="33" t="n">
        <v>30</v>
      </c>
      <c r="K200" s="34" t="n">
        <v>2108250</v>
      </c>
      <c r="L200" s="34" t="n">
        <v>0</v>
      </c>
      <c r="M200" s="34" t="n">
        <v>0</v>
      </c>
      <c r="N200" s="39" t="n">
        <f aca="false">IF($K200="","",$K200-N($L200)-N($M200))</f>
        <v>2108250</v>
      </c>
      <c r="O200" s="31" t="s">
        <v>68</v>
      </c>
      <c r="P200" s="31" t="s">
        <v>68</v>
      </c>
      <c r="Q200" s="31"/>
      <c r="R200" s="32"/>
      <c r="S200" s="32"/>
      <c r="T200" s="32"/>
      <c r="U200" s="32"/>
      <c r="V200" s="31" t="s">
        <v>134</v>
      </c>
      <c r="W200" s="40" t="n">
        <f aca="false">IF(OR($F200="",$J200=""),"",$F200+$J200)</f>
        <v>46120</v>
      </c>
      <c r="X200" s="32"/>
      <c r="Y200" s="34"/>
      <c r="Z200" s="31"/>
      <c r="AA200" s="31"/>
      <c r="AB200" s="32"/>
      <c r="AC200" s="31"/>
      <c r="AD200" s="32"/>
      <c r="AE200" s="31"/>
      <c r="AF200" s="41" t="str">
        <f aca="false">IF(OR($R200="",$S200=""),"",$S200-$R200)</f>
        <v/>
      </c>
      <c r="AG200" s="41" t="str">
        <f aca="false">IF(OR($S200="",$T200=""),"",$T200-$S200)</f>
        <v/>
      </c>
      <c r="AH200" s="41" t="str">
        <f aca="false">IF(OR($T200="",$U200=""),"",$U200-$T200)</f>
        <v/>
      </c>
      <c r="AI200" s="41" t="str">
        <f aca="false">IF(OR($R200="",$U200=""),"",$U200-$R200)</f>
        <v/>
      </c>
      <c r="AJ200" s="41" t="str">
        <f aca="false">IF(OR($U200="",$AB200=""),"",$AB200-$U200)</f>
        <v/>
      </c>
      <c r="AK200" s="41" t="str">
        <f aca="false">IF(OR($R200="",$AD200=""),"",$AD200-$R200)</f>
        <v/>
      </c>
      <c r="AL200" s="31"/>
      <c r="AM200" s="32"/>
      <c r="AN200" s="31" t="s">
        <v>135</v>
      </c>
    </row>
    <row r="201" customFormat="false" ht="15" hidden="false" customHeight="true" outlineLevel="0" collapsed="false">
      <c r="A201" s="38" t="n">
        <f aca="false">IF($B201="","",ROW()-3)</f>
        <v>198</v>
      </c>
      <c r="B201" s="31" t="s">
        <v>468</v>
      </c>
      <c r="C201" s="31" t="s">
        <v>469</v>
      </c>
      <c r="D201" s="31" t="s">
        <v>131</v>
      </c>
      <c r="E201" s="31" t="s">
        <v>470</v>
      </c>
      <c r="F201" s="32" t="n">
        <v>46087</v>
      </c>
      <c r="G201" s="32"/>
      <c r="H201" s="31" t="s">
        <v>139</v>
      </c>
      <c r="I201" s="31" t="s">
        <v>69</v>
      </c>
      <c r="J201" s="33" t="n">
        <v>60</v>
      </c>
      <c r="K201" s="34" t="n">
        <v>245500</v>
      </c>
      <c r="L201" s="34" t="n">
        <v>81600</v>
      </c>
      <c r="M201" s="34" t="n">
        <v>0</v>
      </c>
      <c r="N201" s="39" t="n">
        <f aca="false">IF($K201="","",$K201-N($L201)-N($M201))</f>
        <v>163900</v>
      </c>
      <c r="O201" s="31" t="s">
        <v>68</v>
      </c>
      <c r="P201" s="31" t="s">
        <v>68</v>
      </c>
      <c r="Q201" s="31"/>
      <c r="R201" s="32"/>
      <c r="S201" s="32"/>
      <c r="T201" s="32"/>
      <c r="U201" s="32"/>
      <c r="V201" s="31" t="s">
        <v>134</v>
      </c>
      <c r="W201" s="40" t="n">
        <f aca="false">IF(OR($F201="",$J201=""),"",$F201+$J201)</f>
        <v>46147</v>
      </c>
      <c r="X201" s="32"/>
      <c r="Y201" s="34"/>
      <c r="Z201" s="31"/>
      <c r="AA201" s="31"/>
      <c r="AB201" s="32"/>
      <c r="AC201" s="31"/>
      <c r="AD201" s="32"/>
      <c r="AE201" s="31"/>
      <c r="AF201" s="41" t="str">
        <f aca="false">IF(OR($R201="",$S201=""),"",$S201-$R201)</f>
        <v/>
      </c>
      <c r="AG201" s="41" t="str">
        <f aca="false">IF(OR($S201="",$T201=""),"",$T201-$S201)</f>
        <v/>
      </c>
      <c r="AH201" s="41" t="str">
        <f aca="false">IF(OR($T201="",$U201=""),"",$U201-$T201)</f>
        <v/>
      </c>
      <c r="AI201" s="41" t="str">
        <f aca="false">IF(OR($R201="",$U201=""),"",$U201-$R201)</f>
        <v/>
      </c>
      <c r="AJ201" s="41" t="str">
        <f aca="false">IF(OR($U201="",$AB201=""),"",$AB201-$U201)</f>
        <v/>
      </c>
      <c r="AK201" s="41" t="str">
        <f aca="false">IF(OR($R201="",$AD201=""),"",$AD201-$R201)</f>
        <v/>
      </c>
      <c r="AL201" s="31"/>
      <c r="AM201" s="32"/>
      <c r="AN201" s="31" t="s">
        <v>135</v>
      </c>
    </row>
    <row r="202" customFormat="false" ht="15" hidden="false" customHeight="true" outlineLevel="0" collapsed="false">
      <c r="A202" s="38" t="n">
        <f aca="false">IF($B202="","",ROW()-3)</f>
        <v>199</v>
      </c>
      <c r="B202" s="31" t="s">
        <v>468</v>
      </c>
      <c r="C202" s="31" t="s">
        <v>469</v>
      </c>
      <c r="D202" s="31" t="s">
        <v>131</v>
      </c>
      <c r="E202" s="31" t="s">
        <v>471</v>
      </c>
      <c r="F202" s="32" t="n">
        <v>46087</v>
      </c>
      <c r="G202" s="32"/>
      <c r="H202" s="31" t="s">
        <v>139</v>
      </c>
      <c r="I202" s="31" t="s">
        <v>67</v>
      </c>
      <c r="J202" s="33" t="n">
        <v>60</v>
      </c>
      <c r="K202" s="34" t="n">
        <v>689580</v>
      </c>
      <c r="L202" s="34" t="n">
        <v>44800</v>
      </c>
      <c r="M202" s="34" t="n">
        <v>0</v>
      </c>
      <c r="N202" s="39" t="n">
        <f aca="false">IF($K202="","",$K202-N($L202)-N($M202))</f>
        <v>644780</v>
      </c>
      <c r="O202" s="31" t="s">
        <v>68</v>
      </c>
      <c r="P202" s="31" t="s">
        <v>68</v>
      </c>
      <c r="Q202" s="31"/>
      <c r="R202" s="32"/>
      <c r="S202" s="32"/>
      <c r="T202" s="32"/>
      <c r="U202" s="32"/>
      <c r="V202" s="31" t="s">
        <v>134</v>
      </c>
      <c r="W202" s="40" t="n">
        <f aca="false">IF(OR($F202="",$J202=""),"",$F202+$J202)</f>
        <v>46147</v>
      </c>
      <c r="X202" s="32"/>
      <c r="Y202" s="34"/>
      <c r="Z202" s="31"/>
      <c r="AA202" s="31"/>
      <c r="AB202" s="32"/>
      <c r="AC202" s="31"/>
      <c r="AD202" s="32"/>
      <c r="AE202" s="31"/>
      <c r="AF202" s="41" t="str">
        <f aca="false">IF(OR($R202="",$S202=""),"",$S202-$R202)</f>
        <v/>
      </c>
      <c r="AG202" s="41" t="str">
        <f aca="false">IF(OR($S202="",$T202=""),"",$T202-$S202)</f>
        <v/>
      </c>
      <c r="AH202" s="41" t="str">
        <f aca="false">IF(OR($T202="",$U202=""),"",$U202-$T202)</f>
        <v/>
      </c>
      <c r="AI202" s="41" t="str">
        <f aca="false">IF(OR($R202="",$U202=""),"",$U202-$R202)</f>
        <v/>
      </c>
      <c r="AJ202" s="41" t="str">
        <f aca="false">IF(OR($U202="",$AB202=""),"",$AB202-$U202)</f>
        <v/>
      </c>
      <c r="AK202" s="41" t="str">
        <f aca="false">IF(OR($R202="",$AD202=""),"",$AD202-$R202)</f>
        <v/>
      </c>
      <c r="AL202" s="31"/>
      <c r="AM202" s="32"/>
      <c r="AN202" s="31" t="s">
        <v>135</v>
      </c>
    </row>
    <row r="203" customFormat="false" ht="15" hidden="false" customHeight="true" outlineLevel="0" collapsed="false">
      <c r="A203" s="38" t="n">
        <f aca="false">IF($B203="","",ROW()-3)</f>
        <v>200</v>
      </c>
      <c r="B203" s="31" t="s">
        <v>472</v>
      </c>
      <c r="C203" s="31" t="s">
        <v>473</v>
      </c>
      <c r="D203" s="31" t="s">
        <v>131</v>
      </c>
      <c r="E203" s="31" t="s">
        <v>474</v>
      </c>
      <c r="F203" s="32" t="n">
        <v>46087</v>
      </c>
      <c r="G203" s="32"/>
      <c r="H203" s="31" t="s">
        <v>139</v>
      </c>
      <c r="I203" s="31" t="s">
        <v>67</v>
      </c>
      <c r="J203" s="33" t="n">
        <v>45</v>
      </c>
      <c r="K203" s="34" t="n">
        <v>35000</v>
      </c>
      <c r="L203" s="34" t="n">
        <v>27500</v>
      </c>
      <c r="M203" s="34" t="n">
        <v>0</v>
      </c>
      <c r="N203" s="39" t="n">
        <f aca="false">IF($K203="","",$K203-N($L203)-N($M203))</f>
        <v>7500</v>
      </c>
      <c r="O203" s="31" t="s">
        <v>68</v>
      </c>
      <c r="P203" s="31" t="s">
        <v>68</v>
      </c>
      <c r="Q203" s="31"/>
      <c r="R203" s="32"/>
      <c r="S203" s="32"/>
      <c r="T203" s="32"/>
      <c r="U203" s="32"/>
      <c r="V203" s="31" t="s">
        <v>134</v>
      </c>
      <c r="W203" s="40" t="n">
        <f aca="false">IF(OR($F203="",$J203=""),"",$F203+$J203)</f>
        <v>46132</v>
      </c>
      <c r="X203" s="32"/>
      <c r="Y203" s="34"/>
      <c r="Z203" s="31"/>
      <c r="AA203" s="31"/>
      <c r="AB203" s="32"/>
      <c r="AC203" s="31"/>
      <c r="AD203" s="32"/>
      <c r="AE203" s="31"/>
      <c r="AF203" s="41" t="str">
        <f aca="false">IF(OR($R203="",$S203=""),"",$S203-$R203)</f>
        <v/>
      </c>
      <c r="AG203" s="41" t="str">
        <f aca="false">IF(OR($S203="",$T203=""),"",$T203-$S203)</f>
        <v/>
      </c>
      <c r="AH203" s="41" t="str">
        <f aca="false">IF(OR($T203="",$U203=""),"",$U203-$T203)</f>
        <v/>
      </c>
      <c r="AI203" s="41" t="str">
        <f aca="false">IF(OR($R203="",$U203=""),"",$U203-$R203)</f>
        <v/>
      </c>
      <c r="AJ203" s="41" t="str">
        <f aca="false">IF(OR($U203="",$AB203=""),"",$AB203-$U203)</f>
        <v/>
      </c>
      <c r="AK203" s="41" t="str">
        <f aca="false">IF(OR($R203="",$AD203=""),"",$AD203-$R203)</f>
        <v/>
      </c>
      <c r="AL203" s="31"/>
      <c r="AM203" s="32"/>
      <c r="AN203" s="31" t="s">
        <v>135</v>
      </c>
    </row>
    <row r="204" customFormat="false" ht="15" hidden="false" customHeight="true" outlineLevel="0" collapsed="false">
      <c r="A204" s="38" t="n">
        <f aca="false">IF($B204="","",ROW()-3)</f>
        <v>201</v>
      </c>
      <c r="B204" s="31" t="s">
        <v>475</v>
      </c>
      <c r="C204" s="31" t="s">
        <v>476</v>
      </c>
      <c r="D204" s="31" t="s">
        <v>131</v>
      </c>
      <c r="E204" s="31" t="s">
        <v>477</v>
      </c>
      <c r="F204" s="32" t="n">
        <v>46089</v>
      </c>
      <c r="G204" s="32"/>
      <c r="H204" s="31" t="s">
        <v>139</v>
      </c>
      <c r="I204" s="31" t="s">
        <v>75</v>
      </c>
      <c r="J204" s="33" t="n">
        <v>60</v>
      </c>
      <c r="K204" s="34" t="n">
        <v>4000</v>
      </c>
      <c r="L204" s="34" t="n">
        <v>0</v>
      </c>
      <c r="M204" s="34" t="n">
        <v>0</v>
      </c>
      <c r="N204" s="39" t="n">
        <f aca="false">IF($K204="","",$K204-N($L204)-N($M204))</f>
        <v>4000</v>
      </c>
      <c r="O204" s="31" t="s">
        <v>68</v>
      </c>
      <c r="P204" s="31" t="s">
        <v>68</v>
      </c>
      <c r="Q204" s="31"/>
      <c r="R204" s="32"/>
      <c r="S204" s="32"/>
      <c r="T204" s="32"/>
      <c r="U204" s="32"/>
      <c r="V204" s="31" t="s">
        <v>134</v>
      </c>
      <c r="W204" s="40" t="n">
        <f aca="false">IF(OR($F204="",$J204=""),"",$F204+$J204)</f>
        <v>46149</v>
      </c>
      <c r="X204" s="32"/>
      <c r="Y204" s="34"/>
      <c r="Z204" s="31"/>
      <c r="AA204" s="31"/>
      <c r="AB204" s="32"/>
      <c r="AC204" s="31"/>
      <c r="AD204" s="32"/>
      <c r="AE204" s="31"/>
      <c r="AF204" s="41" t="str">
        <f aca="false">IF(OR($R204="",$S204=""),"",$S204-$R204)</f>
        <v/>
      </c>
      <c r="AG204" s="41" t="str">
        <f aca="false">IF(OR($S204="",$T204=""),"",$T204-$S204)</f>
        <v/>
      </c>
      <c r="AH204" s="41" t="str">
        <f aca="false">IF(OR($T204="",$U204=""),"",$U204-$T204)</f>
        <v/>
      </c>
      <c r="AI204" s="41" t="str">
        <f aca="false">IF(OR($R204="",$U204=""),"",$U204-$R204)</f>
        <v/>
      </c>
      <c r="AJ204" s="41" t="str">
        <f aca="false">IF(OR($U204="",$AB204=""),"",$AB204-$U204)</f>
        <v/>
      </c>
      <c r="AK204" s="41" t="str">
        <f aca="false">IF(OR($R204="",$AD204=""),"",$AD204-$R204)</f>
        <v/>
      </c>
      <c r="AL204" s="31"/>
      <c r="AM204" s="32"/>
      <c r="AN204" s="31" t="s">
        <v>135</v>
      </c>
    </row>
    <row r="205" customFormat="false" ht="15" hidden="false" customHeight="true" outlineLevel="0" collapsed="false">
      <c r="A205" s="38" t="n">
        <f aca="false">IF($B205="","",ROW()-3)</f>
        <v>202</v>
      </c>
      <c r="B205" s="31" t="s">
        <v>475</v>
      </c>
      <c r="C205" s="31" t="s">
        <v>476</v>
      </c>
      <c r="D205" s="31" t="s">
        <v>131</v>
      </c>
      <c r="E205" s="31" t="s">
        <v>478</v>
      </c>
      <c r="F205" s="32" t="n">
        <v>46089</v>
      </c>
      <c r="G205" s="32"/>
      <c r="H205" s="31" t="s">
        <v>139</v>
      </c>
      <c r="I205" s="31" t="s">
        <v>71</v>
      </c>
      <c r="J205" s="33" t="n">
        <v>60</v>
      </c>
      <c r="K205" s="34" t="n">
        <v>4000</v>
      </c>
      <c r="L205" s="34" t="n">
        <v>0</v>
      </c>
      <c r="M205" s="34" t="n">
        <v>0</v>
      </c>
      <c r="N205" s="39" t="n">
        <f aca="false">IF($K205="","",$K205-N($L205)-N($M205))</f>
        <v>4000</v>
      </c>
      <c r="O205" s="31" t="s">
        <v>68</v>
      </c>
      <c r="P205" s="31" t="s">
        <v>68</v>
      </c>
      <c r="Q205" s="31"/>
      <c r="R205" s="32"/>
      <c r="S205" s="32"/>
      <c r="T205" s="32"/>
      <c r="U205" s="32"/>
      <c r="V205" s="31" t="s">
        <v>134</v>
      </c>
      <c r="W205" s="40" t="n">
        <f aca="false">IF(OR($F205="",$J205=""),"",$F205+$J205)</f>
        <v>46149</v>
      </c>
      <c r="X205" s="32"/>
      <c r="Y205" s="34"/>
      <c r="Z205" s="31"/>
      <c r="AA205" s="31"/>
      <c r="AB205" s="32"/>
      <c r="AC205" s="31"/>
      <c r="AD205" s="32"/>
      <c r="AE205" s="31"/>
      <c r="AF205" s="41" t="str">
        <f aca="false">IF(OR($R205="",$S205=""),"",$S205-$R205)</f>
        <v/>
      </c>
      <c r="AG205" s="41" t="str">
        <f aca="false">IF(OR($S205="",$T205=""),"",$T205-$S205)</f>
        <v/>
      </c>
      <c r="AH205" s="41" t="str">
        <f aca="false">IF(OR($T205="",$U205=""),"",$U205-$T205)</f>
        <v/>
      </c>
      <c r="AI205" s="41" t="str">
        <f aca="false">IF(OR($R205="",$U205=""),"",$U205-$R205)</f>
        <v/>
      </c>
      <c r="AJ205" s="41" t="str">
        <f aca="false">IF(OR($U205="",$AB205=""),"",$AB205-$U205)</f>
        <v/>
      </c>
      <c r="AK205" s="41" t="str">
        <f aca="false">IF(OR($R205="",$AD205=""),"",$AD205-$R205)</f>
        <v/>
      </c>
      <c r="AL205" s="31"/>
      <c r="AM205" s="32"/>
      <c r="AN205" s="31" t="s">
        <v>135</v>
      </c>
    </row>
    <row r="206" customFormat="false" ht="15" hidden="false" customHeight="true" outlineLevel="0" collapsed="false">
      <c r="A206" s="38" t="n">
        <f aca="false">IF($B206="","",ROW()-3)</f>
        <v>203</v>
      </c>
      <c r="B206" s="31" t="s">
        <v>475</v>
      </c>
      <c r="C206" s="31" t="s">
        <v>476</v>
      </c>
      <c r="D206" s="31" t="s">
        <v>131</v>
      </c>
      <c r="E206" s="31" t="s">
        <v>479</v>
      </c>
      <c r="F206" s="32" t="n">
        <v>46089</v>
      </c>
      <c r="G206" s="32"/>
      <c r="H206" s="31" t="s">
        <v>139</v>
      </c>
      <c r="I206" s="31" t="s">
        <v>69</v>
      </c>
      <c r="J206" s="33" t="n">
        <v>60</v>
      </c>
      <c r="K206" s="34" t="n">
        <v>16000</v>
      </c>
      <c r="L206" s="34" t="n">
        <v>0</v>
      </c>
      <c r="M206" s="34" t="n">
        <v>0</v>
      </c>
      <c r="N206" s="39" t="n">
        <f aca="false">IF($K206="","",$K206-N($L206)-N($M206))</f>
        <v>16000</v>
      </c>
      <c r="O206" s="31" t="s">
        <v>68</v>
      </c>
      <c r="P206" s="31" t="s">
        <v>68</v>
      </c>
      <c r="Q206" s="31"/>
      <c r="R206" s="32"/>
      <c r="S206" s="32"/>
      <c r="T206" s="32"/>
      <c r="U206" s="32"/>
      <c r="V206" s="31" t="s">
        <v>134</v>
      </c>
      <c r="W206" s="40" t="n">
        <f aca="false">IF(OR($F206="",$J206=""),"",$F206+$J206)</f>
        <v>46149</v>
      </c>
      <c r="X206" s="32"/>
      <c r="Y206" s="34"/>
      <c r="Z206" s="31"/>
      <c r="AA206" s="31"/>
      <c r="AB206" s="32"/>
      <c r="AC206" s="31"/>
      <c r="AD206" s="32"/>
      <c r="AE206" s="31"/>
      <c r="AF206" s="41" t="str">
        <f aca="false">IF(OR($R206="",$S206=""),"",$S206-$R206)</f>
        <v/>
      </c>
      <c r="AG206" s="41" t="str">
        <f aca="false">IF(OR($S206="",$T206=""),"",$T206-$S206)</f>
        <v/>
      </c>
      <c r="AH206" s="41" t="str">
        <f aca="false">IF(OR($T206="",$U206=""),"",$U206-$T206)</f>
        <v/>
      </c>
      <c r="AI206" s="41" t="str">
        <f aca="false">IF(OR($R206="",$U206=""),"",$U206-$R206)</f>
        <v/>
      </c>
      <c r="AJ206" s="41" t="str">
        <f aca="false">IF(OR($U206="",$AB206=""),"",$AB206-$U206)</f>
        <v/>
      </c>
      <c r="AK206" s="41" t="str">
        <f aca="false">IF(OR($R206="",$AD206=""),"",$AD206-$R206)</f>
        <v/>
      </c>
      <c r="AL206" s="31"/>
      <c r="AM206" s="32"/>
      <c r="AN206" s="31" t="s">
        <v>135</v>
      </c>
    </row>
    <row r="207" customFormat="false" ht="15" hidden="false" customHeight="true" outlineLevel="0" collapsed="false">
      <c r="A207" s="38" t="n">
        <f aca="false">IF($B207="","",ROW()-3)</f>
        <v>204</v>
      </c>
      <c r="B207" s="31" t="s">
        <v>475</v>
      </c>
      <c r="C207" s="31" t="s">
        <v>476</v>
      </c>
      <c r="D207" s="31" t="s">
        <v>131</v>
      </c>
      <c r="E207" s="31" t="s">
        <v>480</v>
      </c>
      <c r="F207" s="32" t="n">
        <v>46089</v>
      </c>
      <c r="G207" s="32"/>
      <c r="H207" s="31" t="s">
        <v>139</v>
      </c>
      <c r="I207" s="31" t="s">
        <v>73</v>
      </c>
      <c r="J207" s="33" t="n">
        <v>60</v>
      </c>
      <c r="K207" s="34" t="n">
        <v>32000</v>
      </c>
      <c r="L207" s="34" t="n">
        <v>0</v>
      </c>
      <c r="M207" s="34" t="n">
        <v>0</v>
      </c>
      <c r="N207" s="39" t="n">
        <f aca="false">IF($K207="","",$K207-N($L207)-N($M207))</f>
        <v>32000</v>
      </c>
      <c r="O207" s="31" t="s">
        <v>68</v>
      </c>
      <c r="P207" s="31" t="s">
        <v>68</v>
      </c>
      <c r="Q207" s="31"/>
      <c r="R207" s="32"/>
      <c r="S207" s="32"/>
      <c r="T207" s="32"/>
      <c r="U207" s="32"/>
      <c r="V207" s="31" t="s">
        <v>134</v>
      </c>
      <c r="W207" s="40" t="n">
        <f aca="false">IF(OR($F207="",$J207=""),"",$F207+$J207)</f>
        <v>46149</v>
      </c>
      <c r="X207" s="32"/>
      <c r="Y207" s="34"/>
      <c r="Z207" s="31"/>
      <c r="AA207" s="31"/>
      <c r="AB207" s="32"/>
      <c r="AC207" s="31"/>
      <c r="AD207" s="32"/>
      <c r="AE207" s="31"/>
      <c r="AF207" s="41" t="str">
        <f aca="false">IF(OR($R207="",$S207=""),"",$S207-$R207)</f>
        <v/>
      </c>
      <c r="AG207" s="41" t="str">
        <f aca="false">IF(OR($S207="",$T207=""),"",$T207-$S207)</f>
        <v/>
      </c>
      <c r="AH207" s="41" t="str">
        <f aca="false">IF(OR($T207="",$U207=""),"",$U207-$T207)</f>
        <v/>
      </c>
      <c r="AI207" s="41" t="str">
        <f aca="false">IF(OR($R207="",$U207=""),"",$U207-$R207)</f>
        <v/>
      </c>
      <c r="AJ207" s="41" t="str">
        <f aca="false">IF(OR($U207="",$AB207=""),"",$AB207-$U207)</f>
        <v/>
      </c>
      <c r="AK207" s="41" t="str">
        <f aca="false">IF(OR($R207="",$AD207=""),"",$AD207-$R207)</f>
        <v/>
      </c>
      <c r="AL207" s="31"/>
      <c r="AM207" s="32"/>
      <c r="AN207" s="31" t="s">
        <v>135</v>
      </c>
    </row>
    <row r="208" customFormat="false" ht="15" hidden="false" customHeight="true" outlineLevel="0" collapsed="false">
      <c r="A208" s="38" t="n">
        <f aca="false">IF($B208="","",ROW()-3)</f>
        <v>205</v>
      </c>
      <c r="B208" s="31" t="s">
        <v>481</v>
      </c>
      <c r="C208" s="31" t="s">
        <v>482</v>
      </c>
      <c r="D208" s="31" t="s">
        <v>131</v>
      </c>
      <c r="E208" s="31" t="s">
        <v>483</v>
      </c>
      <c r="F208" s="32" t="n">
        <v>46090</v>
      </c>
      <c r="G208" s="32"/>
      <c r="H208" s="31" t="s">
        <v>139</v>
      </c>
      <c r="I208" s="31" t="s">
        <v>67</v>
      </c>
      <c r="J208" s="33" t="n">
        <v>60</v>
      </c>
      <c r="K208" s="34" t="n">
        <v>88500</v>
      </c>
      <c r="L208" s="34" t="n">
        <v>44600</v>
      </c>
      <c r="M208" s="34" t="n">
        <v>0</v>
      </c>
      <c r="N208" s="39" t="n">
        <f aca="false">IF($K208="","",$K208-N($L208)-N($M208))</f>
        <v>43900</v>
      </c>
      <c r="O208" s="31" t="s">
        <v>68</v>
      </c>
      <c r="P208" s="31" t="s">
        <v>68</v>
      </c>
      <c r="Q208" s="31"/>
      <c r="R208" s="32"/>
      <c r="S208" s="32"/>
      <c r="T208" s="32"/>
      <c r="U208" s="32"/>
      <c r="V208" s="31" t="s">
        <v>134</v>
      </c>
      <c r="W208" s="40" t="n">
        <f aca="false">IF(OR($F208="",$J208=""),"",$F208+$J208)</f>
        <v>46150</v>
      </c>
      <c r="X208" s="32"/>
      <c r="Y208" s="34"/>
      <c r="Z208" s="31"/>
      <c r="AA208" s="31"/>
      <c r="AB208" s="32"/>
      <c r="AC208" s="31"/>
      <c r="AD208" s="32"/>
      <c r="AE208" s="31"/>
      <c r="AF208" s="41" t="str">
        <f aca="false">IF(OR($R208="",$S208=""),"",$S208-$R208)</f>
        <v/>
      </c>
      <c r="AG208" s="41" t="str">
        <f aca="false">IF(OR($S208="",$T208=""),"",$T208-$S208)</f>
        <v/>
      </c>
      <c r="AH208" s="41" t="str">
        <f aca="false">IF(OR($T208="",$U208=""),"",$U208-$T208)</f>
        <v/>
      </c>
      <c r="AI208" s="41" t="str">
        <f aca="false">IF(OR($R208="",$U208=""),"",$U208-$R208)</f>
        <v/>
      </c>
      <c r="AJ208" s="41" t="str">
        <f aca="false">IF(OR($U208="",$AB208=""),"",$AB208-$U208)</f>
        <v/>
      </c>
      <c r="AK208" s="41" t="str">
        <f aca="false">IF(OR($R208="",$AD208=""),"",$AD208-$R208)</f>
        <v/>
      </c>
      <c r="AL208" s="31"/>
      <c r="AM208" s="32"/>
      <c r="AN208" s="31" t="s">
        <v>135</v>
      </c>
    </row>
    <row r="209" customFormat="false" ht="15" hidden="false" customHeight="true" outlineLevel="0" collapsed="false">
      <c r="A209" s="38" t="n">
        <f aca="false">IF($B209="","",ROW()-3)</f>
        <v>206</v>
      </c>
      <c r="B209" s="31" t="s">
        <v>484</v>
      </c>
      <c r="C209" s="31" t="s">
        <v>485</v>
      </c>
      <c r="D209" s="31" t="s">
        <v>131</v>
      </c>
      <c r="E209" s="31" t="s">
        <v>486</v>
      </c>
      <c r="F209" s="32" t="n">
        <v>46128</v>
      </c>
      <c r="G209" s="32"/>
      <c r="H209" s="31" t="s">
        <v>487</v>
      </c>
      <c r="I209" s="31" t="s">
        <v>67</v>
      </c>
      <c r="J209" s="33"/>
      <c r="K209" s="34" t="n">
        <v>2530000</v>
      </c>
      <c r="L209" s="34" t="n">
        <v>0</v>
      </c>
      <c r="M209" s="34" t="n">
        <v>0</v>
      </c>
      <c r="N209" s="39" t="n">
        <f aca="false">IF($K209="","",$K209-N($L209)-N($M209))</f>
        <v>2530000</v>
      </c>
      <c r="O209" s="31" t="s">
        <v>68</v>
      </c>
      <c r="P209" s="31" t="s">
        <v>68</v>
      </c>
      <c r="Q209" s="31"/>
      <c r="R209" s="32"/>
      <c r="S209" s="32"/>
      <c r="T209" s="32"/>
      <c r="U209" s="32"/>
      <c r="V209" s="31" t="s">
        <v>134</v>
      </c>
      <c r="W209" s="40" t="str">
        <f aca="false">IF(OR($F209="",$J209=""),"",$F209+$J209)</f>
        <v/>
      </c>
      <c r="X209" s="32"/>
      <c r="Y209" s="34"/>
      <c r="Z209" s="31"/>
      <c r="AA209" s="31"/>
      <c r="AB209" s="32"/>
      <c r="AC209" s="31"/>
      <c r="AD209" s="32"/>
      <c r="AE209" s="31"/>
      <c r="AF209" s="41" t="str">
        <f aca="false">IF(OR($R209="",$S209=""),"",$S209-$R209)</f>
        <v/>
      </c>
      <c r="AG209" s="41" t="str">
        <f aca="false">IF(OR($S209="",$T209=""),"",$T209-$S209)</f>
        <v/>
      </c>
      <c r="AH209" s="41" t="str">
        <f aca="false">IF(OR($T209="",$U209=""),"",$U209-$T209)</f>
        <v/>
      </c>
      <c r="AI209" s="41" t="str">
        <f aca="false">IF(OR($R209="",$U209=""),"",$U209-$R209)</f>
        <v/>
      </c>
      <c r="AJ209" s="41" t="str">
        <f aca="false">IF(OR($U209="",$AB209=""),"",$AB209-$U209)</f>
        <v/>
      </c>
      <c r="AK209" s="41" t="str">
        <f aca="false">IF(OR($R209="",$AD209=""),"",$AD209-$R209)</f>
        <v/>
      </c>
      <c r="AL209" s="31"/>
      <c r="AM209" s="32"/>
      <c r="AN209" s="31" t="s">
        <v>135</v>
      </c>
    </row>
    <row r="210" customFormat="false" ht="15" hidden="false" customHeight="true" outlineLevel="0" collapsed="false">
      <c r="A210" s="38" t="n">
        <f aca="false">IF($B210="","",ROW()-3)</f>
        <v>207</v>
      </c>
      <c r="B210" s="30" t="s">
        <v>488</v>
      </c>
      <c r="C210" s="30" t="s">
        <v>158</v>
      </c>
      <c r="D210" s="30" t="s">
        <v>131</v>
      </c>
      <c r="E210" s="30" t="s">
        <v>489</v>
      </c>
      <c r="F210" s="36" t="n">
        <v>46086</v>
      </c>
      <c r="G210" s="36"/>
      <c r="H210" s="30"/>
      <c r="I210" s="30" t="s">
        <v>69</v>
      </c>
      <c r="J210" s="37"/>
      <c r="K210" s="35" t="n">
        <v>7359816</v>
      </c>
      <c r="L210" s="35" t="n">
        <v>0</v>
      </c>
      <c r="M210" s="35" t="n">
        <v>0</v>
      </c>
      <c r="N210" s="35" t="n">
        <f aca="false">IF($K210="","",$K210-N($L210)-N($M210))</f>
        <v>7359816</v>
      </c>
      <c r="O210" s="30" t="s">
        <v>68</v>
      </c>
      <c r="P210" s="30" t="s">
        <v>68</v>
      </c>
      <c r="Q210" s="30"/>
      <c r="R210" s="36"/>
      <c r="S210" s="36"/>
      <c r="T210" s="36"/>
      <c r="U210" s="36"/>
      <c r="V210" s="30" t="s">
        <v>134</v>
      </c>
      <c r="W210" s="36" t="str">
        <f aca="false">IF(OR($F210="",$J210=""),"",$F210+$J210)</f>
        <v/>
      </c>
      <c r="X210" s="36"/>
      <c r="Y210" s="35"/>
      <c r="Z210" s="30"/>
      <c r="AA210" s="31"/>
      <c r="AB210" s="32"/>
      <c r="AC210" s="31"/>
      <c r="AD210" s="32"/>
      <c r="AE210" s="31"/>
      <c r="AF210" s="41" t="str">
        <f aca="false">IF(OR($R210="",$S210=""),"",$S210-$R210)</f>
        <v/>
      </c>
      <c r="AG210" s="41" t="str">
        <f aca="false">IF(OR($S210="",$T210=""),"",$T210-$S210)</f>
        <v/>
      </c>
      <c r="AH210" s="41" t="str">
        <f aca="false">IF(OR($T210="",$U210=""),"",$U210-$T210)</f>
        <v/>
      </c>
      <c r="AI210" s="41" t="str">
        <f aca="false">IF(OR($R210="",$U210=""),"",$U210-$R210)</f>
        <v/>
      </c>
      <c r="AJ210" s="41" t="str">
        <f aca="false">IF(OR($U210="",$AB210=""),"",$AB210-$U210)</f>
        <v/>
      </c>
      <c r="AK210" s="41" t="str">
        <f aca="false">IF(OR($R210="",$AD210=""),"",$AD210-$R210)</f>
        <v/>
      </c>
      <c r="AL210" s="31"/>
      <c r="AM210" s="32"/>
      <c r="AN210" s="31" t="s">
        <v>490</v>
      </c>
    </row>
    <row r="211" customFormat="false" ht="15" hidden="false" customHeight="true" outlineLevel="0" collapsed="false">
      <c r="A211" s="38" t="n">
        <f aca="false">IF($B211="","",ROW()-3)</f>
        <v>208</v>
      </c>
      <c r="B211" s="30" t="s">
        <v>491</v>
      </c>
      <c r="C211" s="30" t="s">
        <v>402</v>
      </c>
      <c r="D211" s="30" t="s">
        <v>131</v>
      </c>
      <c r="E211" s="30" t="s">
        <v>492</v>
      </c>
      <c r="F211" s="36" t="n">
        <v>46055</v>
      </c>
      <c r="G211" s="36"/>
      <c r="H211" s="30"/>
      <c r="I211" s="30" t="s">
        <v>67</v>
      </c>
      <c r="J211" s="37"/>
      <c r="K211" s="35" t="n">
        <v>3994106.16</v>
      </c>
      <c r="L211" s="35" t="n">
        <v>0</v>
      </c>
      <c r="M211" s="35" t="n">
        <v>0</v>
      </c>
      <c r="N211" s="35" t="n">
        <f aca="false">IF($K211="","",$K211-N($L211)-N($M211))</f>
        <v>3994106.16</v>
      </c>
      <c r="O211" s="30" t="s">
        <v>68</v>
      </c>
      <c r="P211" s="30" t="s">
        <v>68</v>
      </c>
      <c r="Q211" s="30"/>
      <c r="R211" s="36"/>
      <c r="S211" s="36"/>
      <c r="T211" s="36"/>
      <c r="U211" s="36"/>
      <c r="V211" s="30" t="s">
        <v>134</v>
      </c>
      <c r="W211" s="36" t="str">
        <f aca="false">IF(OR($F211="",$J211=""),"",$F211+$J211)</f>
        <v/>
      </c>
      <c r="X211" s="36"/>
      <c r="Y211" s="35"/>
      <c r="Z211" s="30"/>
      <c r="AA211" s="31"/>
      <c r="AB211" s="32"/>
      <c r="AC211" s="31"/>
      <c r="AD211" s="32"/>
      <c r="AE211" s="31"/>
      <c r="AF211" s="41" t="str">
        <f aca="false">IF(OR($R211="",$S211=""),"",$S211-$R211)</f>
        <v/>
      </c>
      <c r="AG211" s="41" t="str">
        <f aca="false">IF(OR($S211="",$T211=""),"",$T211-$S211)</f>
        <v/>
      </c>
      <c r="AH211" s="41" t="str">
        <f aca="false">IF(OR($T211="",$U211=""),"",$U211-$T211)</f>
        <v/>
      </c>
      <c r="AI211" s="41" t="str">
        <f aca="false">IF(OR($R211="",$U211=""),"",$U211-$R211)</f>
        <v/>
      </c>
      <c r="AJ211" s="41" t="str">
        <f aca="false">IF(OR($U211="",$AB211=""),"",$AB211-$U211)</f>
        <v/>
      </c>
      <c r="AK211" s="41" t="str">
        <f aca="false">IF(OR($R211="",$AD211=""),"",$AD211-$R211)</f>
        <v/>
      </c>
      <c r="AL211" s="31"/>
      <c r="AM211" s="32"/>
      <c r="AN211" s="31" t="s">
        <v>490</v>
      </c>
    </row>
    <row r="212" customFormat="false" ht="15" hidden="false" customHeight="true" outlineLevel="0" collapsed="false">
      <c r="A212" s="38" t="n">
        <f aca="false">IF($B212="","",ROW()-3)</f>
        <v>209</v>
      </c>
      <c r="B212" s="30" t="s">
        <v>491</v>
      </c>
      <c r="C212" s="30" t="s">
        <v>402</v>
      </c>
      <c r="D212" s="30" t="s">
        <v>131</v>
      </c>
      <c r="E212" s="30" t="s">
        <v>493</v>
      </c>
      <c r="F212" s="36" t="n">
        <v>46063</v>
      </c>
      <c r="G212" s="36"/>
      <c r="H212" s="30"/>
      <c r="I212" s="30" t="s">
        <v>71</v>
      </c>
      <c r="J212" s="37"/>
      <c r="K212" s="35" t="n">
        <v>1333218</v>
      </c>
      <c r="L212" s="35" t="n">
        <v>0</v>
      </c>
      <c r="M212" s="35" t="n">
        <v>0</v>
      </c>
      <c r="N212" s="35" t="n">
        <f aca="false">IF($K212="","",$K212-N($L212)-N($M212))</f>
        <v>1333218</v>
      </c>
      <c r="O212" s="30" t="s">
        <v>68</v>
      </c>
      <c r="P212" s="30" t="s">
        <v>68</v>
      </c>
      <c r="Q212" s="30"/>
      <c r="R212" s="36"/>
      <c r="S212" s="36"/>
      <c r="T212" s="36"/>
      <c r="U212" s="36"/>
      <c r="V212" s="30" t="s">
        <v>134</v>
      </c>
      <c r="W212" s="36" t="str">
        <f aca="false">IF(OR($F212="",$J212=""),"",$F212+$J212)</f>
        <v/>
      </c>
      <c r="X212" s="36"/>
      <c r="Y212" s="35"/>
      <c r="Z212" s="30"/>
      <c r="AA212" s="31"/>
      <c r="AB212" s="32"/>
      <c r="AC212" s="31"/>
      <c r="AD212" s="32"/>
      <c r="AE212" s="31"/>
      <c r="AF212" s="41" t="str">
        <f aca="false">IF(OR($R212="",$S212=""),"",$S212-$R212)</f>
        <v/>
      </c>
      <c r="AG212" s="41" t="str">
        <f aca="false">IF(OR($S212="",$T212=""),"",$T212-$S212)</f>
        <v/>
      </c>
      <c r="AH212" s="41" t="str">
        <f aca="false">IF(OR($T212="",$U212=""),"",$U212-$T212)</f>
        <v/>
      </c>
      <c r="AI212" s="41" t="str">
        <f aca="false">IF(OR($R212="",$U212=""),"",$U212-$R212)</f>
        <v/>
      </c>
      <c r="AJ212" s="41" t="str">
        <f aca="false">IF(OR($U212="",$AB212=""),"",$AB212-$U212)</f>
        <v/>
      </c>
      <c r="AK212" s="41" t="str">
        <f aca="false">IF(OR($R212="",$AD212=""),"",$AD212-$R212)</f>
        <v/>
      </c>
      <c r="AL212" s="31"/>
      <c r="AM212" s="32"/>
      <c r="AN212" s="31" t="s">
        <v>490</v>
      </c>
    </row>
    <row r="213" customFormat="false" ht="15" hidden="false" customHeight="true" outlineLevel="0" collapsed="false">
      <c r="A213" s="38" t="n">
        <f aca="false">IF($B213="","",ROW()-3)</f>
        <v>210</v>
      </c>
      <c r="B213" s="30" t="s">
        <v>491</v>
      </c>
      <c r="C213" s="30" t="s">
        <v>402</v>
      </c>
      <c r="D213" s="30" t="s">
        <v>131</v>
      </c>
      <c r="E213" s="30" t="s">
        <v>494</v>
      </c>
      <c r="F213" s="36" t="n">
        <v>46063</v>
      </c>
      <c r="G213" s="36"/>
      <c r="H213" s="30"/>
      <c r="I213" s="30" t="s">
        <v>75</v>
      </c>
      <c r="J213" s="37"/>
      <c r="K213" s="35" t="n">
        <v>175477</v>
      </c>
      <c r="L213" s="35" t="n">
        <v>0</v>
      </c>
      <c r="M213" s="35" t="n">
        <v>0</v>
      </c>
      <c r="N213" s="35" t="n">
        <f aca="false">IF($K213="","",$K213-N($L213)-N($M213))</f>
        <v>175477</v>
      </c>
      <c r="O213" s="30" t="s">
        <v>68</v>
      </c>
      <c r="P213" s="30" t="s">
        <v>68</v>
      </c>
      <c r="Q213" s="30"/>
      <c r="R213" s="36"/>
      <c r="S213" s="36"/>
      <c r="T213" s="36"/>
      <c r="U213" s="36"/>
      <c r="V213" s="30" t="s">
        <v>134</v>
      </c>
      <c r="W213" s="36" t="str">
        <f aca="false">IF(OR($F213="",$J213=""),"",$F213+$J213)</f>
        <v/>
      </c>
      <c r="X213" s="36"/>
      <c r="Y213" s="35"/>
      <c r="Z213" s="30"/>
      <c r="AA213" s="31"/>
      <c r="AB213" s="32"/>
      <c r="AC213" s="31"/>
      <c r="AD213" s="32"/>
      <c r="AE213" s="31"/>
      <c r="AF213" s="41" t="str">
        <f aca="false">IF(OR($R213="",$S213=""),"",$S213-$R213)</f>
        <v/>
      </c>
      <c r="AG213" s="41" t="str">
        <f aca="false">IF(OR($S213="",$T213=""),"",$T213-$S213)</f>
        <v/>
      </c>
      <c r="AH213" s="41" t="str">
        <f aca="false">IF(OR($T213="",$U213=""),"",$U213-$T213)</f>
        <v/>
      </c>
      <c r="AI213" s="41" t="str">
        <f aca="false">IF(OR($R213="",$U213=""),"",$U213-$R213)</f>
        <v/>
      </c>
      <c r="AJ213" s="41" t="str">
        <f aca="false">IF(OR($U213="",$AB213=""),"",$AB213-$U213)</f>
        <v/>
      </c>
      <c r="AK213" s="41" t="str">
        <f aca="false">IF(OR($R213="",$AD213=""),"",$AD213-$R213)</f>
        <v/>
      </c>
      <c r="AL213" s="31"/>
      <c r="AM213" s="32"/>
      <c r="AN213" s="31" t="s">
        <v>490</v>
      </c>
    </row>
    <row r="214" customFormat="false" ht="15" hidden="false" customHeight="true" outlineLevel="0" collapsed="false">
      <c r="A214" s="38" t="n">
        <f aca="false">IF($B214="","",ROW()-3)</f>
        <v>211</v>
      </c>
      <c r="B214" s="30" t="s">
        <v>450</v>
      </c>
      <c r="C214" s="30" t="s">
        <v>451</v>
      </c>
      <c r="D214" s="30" t="s">
        <v>131</v>
      </c>
      <c r="E214" s="30" t="s">
        <v>495</v>
      </c>
      <c r="F214" s="36" t="n">
        <v>46142</v>
      </c>
      <c r="G214" s="36"/>
      <c r="H214" s="30"/>
      <c r="I214" s="30" t="s">
        <v>67</v>
      </c>
      <c r="J214" s="37"/>
      <c r="K214" s="35" t="n">
        <v>3837873.95</v>
      </c>
      <c r="L214" s="35" t="n">
        <v>0</v>
      </c>
      <c r="M214" s="35" t="n">
        <v>0</v>
      </c>
      <c r="N214" s="35" t="n">
        <f aca="false">IF($K214="","",$K214-N($L214)-N($M214))</f>
        <v>3837873.95</v>
      </c>
      <c r="O214" s="30" t="s">
        <v>68</v>
      </c>
      <c r="P214" s="30" t="s">
        <v>68</v>
      </c>
      <c r="Q214" s="30"/>
      <c r="R214" s="36"/>
      <c r="S214" s="36"/>
      <c r="T214" s="36"/>
      <c r="U214" s="36"/>
      <c r="V214" s="30" t="s">
        <v>134</v>
      </c>
      <c r="W214" s="36" t="str">
        <f aca="false">IF(OR($F214="",$J214=""),"",$F214+$J214)</f>
        <v/>
      </c>
      <c r="X214" s="36"/>
      <c r="Y214" s="35"/>
      <c r="Z214" s="30"/>
      <c r="AA214" s="31"/>
      <c r="AB214" s="32"/>
      <c r="AC214" s="31"/>
      <c r="AD214" s="32"/>
      <c r="AE214" s="31"/>
      <c r="AF214" s="41" t="str">
        <f aca="false">IF(OR($R214="",$S214=""),"",$S214-$R214)</f>
        <v/>
      </c>
      <c r="AG214" s="41" t="str">
        <f aca="false">IF(OR($S214="",$T214=""),"",$T214-$S214)</f>
        <v/>
      </c>
      <c r="AH214" s="41" t="str">
        <f aca="false">IF(OR($T214="",$U214=""),"",$U214-$T214)</f>
        <v/>
      </c>
      <c r="AI214" s="41" t="str">
        <f aca="false">IF(OR($R214="",$U214=""),"",$U214-$R214)</f>
        <v/>
      </c>
      <c r="AJ214" s="41" t="str">
        <f aca="false">IF(OR($U214="",$AB214=""),"",$AB214-$U214)</f>
        <v/>
      </c>
      <c r="AK214" s="41" t="str">
        <f aca="false">IF(OR($R214="",$AD214=""),"",$AD214-$R214)</f>
        <v/>
      </c>
      <c r="AL214" s="31"/>
      <c r="AM214" s="32"/>
      <c r="AN214" s="31" t="s">
        <v>490</v>
      </c>
    </row>
    <row r="215" customFormat="false" ht="15" hidden="false" customHeight="true" outlineLevel="0" collapsed="false">
      <c r="A215" s="38" t="str">
        <f aca="false">IF($B215="","",ROW()-3)</f>
        <v/>
      </c>
      <c r="B215" s="31"/>
      <c r="C215" s="31"/>
      <c r="D215" s="31"/>
      <c r="E215" s="31"/>
      <c r="F215" s="32"/>
      <c r="G215" s="32"/>
      <c r="H215" s="31"/>
      <c r="I215" s="31"/>
      <c r="J215" s="33"/>
      <c r="K215" s="34"/>
      <c r="L215" s="34"/>
      <c r="M215" s="34"/>
      <c r="N215" s="39" t="str">
        <f aca="false">IF($K215="","",$K215-N($L215)-N($M215))</f>
        <v/>
      </c>
      <c r="O215" s="31"/>
      <c r="P215" s="31"/>
      <c r="Q215" s="31"/>
      <c r="R215" s="32"/>
      <c r="S215" s="32"/>
      <c r="T215" s="32"/>
      <c r="U215" s="32"/>
      <c r="V215" s="31"/>
      <c r="W215" s="40" t="str">
        <f aca="false">IF(OR($F215="",$J215=""),"",$F215+$J215)</f>
        <v/>
      </c>
      <c r="X215" s="32"/>
      <c r="Y215" s="34"/>
      <c r="Z215" s="31"/>
      <c r="AA215" s="31"/>
      <c r="AB215" s="32"/>
      <c r="AC215" s="31"/>
      <c r="AD215" s="32"/>
      <c r="AE215" s="31"/>
      <c r="AF215" s="41" t="str">
        <f aca="false">IF(OR($R215="",$S215=""),"",$S215-$R215)</f>
        <v/>
      </c>
      <c r="AG215" s="41" t="str">
        <f aca="false">IF(OR($S215="",$T215=""),"",$T215-$S215)</f>
        <v/>
      </c>
      <c r="AH215" s="41" t="str">
        <f aca="false">IF(OR($T215="",$U215=""),"",$U215-$T215)</f>
        <v/>
      </c>
      <c r="AI215" s="41" t="str">
        <f aca="false">IF(OR($R215="",$U215=""),"",$U215-$R215)</f>
        <v/>
      </c>
      <c r="AJ215" s="41" t="str">
        <f aca="false">IF(OR($U215="",$AB215=""),"",$AB215-$U215)</f>
        <v/>
      </c>
      <c r="AK215" s="41" t="str">
        <f aca="false">IF(OR($R215="",$AD215=""),"",$AD215-$R215)</f>
        <v/>
      </c>
      <c r="AL215" s="31"/>
      <c r="AM215" s="32"/>
      <c r="AN215" s="31"/>
    </row>
    <row r="216" customFormat="false" ht="15" hidden="false" customHeight="true" outlineLevel="0" collapsed="false">
      <c r="A216" s="38" t="str">
        <f aca="false">IF($B216="","",ROW()-3)</f>
        <v/>
      </c>
      <c r="B216" s="31"/>
      <c r="C216" s="31"/>
      <c r="D216" s="31"/>
      <c r="E216" s="31"/>
      <c r="F216" s="32"/>
      <c r="G216" s="32"/>
      <c r="H216" s="31"/>
      <c r="I216" s="31"/>
      <c r="J216" s="33"/>
      <c r="K216" s="34"/>
      <c r="L216" s="34"/>
      <c r="M216" s="34"/>
      <c r="N216" s="39" t="str">
        <f aca="false">IF($K216="","",$K216-N($L216)-N($M216))</f>
        <v/>
      </c>
      <c r="O216" s="31"/>
      <c r="P216" s="31"/>
      <c r="Q216" s="31"/>
      <c r="R216" s="32"/>
      <c r="S216" s="32"/>
      <c r="T216" s="32"/>
      <c r="U216" s="32"/>
      <c r="V216" s="31"/>
      <c r="W216" s="40" t="str">
        <f aca="false">IF(OR($F216="",$J216=""),"",$F216+$J216)</f>
        <v/>
      </c>
      <c r="X216" s="32"/>
      <c r="Y216" s="34"/>
      <c r="Z216" s="31"/>
      <c r="AA216" s="31"/>
      <c r="AB216" s="32"/>
      <c r="AC216" s="31"/>
      <c r="AD216" s="32"/>
      <c r="AE216" s="31"/>
      <c r="AF216" s="41" t="str">
        <f aca="false">IF(OR($R216="",$S216=""),"",$S216-$R216)</f>
        <v/>
      </c>
      <c r="AG216" s="41" t="str">
        <f aca="false">IF(OR($S216="",$T216=""),"",$T216-$S216)</f>
        <v/>
      </c>
      <c r="AH216" s="41" t="str">
        <f aca="false">IF(OR($T216="",$U216=""),"",$U216-$T216)</f>
        <v/>
      </c>
      <c r="AI216" s="41" t="str">
        <f aca="false">IF(OR($R216="",$U216=""),"",$U216-$R216)</f>
        <v/>
      </c>
      <c r="AJ216" s="41" t="str">
        <f aca="false">IF(OR($U216="",$AB216=""),"",$AB216-$U216)</f>
        <v/>
      </c>
      <c r="AK216" s="41" t="str">
        <f aca="false">IF(OR($R216="",$AD216=""),"",$AD216-$R216)</f>
        <v/>
      </c>
      <c r="AL216" s="31"/>
      <c r="AM216" s="32"/>
      <c r="AN216" s="31"/>
    </row>
    <row r="217" customFormat="false" ht="15" hidden="false" customHeight="true" outlineLevel="0" collapsed="false">
      <c r="A217" s="38" t="str">
        <f aca="false">IF($B217="","",ROW()-3)</f>
        <v/>
      </c>
      <c r="B217" s="31"/>
      <c r="C217" s="31"/>
      <c r="D217" s="31"/>
      <c r="E217" s="31"/>
      <c r="F217" s="32"/>
      <c r="G217" s="32"/>
      <c r="H217" s="31"/>
      <c r="I217" s="31"/>
      <c r="J217" s="33"/>
      <c r="K217" s="34"/>
      <c r="L217" s="34"/>
      <c r="M217" s="34"/>
      <c r="N217" s="39" t="str">
        <f aca="false">IF($K217="","",$K217-N($L217)-N($M217))</f>
        <v/>
      </c>
      <c r="O217" s="31"/>
      <c r="P217" s="31"/>
      <c r="Q217" s="31"/>
      <c r="R217" s="32"/>
      <c r="S217" s="32"/>
      <c r="T217" s="32"/>
      <c r="U217" s="32"/>
      <c r="V217" s="31"/>
      <c r="W217" s="40" t="str">
        <f aca="false">IF(OR($F217="",$J217=""),"",$F217+$J217)</f>
        <v/>
      </c>
      <c r="X217" s="32"/>
      <c r="Y217" s="34"/>
      <c r="Z217" s="31"/>
      <c r="AA217" s="31"/>
      <c r="AB217" s="32"/>
      <c r="AC217" s="31"/>
      <c r="AD217" s="32"/>
      <c r="AE217" s="31"/>
      <c r="AF217" s="41" t="str">
        <f aca="false">IF(OR($R217="",$S217=""),"",$S217-$R217)</f>
        <v/>
      </c>
      <c r="AG217" s="41" t="str">
        <f aca="false">IF(OR($S217="",$T217=""),"",$T217-$S217)</f>
        <v/>
      </c>
      <c r="AH217" s="41" t="str">
        <f aca="false">IF(OR($T217="",$U217=""),"",$U217-$T217)</f>
        <v/>
      </c>
      <c r="AI217" s="41" t="str">
        <f aca="false">IF(OR($R217="",$U217=""),"",$U217-$R217)</f>
        <v/>
      </c>
      <c r="AJ217" s="41" t="str">
        <f aca="false">IF(OR($U217="",$AB217=""),"",$AB217-$U217)</f>
        <v/>
      </c>
      <c r="AK217" s="41" t="str">
        <f aca="false">IF(OR($R217="",$AD217=""),"",$AD217-$R217)</f>
        <v/>
      </c>
      <c r="AL217" s="31"/>
      <c r="AM217" s="32"/>
      <c r="AN217" s="31"/>
    </row>
    <row r="218" customFormat="false" ht="15" hidden="false" customHeight="true" outlineLevel="0" collapsed="false">
      <c r="A218" s="38" t="str">
        <f aca="false">IF($B218="","",ROW()-3)</f>
        <v/>
      </c>
      <c r="B218" s="31"/>
      <c r="C218" s="31"/>
      <c r="D218" s="31"/>
      <c r="E218" s="31"/>
      <c r="F218" s="32"/>
      <c r="G218" s="32"/>
      <c r="H218" s="31"/>
      <c r="I218" s="31"/>
      <c r="J218" s="33"/>
      <c r="K218" s="34"/>
      <c r="L218" s="34"/>
      <c r="M218" s="34"/>
      <c r="N218" s="39" t="str">
        <f aca="false">IF($K218="","",$K218-N($L218)-N($M218))</f>
        <v/>
      </c>
      <c r="O218" s="31"/>
      <c r="P218" s="31"/>
      <c r="Q218" s="31"/>
      <c r="R218" s="32"/>
      <c r="S218" s="32"/>
      <c r="T218" s="32"/>
      <c r="U218" s="32"/>
      <c r="V218" s="31"/>
      <c r="W218" s="40" t="str">
        <f aca="false">IF(OR($F218="",$J218=""),"",$F218+$J218)</f>
        <v/>
      </c>
      <c r="X218" s="32"/>
      <c r="Y218" s="34"/>
      <c r="Z218" s="31"/>
      <c r="AA218" s="31"/>
      <c r="AB218" s="32"/>
      <c r="AC218" s="31"/>
      <c r="AD218" s="32"/>
      <c r="AE218" s="31"/>
      <c r="AF218" s="41" t="str">
        <f aca="false">IF(OR($R218="",$S218=""),"",$S218-$R218)</f>
        <v/>
      </c>
      <c r="AG218" s="41" t="str">
        <f aca="false">IF(OR($S218="",$T218=""),"",$T218-$S218)</f>
        <v/>
      </c>
      <c r="AH218" s="41" t="str">
        <f aca="false">IF(OR($T218="",$U218=""),"",$U218-$T218)</f>
        <v/>
      </c>
      <c r="AI218" s="41" t="str">
        <f aca="false">IF(OR($R218="",$U218=""),"",$U218-$R218)</f>
        <v/>
      </c>
      <c r="AJ218" s="41" t="str">
        <f aca="false">IF(OR($U218="",$AB218=""),"",$AB218-$U218)</f>
        <v/>
      </c>
      <c r="AK218" s="41" t="str">
        <f aca="false">IF(OR($R218="",$AD218=""),"",$AD218-$R218)</f>
        <v/>
      </c>
      <c r="AL218" s="31"/>
      <c r="AM218" s="32"/>
      <c r="AN218" s="31"/>
    </row>
    <row r="219" customFormat="false" ht="15" hidden="false" customHeight="true" outlineLevel="0" collapsed="false">
      <c r="A219" s="38" t="str">
        <f aca="false">IF($B219="","",ROW()-3)</f>
        <v/>
      </c>
      <c r="B219" s="31"/>
      <c r="C219" s="31"/>
      <c r="D219" s="31"/>
      <c r="E219" s="31"/>
      <c r="F219" s="32"/>
      <c r="G219" s="32"/>
      <c r="H219" s="31"/>
      <c r="I219" s="31"/>
      <c r="J219" s="33"/>
      <c r="K219" s="34"/>
      <c r="L219" s="34"/>
      <c r="M219" s="34"/>
      <c r="N219" s="39" t="str">
        <f aca="false">IF($K219="","",$K219-N($L219)-N($M219))</f>
        <v/>
      </c>
      <c r="O219" s="31"/>
      <c r="P219" s="31"/>
      <c r="Q219" s="31"/>
      <c r="R219" s="32"/>
      <c r="S219" s="32"/>
      <c r="T219" s="32"/>
      <c r="U219" s="32"/>
      <c r="V219" s="31"/>
      <c r="W219" s="40" t="str">
        <f aca="false">IF(OR($F219="",$J219=""),"",$F219+$J219)</f>
        <v/>
      </c>
      <c r="X219" s="32"/>
      <c r="Y219" s="34"/>
      <c r="Z219" s="31"/>
      <c r="AA219" s="31"/>
      <c r="AB219" s="32"/>
      <c r="AC219" s="31"/>
      <c r="AD219" s="32"/>
      <c r="AE219" s="31"/>
      <c r="AF219" s="41" t="str">
        <f aca="false">IF(OR($R219="",$S219=""),"",$S219-$R219)</f>
        <v/>
      </c>
      <c r="AG219" s="41" t="str">
        <f aca="false">IF(OR($S219="",$T219=""),"",$T219-$S219)</f>
        <v/>
      </c>
      <c r="AH219" s="41" t="str">
        <f aca="false">IF(OR($T219="",$U219=""),"",$U219-$T219)</f>
        <v/>
      </c>
      <c r="AI219" s="41" t="str">
        <f aca="false">IF(OR($R219="",$U219=""),"",$U219-$R219)</f>
        <v/>
      </c>
      <c r="AJ219" s="41" t="str">
        <f aca="false">IF(OR($U219="",$AB219=""),"",$AB219-$U219)</f>
        <v/>
      </c>
      <c r="AK219" s="41" t="str">
        <f aca="false">IF(OR($R219="",$AD219=""),"",$AD219-$R219)</f>
        <v/>
      </c>
      <c r="AL219" s="31"/>
      <c r="AM219" s="32"/>
      <c r="AN219" s="31"/>
    </row>
    <row r="220" customFormat="false" ht="15" hidden="false" customHeight="true" outlineLevel="0" collapsed="false">
      <c r="A220" s="38" t="str">
        <f aca="false">IF($B220="","",ROW()-3)</f>
        <v/>
      </c>
      <c r="B220" s="31"/>
      <c r="C220" s="31"/>
      <c r="D220" s="31"/>
      <c r="E220" s="31"/>
      <c r="F220" s="32"/>
      <c r="G220" s="32"/>
      <c r="H220" s="31"/>
      <c r="I220" s="31"/>
      <c r="J220" s="33"/>
      <c r="K220" s="34"/>
      <c r="L220" s="34"/>
      <c r="M220" s="34"/>
      <c r="N220" s="39" t="str">
        <f aca="false">IF($K220="","",$K220-N($L220)-N($M220))</f>
        <v/>
      </c>
      <c r="O220" s="31"/>
      <c r="P220" s="31"/>
      <c r="Q220" s="31"/>
      <c r="R220" s="32"/>
      <c r="S220" s="32"/>
      <c r="T220" s="32"/>
      <c r="U220" s="32"/>
      <c r="V220" s="31"/>
      <c r="W220" s="40" t="str">
        <f aca="false">IF(OR($F220="",$J220=""),"",$F220+$J220)</f>
        <v/>
      </c>
      <c r="X220" s="32"/>
      <c r="Y220" s="34"/>
      <c r="Z220" s="31"/>
      <c r="AA220" s="31"/>
      <c r="AB220" s="32"/>
      <c r="AC220" s="31"/>
      <c r="AD220" s="32"/>
      <c r="AE220" s="31"/>
      <c r="AF220" s="41" t="str">
        <f aca="false">IF(OR($R220="",$S220=""),"",$S220-$R220)</f>
        <v/>
      </c>
      <c r="AG220" s="41" t="str">
        <f aca="false">IF(OR($S220="",$T220=""),"",$T220-$S220)</f>
        <v/>
      </c>
      <c r="AH220" s="41" t="str">
        <f aca="false">IF(OR($T220="",$U220=""),"",$U220-$T220)</f>
        <v/>
      </c>
      <c r="AI220" s="41" t="str">
        <f aca="false">IF(OR($R220="",$U220=""),"",$U220-$R220)</f>
        <v/>
      </c>
      <c r="AJ220" s="41" t="str">
        <f aca="false">IF(OR($U220="",$AB220=""),"",$AB220-$U220)</f>
        <v/>
      </c>
      <c r="AK220" s="41" t="str">
        <f aca="false">IF(OR($R220="",$AD220=""),"",$AD220-$R220)</f>
        <v/>
      </c>
      <c r="AL220" s="31"/>
      <c r="AM220" s="32"/>
      <c r="AN220" s="31"/>
    </row>
    <row r="221" customFormat="false" ht="15" hidden="false" customHeight="true" outlineLevel="0" collapsed="false">
      <c r="A221" s="38" t="str">
        <f aca="false">IF($B221="","",ROW()-3)</f>
        <v/>
      </c>
      <c r="B221" s="31"/>
      <c r="C221" s="31"/>
      <c r="D221" s="31"/>
      <c r="E221" s="31"/>
      <c r="F221" s="32"/>
      <c r="G221" s="32"/>
      <c r="H221" s="31"/>
      <c r="I221" s="31"/>
      <c r="J221" s="33"/>
      <c r="K221" s="34"/>
      <c r="L221" s="34"/>
      <c r="M221" s="34"/>
      <c r="N221" s="39" t="str">
        <f aca="false">IF($K221="","",$K221-N($L221)-N($M221))</f>
        <v/>
      </c>
      <c r="O221" s="31"/>
      <c r="P221" s="31"/>
      <c r="Q221" s="31"/>
      <c r="R221" s="32"/>
      <c r="S221" s="32"/>
      <c r="T221" s="32"/>
      <c r="U221" s="32"/>
      <c r="V221" s="31"/>
      <c r="W221" s="40" t="str">
        <f aca="false">IF(OR($F221="",$J221=""),"",$F221+$J221)</f>
        <v/>
      </c>
      <c r="X221" s="32"/>
      <c r="Y221" s="34"/>
      <c r="Z221" s="31"/>
      <c r="AA221" s="31"/>
      <c r="AB221" s="32"/>
      <c r="AC221" s="31"/>
      <c r="AD221" s="32"/>
      <c r="AE221" s="31"/>
      <c r="AF221" s="41" t="str">
        <f aca="false">IF(OR($R221="",$S221=""),"",$S221-$R221)</f>
        <v/>
      </c>
      <c r="AG221" s="41" t="str">
        <f aca="false">IF(OR($S221="",$T221=""),"",$T221-$S221)</f>
        <v/>
      </c>
      <c r="AH221" s="41" t="str">
        <f aca="false">IF(OR($T221="",$U221=""),"",$U221-$T221)</f>
        <v/>
      </c>
      <c r="AI221" s="41" t="str">
        <f aca="false">IF(OR($R221="",$U221=""),"",$U221-$R221)</f>
        <v/>
      </c>
      <c r="AJ221" s="41" t="str">
        <f aca="false">IF(OR($U221="",$AB221=""),"",$AB221-$U221)</f>
        <v/>
      </c>
      <c r="AK221" s="41" t="str">
        <f aca="false">IF(OR($R221="",$AD221=""),"",$AD221-$R221)</f>
        <v/>
      </c>
      <c r="AL221" s="31"/>
      <c r="AM221" s="32"/>
      <c r="AN221" s="31"/>
    </row>
    <row r="222" customFormat="false" ht="15" hidden="false" customHeight="true" outlineLevel="0" collapsed="false">
      <c r="A222" s="38" t="str">
        <f aca="false">IF($B222="","",ROW()-3)</f>
        <v/>
      </c>
      <c r="B222" s="31"/>
      <c r="C222" s="31"/>
      <c r="D222" s="31"/>
      <c r="E222" s="31"/>
      <c r="F222" s="32"/>
      <c r="G222" s="32"/>
      <c r="H222" s="31"/>
      <c r="I222" s="31"/>
      <c r="J222" s="33"/>
      <c r="K222" s="34"/>
      <c r="L222" s="34"/>
      <c r="M222" s="34"/>
      <c r="N222" s="39" t="str">
        <f aca="false">IF($K222="","",$K222-N($L222)-N($M222))</f>
        <v/>
      </c>
      <c r="O222" s="31"/>
      <c r="P222" s="31"/>
      <c r="Q222" s="31"/>
      <c r="R222" s="32"/>
      <c r="S222" s="32"/>
      <c r="T222" s="32"/>
      <c r="U222" s="32"/>
      <c r="V222" s="31"/>
      <c r="W222" s="40" t="str">
        <f aca="false">IF(OR($F222="",$J222=""),"",$F222+$J222)</f>
        <v/>
      </c>
      <c r="X222" s="32"/>
      <c r="Y222" s="34"/>
      <c r="Z222" s="31"/>
      <c r="AA222" s="31"/>
      <c r="AB222" s="32"/>
      <c r="AC222" s="31"/>
      <c r="AD222" s="32"/>
      <c r="AE222" s="31"/>
      <c r="AF222" s="41" t="str">
        <f aca="false">IF(OR($R222="",$S222=""),"",$S222-$R222)</f>
        <v/>
      </c>
      <c r="AG222" s="41" t="str">
        <f aca="false">IF(OR($S222="",$T222=""),"",$T222-$S222)</f>
        <v/>
      </c>
      <c r="AH222" s="41" t="str">
        <f aca="false">IF(OR($T222="",$U222=""),"",$U222-$T222)</f>
        <v/>
      </c>
      <c r="AI222" s="41" t="str">
        <f aca="false">IF(OR($R222="",$U222=""),"",$U222-$R222)</f>
        <v/>
      </c>
      <c r="AJ222" s="41" t="str">
        <f aca="false">IF(OR($U222="",$AB222=""),"",$AB222-$U222)</f>
        <v/>
      </c>
      <c r="AK222" s="41" t="str">
        <f aca="false">IF(OR($R222="",$AD222=""),"",$AD222-$R222)</f>
        <v/>
      </c>
      <c r="AL222" s="31"/>
      <c r="AM222" s="32"/>
      <c r="AN222" s="31"/>
    </row>
    <row r="223" customFormat="false" ht="15" hidden="false" customHeight="true" outlineLevel="0" collapsed="false">
      <c r="A223" s="38" t="str">
        <f aca="false">IF($B223="","",ROW()-3)</f>
        <v/>
      </c>
      <c r="B223" s="31"/>
      <c r="C223" s="31"/>
      <c r="D223" s="31"/>
      <c r="E223" s="31"/>
      <c r="F223" s="32"/>
      <c r="G223" s="32"/>
      <c r="H223" s="31"/>
      <c r="I223" s="31"/>
      <c r="J223" s="33"/>
      <c r="K223" s="34"/>
      <c r="L223" s="34"/>
      <c r="M223" s="34"/>
      <c r="N223" s="39" t="str">
        <f aca="false">IF($K223="","",$K223-N($L223)-N($M223))</f>
        <v/>
      </c>
      <c r="O223" s="31"/>
      <c r="P223" s="31"/>
      <c r="Q223" s="31"/>
      <c r="R223" s="32"/>
      <c r="S223" s="32"/>
      <c r="T223" s="32"/>
      <c r="U223" s="32"/>
      <c r="V223" s="31"/>
      <c r="W223" s="40" t="str">
        <f aca="false">IF(OR($F223="",$J223=""),"",$F223+$J223)</f>
        <v/>
      </c>
      <c r="X223" s="32"/>
      <c r="Y223" s="34"/>
      <c r="Z223" s="31"/>
      <c r="AA223" s="31"/>
      <c r="AB223" s="32"/>
      <c r="AC223" s="31"/>
      <c r="AD223" s="32"/>
      <c r="AE223" s="31"/>
      <c r="AF223" s="41" t="str">
        <f aca="false">IF(OR($R223="",$S223=""),"",$S223-$R223)</f>
        <v/>
      </c>
      <c r="AG223" s="41" t="str">
        <f aca="false">IF(OR($S223="",$T223=""),"",$T223-$S223)</f>
        <v/>
      </c>
      <c r="AH223" s="41" t="str">
        <f aca="false">IF(OR($T223="",$U223=""),"",$U223-$T223)</f>
        <v/>
      </c>
      <c r="AI223" s="41" t="str">
        <f aca="false">IF(OR($R223="",$U223=""),"",$U223-$R223)</f>
        <v/>
      </c>
      <c r="AJ223" s="41" t="str">
        <f aca="false">IF(OR($U223="",$AB223=""),"",$AB223-$U223)</f>
        <v/>
      </c>
      <c r="AK223" s="41" t="str">
        <f aca="false">IF(OR($R223="",$AD223=""),"",$AD223-$R223)</f>
        <v/>
      </c>
      <c r="AL223" s="31"/>
      <c r="AM223" s="32"/>
      <c r="AN223" s="31"/>
    </row>
    <row r="224" customFormat="false" ht="15" hidden="false" customHeight="true" outlineLevel="0" collapsed="false">
      <c r="A224" s="38" t="str">
        <f aca="false">IF($B224="","",ROW()-3)</f>
        <v/>
      </c>
      <c r="B224" s="31"/>
      <c r="C224" s="31"/>
      <c r="D224" s="31"/>
      <c r="E224" s="31"/>
      <c r="F224" s="32"/>
      <c r="G224" s="32"/>
      <c r="H224" s="31"/>
      <c r="I224" s="31"/>
      <c r="J224" s="33"/>
      <c r="K224" s="34"/>
      <c r="L224" s="34"/>
      <c r="M224" s="34"/>
      <c r="N224" s="39" t="str">
        <f aca="false">IF($K224="","",$K224-N($L224)-N($M224))</f>
        <v/>
      </c>
      <c r="O224" s="31"/>
      <c r="P224" s="31"/>
      <c r="Q224" s="31"/>
      <c r="R224" s="32"/>
      <c r="S224" s="32"/>
      <c r="T224" s="32"/>
      <c r="U224" s="32"/>
      <c r="V224" s="31"/>
      <c r="W224" s="40" t="str">
        <f aca="false">IF(OR($F224="",$J224=""),"",$F224+$J224)</f>
        <v/>
      </c>
      <c r="X224" s="32"/>
      <c r="Y224" s="34"/>
      <c r="Z224" s="31"/>
      <c r="AA224" s="31"/>
      <c r="AB224" s="32"/>
      <c r="AC224" s="31"/>
      <c r="AD224" s="32"/>
      <c r="AE224" s="31"/>
      <c r="AF224" s="41" t="str">
        <f aca="false">IF(OR($R224="",$S224=""),"",$S224-$R224)</f>
        <v/>
      </c>
      <c r="AG224" s="41" t="str">
        <f aca="false">IF(OR($S224="",$T224=""),"",$T224-$S224)</f>
        <v/>
      </c>
      <c r="AH224" s="41" t="str">
        <f aca="false">IF(OR($T224="",$U224=""),"",$U224-$T224)</f>
        <v/>
      </c>
      <c r="AI224" s="41" t="str">
        <f aca="false">IF(OR($R224="",$U224=""),"",$U224-$R224)</f>
        <v/>
      </c>
      <c r="AJ224" s="41" t="str">
        <f aca="false">IF(OR($U224="",$AB224=""),"",$AB224-$U224)</f>
        <v/>
      </c>
      <c r="AK224" s="41" t="str">
        <f aca="false">IF(OR($R224="",$AD224=""),"",$AD224-$R224)</f>
        <v/>
      </c>
      <c r="AL224" s="31"/>
      <c r="AM224" s="32"/>
      <c r="AN224" s="31"/>
    </row>
    <row r="225" customFormat="false" ht="15" hidden="false" customHeight="true" outlineLevel="0" collapsed="false">
      <c r="A225" s="38" t="str">
        <f aca="false">IF($B225="","",ROW()-3)</f>
        <v/>
      </c>
      <c r="B225" s="31"/>
      <c r="C225" s="31"/>
      <c r="D225" s="31"/>
      <c r="E225" s="31"/>
      <c r="F225" s="32"/>
      <c r="G225" s="32"/>
      <c r="H225" s="31"/>
      <c r="I225" s="31"/>
      <c r="J225" s="33"/>
      <c r="K225" s="34"/>
      <c r="L225" s="34"/>
      <c r="M225" s="34"/>
      <c r="N225" s="39" t="str">
        <f aca="false">IF($K225="","",$K225-N($L225)-N($M225))</f>
        <v/>
      </c>
      <c r="O225" s="31"/>
      <c r="P225" s="31"/>
      <c r="Q225" s="31"/>
      <c r="R225" s="32"/>
      <c r="S225" s="32"/>
      <c r="T225" s="32"/>
      <c r="U225" s="32"/>
      <c r="V225" s="31"/>
      <c r="W225" s="40" t="str">
        <f aca="false">IF(OR($F225="",$J225=""),"",$F225+$J225)</f>
        <v/>
      </c>
      <c r="X225" s="32"/>
      <c r="Y225" s="34"/>
      <c r="Z225" s="31"/>
      <c r="AA225" s="31"/>
      <c r="AB225" s="32"/>
      <c r="AC225" s="31"/>
      <c r="AD225" s="32"/>
      <c r="AE225" s="31"/>
      <c r="AF225" s="41" t="str">
        <f aca="false">IF(OR($R225="",$S225=""),"",$S225-$R225)</f>
        <v/>
      </c>
      <c r="AG225" s="41" t="str">
        <f aca="false">IF(OR($S225="",$T225=""),"",$T225-$S225)</f>
        <v/>
      </c>
      <c r="AH225" s="41" t="str">
        <f aca="false">IF(OR($T225="",$U225=""),"",$U225-$T225)</f>
        <v/>
      </c>
      <c r="AI225" s="41" t="str">
        <f aca="false">IF(OR($R225="",$U225=""),"",$U225-$R225)</f>
        <v/>
      </c>
      <c r="AJ225" s="41" t="str">
        <f aca="false">IF(OR($U225="",$AB225=""),"",$AB225-$U225)</f>
        <v/>
      </c>
      <c r="AK225" s="41" t="str">
        <f aca="false">IF(OR($R225="",$AD225=""),"",$AD225-$R225)</f>
        <v/>
      </c>
      <c r="AL225" s="31"/>
      <c r="AM225" s="32"/>
      <c r="AN225" s="31"/>
    </row>
    <row r="226" customFormat="false" ht="15" hidden="false" customHeight="true" outlineLevel="0" collapsed="false">
      <c r="A226" s="38" t="str">
        <f aca="false">IF($B226="","",ROW()-3)</f>
        <v/>
      </c>
      <c r="B226" s="31"/>
      <c r="C226" s="31"/>
      <c r="D226" s="31"/>
      <c r="E226" s="31"/>
      <c r="F226" s="32"/>
      <c r="G226" s="32"/>
      <c r="H226" s="31"/>
      <c r="I226" s="31"/>
      <c r="J226" s="33"/>
      <c r="K226" s="34"/>
      <c r="L226" s="34"/>
      <c r="M226" s="34"/>
      <c r="N226" s="39" t="str">
        <f aca="false">IF($K226="","",$K226-N($L226)-N($M226))</f>
        <v/>
      </c>
      <c r="O226" s="31"/>
      <c r="P226" s="31"/>
      <c r="Q226" s="31"/>
      <c r="R226" s="32"/>
      <c r="S226" s="32"/>
      <c r="T226" s="32"/>
      <c r="U226" s="32"/>
      <c r="V226" s="31"/>
      <c r="W226" s="40" t="str">
        <f aca="false">IF(OR($F226="",$J226=""),"",$F226+$J226)</f>
        <v/>
      </c>
      <c r="X226" s="32"/>
      <c r="Y226" s="34"/>
      <c r="Z226" s="31"/>
      <c r="AA226" s="31"/>
      <c r="AB226" s="32"/>
      <c r="AC226" s="31"/>
      <c r="AD226" s="32"/>
      <c r="AE226" s="31"/>
      <c r="AF226" s="41" t="str">
        <f aca="false">IF(OR($R226="",$S226=""),"",$S226-$R226)</f>
        <v/>
      </c>
      <c r="AG226" s="41" t="str">
        <f aca="false">IF(OR($S226="",$T226=""),"",$T226-$S226)</f>
        <v/>
      </c>
      <c r="AH226" s="41" t="str">
        <f aca="false">IF(OR($T226="",$U226=""),"",$U226-$T226)</f>
        <v/>
      </c>
      <c r="AI226" s="41" t="str">
        <f aca="false">IF(OR($R226="",$U226=""),"",$U226-$R226)</f>
        <v/>
      </c>
      <c r="AJ226" s="41" t="str">
        <f aca="false">IF(OR($U226="",$AB226=""),"",$AB226-$U226)</f>
        <v/>
      </c>
      <c r="AK226" s="41" t="str">
        <f aca="false">IF(OR($R226="",$AD226=""),"",$AD226-$R226)</f>
        <v/>
      </c>
      <c r="AL226" s="31"/>
      <c r="AM226" s="32"/>
      <c r="AN226" s="31"/>
    </row>
    <row r="227" customFormat="false" ht="15" hidden="false" customHeight="true" outlineLevel="0" collapsed="false">
      <c r="A227" s="38" t="str">
        <f aca="false">IF($B227="","",ROW()-3)</f>
        <v/>
      </c>
      <c r="B227" s="31"/>
      <c r="C227" s="31"/>
      <c r="D227" s="31"/>
      <c r="E227" s="31"/>
      <c r="F227" s="32"/>
      <c r="G227" s="32"/>
      <c r="H227" s="31"/>
      <c r="I227" s="31"/>
      <c r="J227" s="33"/>
      <c r="K227" s="34"/>
      <c r="L227" s="34"/>
      <c r="M227" s="34"/>
      <c r="N227" s="39" t="str">
        <f aca="false">IF($K227="","",$K227-N($L227)-N($M227))</f>
        <v/>
      </c>
      <c r="O227" s="31"/>
      <c r="P227" s="31"/>
      <c r="Q227" s="31"/>
      <c r="R227" s="32"/>
      <c r="S227" s="32"/>
      <c r="T227" s="32"/>
      <c r="U227" s="32"/>
      <c r="V227" s="31"/>
      <c r="W227" s="40" t="str">
        <f aca="false">IF(OR($F227="",$J227=""),"",$F227+$J227)</f>
        <v/>
      </c>
      <c r="X227" s="32"/>
      <c r="Y227" s="34"/>
      <c r="Z227" s="31"/>
      <c r="AA227" s="31"/>
      <c r="AB227" s="32"/>
      <c r="AC227" s="31"/>
      <c r="AD227" s="32"/>
      <c r="AE227" s="31"/>
      <c r="AF227" s="41" t="str">
        <f aca="false">IF(OR($R227="",$S227=""),"",$S227-$R227)</f>
        <v/>
      </c>
      <c r="AG227" s="41" t="str">
        <f aca="false">IF(OR($S227="",$T227=""),"",$T227-$S227)</f>
        <v/>
      </c>
      <c r="AH227" s="41" t="str">
        <f aca="false">IF(OR($T227="",$U227=""),"",$U227-$T227)</f>
        <v/>
      </c>
      <c r="AI227" s="41" t="str">
        <f aca="false">IF(OR($R227="",$U227=""),"",$U227-$R227)</f>
        <v/>
      </c>
      <c r="AJ227" s="41" t="str">
        <f aca="false">IF(OR($U227="",$AB227=""),"",$AB227-$U227)</f>
        <v/>
      </c>
      <c r="AK227" s="41" t="str">
        <f aca="false">IF(OR($R227="",$AD227=""),"",$AD227-$R227)</f>
        <v/>
      </c>
      <c r="AL227" s="31"/>
      <c r="AM227" s="32"/>
      <c r="AN227" s="31"/>
    </row>
    <row r="228" customFormat="false" ht="15" hidden="false" customHeight="true" outlineLevel="0" collapsed="false">
      <c r="A228" s="38" t="str">
        <f aca="false">IF($B228="","",ROW()-3)</f>
        <v/>
      </c>
      <c r="B228" s="31"/>
      <c r="C228" s="31"/>
      <c r="D228" s="31"/>
      <c r="E228" s="31"/>
      <c r="F228" s="32"/>
      <c r="G228" s="32"/>
      <c r="H228" s="31"/>
      <c r="I228" s="31"/>
      <c r="J228" s="33"/>
      <c r="K228" s="34"/>
      <c r="L228" s="34"/>
      <c r="M228" s="34"/>
      <c r="N228" s="39" t="str">
        <f aca="false">IF($K228="","",$K228-N($L228)-N($M228))</f>
        <v/>
      </c>
      <c r="O228" s="31"/>
      <c r="P228" s="31"/>
      <c r="Q228" s="31"/>
      <c r="R228" s="32"/>
      <c r="S228" s="32"/>
      <c r="T228" s="32"/>
      <c r="U228" s="32"/>
      <c r="V228" s="31"/>
      <c r="W228" s="40" t="str">
        <f aca="false">IF(OR($F228="",$J228=""),"",$F228+$J228)</f>
        <v/>
      </c>
      <c r="X228" s="32"/>
      <c r="Y228" s="34"/>
      <c r="Z228" s="31"/>
      <c r="AA228" s="31"/>
      <c r="AB228" s="32"/>
      <c r="AC228" s="31"/>
      <c r="AD228" s="32"/>
      <c r="AE228" s="31"/>
      <c r="AF228" s="41" t="str">
        <f aca="false">IF(OR($R228="",$S228=""),"",$S228-$R228)</f>
        <v/>
      </c>
      <c r="AG228" s="41" t="str">
        <f aca="false">IF(OR($S228="",$T228=""),"",$T228-$S228)</f>
        <v/>
      </c>
      <c r="AH228" s="41" t="str">
        <f aca="false">IF(OR($T228="",$U228=""),"",$U228-$T228)</f>
        <v/>
      </c>
      <c r="AI228" s="41" t="str">
        <f aca="false">IF(OR($R228="",$U228=""),"",$U228-$R228)</f>
        <v/>
      </c>
      <c r="AJ228" s="41" t="str">
        <f aca="false">IF(OR($U228="",$AB228=""),"",$AB228-$U228)</f>
        <v/>
      </c>
      <c r="AK228" s="41" t="str">
        <f aca="false">IF(OR($R228="",$AD228=""),"",$AD228-$R228)</f>
        <v/>
      </c>
      <c r="AL228" s="31"/>
      <c r="AM228" s="32"/>
      <c r="AN228" s="31"/>
    </row>
    <row r="229" customFormat="false" ht="15" hidden="false" customHeight="true" outlineLevel="0" collapsed="false">
      <c r="A229" s="38" t="str">
        <f aca="false">IF($B229="","",ROW()-3)</f>
        <v/>
      </c>
      <c r="B229" s="31"/>
      <c r="C229" s="31"/>
      <c r="D229" s="31"/>
      <c r="E229" s="31"/>
      <c r="F229" s="32"/>
      <c r="G229" s="32"/>
      <c r="H229" s="31"/>
      <c r="I229" s="31"/>
      <c r="J229" s="33"/>
      <c r="K229" s="34"/>
      <c r="L229" s="34"/>
      <c r="M229" s="34"/>
      <c r="N229" s="39" t="str">
        <f aca="false">IF($K229="","",$K229-N($L229)-N($M229))</f>
        <v/>
      </c>
      <c r="O229" s="31"/>
      <c r="P229" s="31"/>
      <c r="Q229" s="31"/>
      <c r="R229" s="32"/>
      <c r="S229" s="32"/>
      <c r="T229" s="32"/>
      <c r="U229" s="32"/>
      <c r="V229" s="31"/>
      <c r="W229" s="40" t="str">
        <f aca="false">IF(OR($F229="",$J229=""),"",$F229+$J229)</f>
        <v/>
      </c>
      <c r="X229" s="32"/>
      <c r="Y229" s="34"/>
      <c r="Z229" s="31"/>
      <c r="AA229" s="31"/>
      <c r="AB229" s="32"/>
      <c r="AC229" s="31"/>
      <c r="AD229" s="32"/>
      <c r="AE229" s="31"/>
      <c r="AF229" s="41" t="str">
        <f aca="false">IF(OR($R229="",$S229=""),"",$S229-$R229)</f>
        <v/>
      </c>
      <c r="AG229" s="41" t="str">
        <f aca="false">IF(OR($S229="",$T229=""),"",$T229-$S229)</f>
        <v/>
      </c>
      <c r="AH229" s="41" t="str">
        <f aca="false">IF(OR($T229="",$U229=""),"",$U229-$T229)</f>
        <v/>
      </c>
      <c r="AI229" s="41" t="str">
        <f aca="false">IF(OR($R229="",$U229=""),"",$U229-$R229)</f>
        <v/>
      </c>
      <c r="AJ229" s="41" t="str">
        <f aca="false">IF(OR($U229="",$AB229=""),"",$AB229-$U229)</f>
        <v/>
      </c>
      <c r="AK229" s="41" t="str">
        <f aca="false">IF(OR($R229="",$AD229=""),"",$AD229-$R229)</f>
        <v/>
      </c>
      <c r="AL229" s="31"/>
      <c r="AM229" s="32"/>
      <c r="AN229" s="31"/>
    </row>
    <row r="230" customFormat="false" ht="15" hidden="false" customHeight="true" outlineLevel="0" collapsed="false">
      <c r="A230" s="38" t="str">
        <f aca="false">IF($B230="","",ROW()-3)</f>
        <v/>
      </c>
      <c r="B230" s="31"/>
      <c r="C230" s="31"/>
      <c r="D230" s="31"/>
      <c r="E230" s="31"/>
      <c r="F230" s="32"/>
      <c r="G230" s="32"/>
      <c r="H230" s="31"/>
      <c r="I230" s="31"/>
      <c r="J230" s="33"/>
      <c r="K230" s="34"/>
      <c r="L230" s="34"/>
      <c r="M230" s="34"/>
      <c r="N230" s="39" t="str">
        <f aca="false">IF($K230="","",$K230-N($L230)-N($M230))</f>
        <v/>
      </c>
      <c r="O230" s="31"/>
      <c r="P230" s="31"/>
      <c r="Q230" s="31"/>
      <c r="R230" s="32"/>
      <c r="S230" s="32"/>
      <c r="T230" s="32"/>
      <c r="U230" s="32"/>
      <c r="V230" s="31"/>
      <c r="W230" s="40" t="str">
        <f aca="false">IF(OR($F230="",$J230=""),"",$F230+$J230)</f>
        <v/>
      </c>
      <c r="X230" s="32"/>
      <c r="Y230" s="34"/>
      <c r="Z230" s="31"/>
      <c r="AA230" s="31"/>
      <c r="AB230" s="32"/>
      <c r="AC230" s="31"/>
      <c r="AD230" s="32"/>
      <c r="AE230" s="31"/>
      <c r="AF230" s="41" t="str">
        <f aca="false">IF(OR($R230="",$S230=""),"",$S230-$R230)</f>
        <v/>
      </c>
      <c r="AG230" s="41" t="str">
        <f aca="false">IF(OR($S230="",$T230=""),"",$T230-$S230)</f>
        <v/>
      </c>
      <c r="AH230" s="41" t="str">
        <f aca="false">IF(OR($T230="",$U230=""),"",$U230-$T230)</f>
        <v/>
      </c>
      <c r="AI230" s="41" t="str">
        <f aca="false">IF(OR($R230="",$U230=""),"",$U230-$R230)</f>
        <v/>
      </c>
      <c r="AJ230" s="41" t="str">
        <f aca="false">IF(OR($U230="",$AB230=""),"",$AB230-$U230)</f>
        <v/>
      </c>
      <c r="AK230" s="41" t="str">
        <f aca="false">IF(OR($R230="",$AD230=""),"",$AD230-$R230)</f>
        <v/>
      </c>
      <c r="AL230" s="31"/>
      <c r="AM230" s="32"/>
      <c r="AN230" s="31"/>
    </row>
    <row r="231" customFormat="false" ht="15" hidden="false" customHeight="true" outlineLevel="0" collapsed="false">
      <c r="A231" s="38" t="str">
        <f aca="false">IF($B231="","",ROW()-3)</f>
        <v/>
      </c>
      <c r="B231" s="31"/>
      <c r="C231" s="31"/>
      <c r="D231" s="31"/>
      <c r="E231" s="31"/>
      <c r="F231" s="32"/>
      <c r="G231" s="32"/>
      <c r="H231" s="31"/>
      <c r="I231" s="31"/>
      <c r="J231" s="33"/>
      <c r="K231" s="34"/>
      <c r="L231" s="34"/>
      <c r="M231" s="34"/>
      <c r="N231" s="39" t="str">
        <f aca="false">IF($K231="","",$K231-N($L231)-N($M231))</f>
        <v/>
      </c>
      <c r="O231" s="31"/>
      <c r="P231" s="31"/>
      <c r="Q231" s="31"/>
      <c r="R231" s="32"/>
      <c r="S231" s="32"/>
      <c r="T231" s="32"/>
      <c r="U231" s="32"/>
      <c r="V231" s="31"/>
      <c r="W231" s="40" t="str">
        <f aca="false">IF(OR($F231="",$J231=""),"",$F231+$J231)</f>
        <v/>
      </c>
      <c r="X231" s="32"/>
      <c r="Y231" s="34"/>
      <c r="Z231" s="31"/>
      <c r="AA231" s="31"/>
      <c r="AB231" s="32"/>
      <c r="AC231" s="31"/>
      <c r="AD231" s="32"/>
      <c r="AE231" s="31"/>
      <c r="AF231" s="41" t="str">
        <f aca="false">IF(OR($R231="",$S231=""),"",$S231-$R231)</f>
        <v/>
      </c>
      <c r="AG231" s="41" t="str">
        <f aca="false">IF(OR($S231="",$T231=""),"",$T231-$S231)</f>
        <v/>
      </c>
      <c r="AH231" s="41" t="str">
        <f aca="false">IF(OR($T231="",$U231=""),"",$U231-$T231)</f>
        <v/>
      </c>
      <c r="AI231" s="41" t="str">
        <f aca="false">IF(OR($R231="",$U231=""),"",$U231-$R231)</f>
        <v/>
      </c>
      <c r="AJ231" s="41" t="str">
        <f aca="false">IF(OR($U231="",$AB231=""),"",$AB231-$U231)</f>
        <v/>
      </c>
      <c r="AK231" s="41" t="str">
        <f aca="false">IF(OR($R231="",$AD231=""),"",$AD231-$R231)</f>
        <v/>
      </c>
      <c r="AL231" s="31"/>
      <c r="AM231" s="32"/>
      <c r="AN231" s="31"/>
    </row>
    <row r="232" customFormat="false" ht="15" hidden="false" customHeight="true" outlineLevel="0" collapsed="false">
      <c r="A232" s="38" t="str">
        <f aca="false">IF($B232="","",ROW()-3)</f>
        <v/>
      </c>
      <c r="B232" s="31"/>
      <c r="C232" s="31"/>
      <c r="D232" s="31"/>
      <c r="E232" s="31"/>
      <c r="F232" s="32"/>
      <c r="G232" s="32"/>
      <c r="H232" s="31"/>
      <c r="I232" s="31"/>
      <c r="J232" s="33"/>
      <c r="K232" s="34"/>
      <c r="L232" s="34"/>
      <c r="M232" s="34"/>
      <c r="N232" s="39" t="str">
        <f aca="false">IF($K232="","",$K232-N($L232)-N($M232))</f>
        <v/>
      </c>
      <c r="O232" s="31"/>
      <c r="P232" s="31"/>
      <c r="Q232" s="31"/>
      <c r="R232" s="32"/>
      <c r="S232" s="32"/>
      <c r="T232" s="32"/>
      <c r="U232" s="32"/>
      <c r="V232" s="31"/>
      <c r="W232" s="40" t="str">
        <f aca="false">IF(OR($F232="",$J232=""),"",$F232+$J232)</f>
        <v/>
      </c>
      <c r="X232" s="32"/>
      <c r="Y232" s="34"/>
      <c r="Z232" s="31"/>
      <c r="AA232" s="31"/>
      <c r="AB232" s="32"/>
      <c r="AC232" s="31"/>
      <c r="AD232" s="32"/>
      <c r="AE232" s="31"/>
      <c r="AF232" s="41" t="str">
        <f aca="false">IF(OR($R232="",$S232=""),"",$S232-$R232)</f>
        <v/>
      </c>
      <c r="AG232" s="41" t="str">
        <f aca="false">IF(OR($S232="",$T232=""),"",$T232-$S232)</f>
        <v/>
      </c>
      <c r="AH232" s="41" t="str">
        <f aca="false">IF(OR($T232="",$U232=""),"",$U232-$T232)</f>
        <v/>
      </c>
      <c r="AI232" s="41" t="str">
        <f aca="false">IF(OR($R232="",$U232=""),"",$U232-$R232)</f>
        <v/>
      </c>
      <c r="AJ232" s="41" t="str">
        <f aca="false">IF(OR($U232="",$AB232=""),"",$AB232-$U232)</f>
        <v/>
      </c>
      <c r="AK232" s="41" t="str">
        <f aca="false">IF(OR($R232="",$AD232=""),"",$AD232-$R232)</f>
        <v/>
      </c>
      <c r="AL232" s="31"/>
      <c r="AM232" s="32"/>
      <c r="AN232" s="31"/>
    </row>
    <row r="233" customFormat="false" ht="15" hidden="false" customHeight="true" outlineLevel="0" collapsed="false">
      <c r="A233" s="38" t="str">
        <f aca="false">IF($B233="","",ROW()-3)</f>
        <v/>
      </c>
      <c r="B233" s="31"/>
      <c r="C233" s="31"/>
      <c r="D233" s="31"/>
      <c r="E233" s="31"/>
      <c r="F233" s="32"/>
      <c r="G233" s="32"/>
      <c r="H233" s="31"/>
      <c r="I233" s="31"/>
      <c r="J233" s="33"/>
      <c r="K233" s="34"/>
      <c r="L233" s="34"/>
      <c r="M233" s="34"/>
      <c r="N233" s="39" t="str">
        <f aca="false">IF($K233="","",$K233-N($L233)-N($M233))</f>
        <v/>
      </c>
      <c r="O233" s="31"/>
      <c r="P233" s="31"/>
      <c r="Q233" s="31"/>
      <c r="R233" s="32"/>
      <c r="S233" s="32"/>
      <c r="T233" s="32"/>
      <c r="U233" s="32"/>
      <c r="V233" s="31"/>
      <c r="W233" s="40" t="str">
        <f aca="false">IF(OR($F233="",$J233=""),"",$F233+$J233)</f>
        <v/>
      </c>
      <c r="X233" s="32"/>
      <c r="Y233" s="34"/>
      <c r="Z233" s="31"/>
      <c r="AA233" s="31"/>
      <c r="AB233" s="32"/>
      <c r="AC233" s="31"/>
      <c r="AD233" s="32"/>
      <c r="AE233" s="31"/>
      <c r="AF233" s="41" t="str">
        <f aca="false">IF(OR($R233="",$S233=""),"",$S233-$R233)</f>
        <v/>
      </c>
      <c r="AG233" s="41" t="str">
        <f aca="false">IF(OR($S233="",$T233=""),"",$T233-$S233)</f>
        <v/>
      </c>
      <c r="AH233" s="41" t="str">
        <f aca="false">IF(OR($T233="",$U233=""),"",$U233-$T233)</f>
        <v/>
      </c>
      <c r="AI233" s="41" t="str">
        <f aca="false">IF(OR($R233="",$U233=""),"",$U233-$R233)</f>
        <v/>
      </c>
      <c r="AJ233" s="41" t="str">
        <f aca="false">IF(OR($U233="",$AB233=""),"",$AB233-$U233)</f>
        <v/>
      </c>
      <c r="AK233" s="41" t="str">
        <f aca="false">IF(OR($R233="",$AD233=""),"",$AD233-$R233)</f>
        <v/>
      </c>
      <c r="AL233" s="31"/>
      <c r="AM233" s="32"/>
      <c r="AN233" s="31"/>
    </row>
    <row r="234" customFormat="false" ht="15" hidden="false" customHeight="true" outlineLevel="0" collapsed="false">
      <c r="A234" s="38" t="str">
        <f aca="false">IF($B234="","",ROW()-3)</f>
        <v/>
      </c>
      <c r="B234" s="31"/>
      <c r="C234" s="31"/>
      <c r="D234" s="31"/>
      <c r="E234" s="31"/>
      <c r="F234" s="32"/>
      <c r="G234" s="32"/>
      <c r="H234" s="31"/>
      <c r="I234" s="31"/>
      <c r="J234" s="33"/>
      <c r="K234" s="34"/>
      <c r="L234" s="34"/>
      <c r="M234" s="34"/>
      <c r="N234" s="39" t="str">
        <f aca="false">IF($K234="","",$K234-N($L234)-N($M234))</f>
        <v/>
      </c>
      <c r="O234" s="31"/>
      <c r="P234" s="31"/>
      <c r="Q234" s="31"/>
      <c r="R234" s="32"/>
      <c r="S234" s="32"/>
      <c r="T234" s="32"/>
      <c r="U234" s="32"/>
      <c r="V234" s="31"/>
      <c r="W234" s="40" t="str">
        <f aca="false">IF(OR($F234="",$J234=""),"",$F234+$J234)</f>
        <v/>
      </c>
      <c r="X234" s="32"/>
      <c r="Y234" s="34"/>
      <c r="Z234" s="31"/>
      <c r="AA234" s="31"/>
      <c r="AB234" s="32"/>
      <c r="AC234" s="31"/>
      <c r="AD234" s="32"/>
      <c r="AE234" s="31"/>
      <c r="AF234" s="41" t="str">
        <f aca="false">IF(OR($R234="",$S234=""),"",$S234-$R234)</f>
        <v/>
      </c>
      <c r="AG234" s="41" t="str">
        <f aca="false">IF(OR($S234="",$T234=""),"",$T234-$S234)</f>
        <v/>
      </c>
      <c r="AH234" s="41" t="str">
        <f aca="false">IF(OR($T234="",$U234=""),"",$U234-$T234)</f>
        <v/>
      </c>
      <c r="AI234" s="41" t="str">
        <f aca="false">IF(OR($R234="",$U234=""),"",$U234-$R234)</f>
        <v/>
      </c>
      <c r="AJ234" s="41" t="str">
        <f aca="false">IF(OR($U234="",$AB234=""),"",$AB234-$U234)</f>
        <v/>
      </c>
      <c r="AK234" s="41" t="str">
        <f aca="false">IF(OR($R234="",$AD234=""),"",$AD234-$R234)</f>
        <v/>
      </c>
      <c r="AL234" s="31"/>
      <c r="AM234" s="32"/>
      <c r="AN234" s="31"/>
    </row>
    <row r="235" customFormat="false" ht="15" hidden="false" customHeight="true" outlineLevel="0" collapsed="false">
      <c r="A235" s="38" t="str">
        <f aca="false">IF($B235="","",ROW()-3)</f>
        <v/>
      </c>
      <c r="B235" s="31"/>
      <c r="C235" s="31"/>
      <c r="D235" s="31"/>
      <c r="E235" s="31"/>
      <c r="F235" s="32"/>
      <c r="G235" s="32"/>
      <c r="H235" s="31"/>
      <c r="I235" s="31"/>
      <c r="J235" s="33"/>
      <c r="K235" s="34"/>
      <c r="L235" s="34"/>
      <c r="M235" s="34"/>
      <c r="N235" s="39" t="str">
        <f aca="false">IF($K235="","",$K235-N($L235)-N($M235))</f>
        <v/>
      </c>
      <c r="O235" s="31"/>
      <c r="P235" s="31"/>
      <c r="Q235" s="31"/>
      <c r="R235" s="32"/>
      <c r="S235" s="32"/>
      <c r="T235" s="32"/>
      <c r="U235" s="32"/>
      <c r="V235" s="31"/>
      <c r="W235" s="40" t="str">
        <f aca="false">IF(OR($F235="",$J235=""),"",$F235+$J235)</f>
        <v/>
      </c>
      <c r="X235" s="32"/>
      <c r="Y235" s="34"/>
      <c r="Z235" s="31"/>
      <c r="AA235" s="31"/>
      <c r="AB235" s="32"/>
      <c r="AC235" s="31"/>
      <c r="AD235" s="32"/>
      <c r="AE235" s="31"/>
      <c r="AF235" s="41" t="str">
        <f aca="false">IF(OR($R235="",$S235=""),"",$S235-$R235)</f>
        <v/>
      </c>
      <c r="AG235" s="41" t="str">
        <f aca="false">IF(OR($S235="",$T235=""),"",$T235-$S235)</f>
        <v/>
      </c>
      <c r="AH235" s="41" t="str">
        <f aca="false">IF(OR($T235="",$U235=""),"",$U235-$T235)</f>
        <v/>
      </c>
      <c r="AI235" s="41" t="str">
        <f aca="false">IF(OR($R235="",$U235=""),"",$U235-$R235)</f>
        <v/>
      </c>
      <c r="AJ235" s="41" t="str">
        <f aca="false">IF(OR($U235="",$AB235=""),"",$AB235-$U235)</f>
        <v/>
      </c>
      <c r="AK235" s="41" t="str">
        <f aca="false">IF(OR($R235="",$AD235=""),"",$AD235-$R235)</f>
        <v/>
      </c>
      <c r="AL235" s="31"/>
      <c r="AM235" s="32"/>
      <c r="AN235" s="31"/>
    </row>
    <row r="236" customFormat="false" ht="15" hidden="false" customHeight="true" outlineLevel="0" collapsed="false">
      <c r="A236" s="38" t="str">
        <f aca="false">IF($B236="","",ROW()-3)</f>
        <v/>
      </c>
      <c r="B236" s="31"/>
      <c r="C236" s="31"/>
      <c r="D236" s="31"/>
      <c r="E236" s="31"/>
      <c r="F236" s="32"/>
      <c r="G236" s="32"/>
      <c r="H236" s="31"/>
      <c r="I236" s="31"/>
      <c r="J236" s="33"/>
      <c r="K236" s="34"/>
      <c r="L236" s="34"/>
      <c r="M236" s="34"/>
      <c r="N236" s="39" t="str">
        <f aca="false">IF($K236="","",$K236-N($L236)-N($M236))</f>
        <v/>
      </c>
      <c r="O236" s="31"/>
      <c r="P236" s="31"/>
      <c r="Q236" s="31"/>
      <c r="R236" s="32"/>
      <c r="S236" s="32"/>
      <c r="T236" s="32"/>
      <c r="U236" s="32"/>
      <c r="V236" s="31"/>
      <c r="W236" s="40" t="str">
        <f aca="false">IF(OR($F236="",$J236=""),"",$F236+$J236)</f>
        <v/>
      </c>
      <c r="X236" s="32"/>
      <c r="Y236" s="34"/>
      <c r="Z236" s="31"/>
      <c r="AA236" s="31"/>
      <c r="AB236" s="32"/>
      <c r="AC236" s="31"/>
      <c r="AD236" s="32"/>
      <c r="AE236" s="31"/>
      <c r="AF236" s="41" t="str">
        <f aca="false">IF(OR($R236="",$S236=""),"",$S236-$R236)</f>
        <v/>
      </c>
      <c r="AG236" s="41" t="str">
        <f aca="false">IF(OR($S236="",$T236=""),"",$T236-$S236)</f>
        <v/>
      </c>
      <c r="AH236" s="41" t="str">
        <f aca="false">IF(OR($T236="",$U236=""),"",$U236-$T236)</f>
        <v/>
      </c>
      <c r="AI236" s="41" t="str">
        <f aca="false">IF(OR($R236="",$U236=""),"",$U236-$R236)</f>
        <v/>
      </c>
      <c r="AJ236" s="41" t="str">
        <f aca="false">IF(OR($U236="",$AB236=""),"",$AB236-$U236)</f>
        <v/>
      </c>
      <c r="AK236" s="41" t="str">
        <f aca="false">IF(OR($R236="",$AD236=""),"",$AD236-$R236)</f>
        <v/>
      </c>
      <c r="AL236" s="31"/>
      <c r="AM236" s="32"/>
      <c r="AN236" s="31"/>
    </row>
    <row r="237" customFormat="false" ht="15" hidden="false" customHeight="true" outlineLevel="0" collapsed="false">
      <c r="A237" s="38" t="str">
        <f aca="false">IF($B237="","",ROW()-3)</f>
        <v/>
      </c>
      <c r="B237" s="31"/>
      <c r="C237" s="31"/>
      <c r="D237" s="31"/>
      <c r="E237" s="31"/>
      <c r="F237" s="32"/>
      <c r="G237" s="32"/>
      <c r="H237" s="31"/>
      <c r="I237" s="31"/>
      <c r="J237" s="33"/>
      <c r="K237" s="34"/>
      <c r="L237" s="34"/>
      <c r="M237" s="34"/>
      <c r="N237" s="39" t="str">
        <f aca="false">IF($K237="","",$K237-N($L237)-N($M237))</f>
        <v/>
      </c>
      <c r="O237" s="31"/>
      <c r="P237" s="31"/>
      <c r="Q237" s="31"/>
      <c r="R237" s="32"/>
      <c r="S237" s="32"/>
      <c r="T237" s="32"/>
      <c r="U237" s="32"/>
      <c r="V237" s="31"/>
      <c r="W237" s="40" t="str">
        <f aca="false">IF(OR($F237="",$J237=""),"",$F237+$J237)</f>
        <v/>
      </c>
      <c r="X237" s="32"/>
      <c r="Y237" s="34"/>
      <c r="Z237" s="31"/>
      <c r="AA237" s="31"/>
      <c r="AB237" s="32"/>
      <c r="AC237" s="31"/>
      <c r="AD237" s="32"/>
      <c r="AE237" s="31"/>
      <c r="AF237" s="41" t="str">
        <f aca="false">IF(OR($R237="",$S237=""),"",$S237-$R237)</f>
        <v/>
      </c>
      <c r="AG237" s="41" t="str">
        <f aca="false">IF(OR($S237="",$T237=""),"",$T237-$S237)</f>
        <v/>
      </c>
      <c r="AH237" s="41" t="str">
        <f aca="false">IF(OR($T237="",$U237=""),"",$U237-$T237)</f>
        <v/>
      </c>
      <c r="AI237" s="41" t="str">
        <f aca="false">IF(OR($R237="",$U237=""),"",$U237-$R237)</f>
        <v/>
      </c>
      <c r="AJ237" s="41" t="str">
        <f aca="false">IF(OR($U237="",$AB237=""),"",$AB237-$U237)</f>
        <v/>
      </c>
      <c r="AK237" s="41" t="str">
        <f aca="false">IF(OR($R237="",$AD237=""),"",$AD237-$R237)</f>
        <v/>
      </c>
      <c r="AL237" s="31"/>
      <c r="AM237" s="32"/>
      <c r="AN237" s="31"/>
    </row>
    <row r="238" customFormat="false" ht="15" hidden="false" customHeight="true" outlineLevel="0" collapsed="false">
      <c r="A238" s="38" t="str">
        <f aca="false">IF($B238="","",ROW()-3)</f>
        <v/>
      </c>
      <c r="B238" s="31"/>
      <c r="C238" s="31"/>
      <c r="D238" s="31"/>
      <c r="E238" s="31"/>
      <c r="F238" s="32"/>
      <c r="G238" s="32"/>
      <c r="H238" s="31"/>
      <c r="I238" s="31"/>
      <c r="J238" s="33"/>
      <c r="K238" s="34"/>
      <c r="L238" s="34"/>
      <c r="M238" s="34"/>
      <c r="N238" s="39" t="str">
        <f aca="false">IF($K238="","",$K238-N($L238)-N($M238))</f>
        <v/>
      </c>
      <c r="O238" s="31"/>
      <c r="P238" s="31"/>
      <c r="Q238" s="31"/>
      <c r="R238" s="32"/>
      <c r="S238" s="32"/>
      <c r="T238" s="32"/>
      <c r="U238" s="32"/>
      <c r="V238" s="31"/>
      <c r="W238" s="40" t="str">
        <f aca="false">IF(OR($F238="",$J238=""),"",$F238+$J238)</f>
        <v/>
      </c>
      <c r="X238" s="32"/>
      <c r="Y238" s="34"/>
      <c r="Z238" s="31"/>
      <c r="AA238" s="31"/>
      <c r="AB238" s="32"/>
      <c r="AC238" s="31"/>
      <c r="AD238" s="32"/>
      <c r="AE238" s="31"/>
      <c r="AF238" s="41" t="str">
        <f aca="false">IF(OR($R238="",$S238=""),"",$S238-$R238)</f>
        <v/>
      </c>
      <c r="AG238" s="41" t="str">
        <f aca="false">IF(OR($S238="",$T238=""),"",$T238-$S238)</f>
        <v/>
      </c>
      <c r="AH238" s="41" t="str">
        <f aca="false">IF(OR($T238="",$U238=""),"",$U238-$T238)</f>
        <v/>
      </c>
      <c r="AI238" s="41" t="str">
        <f aca="false">IF(OR($R238="",$U238=""),"",$U238-$R238)</f>
        <v/>
      </c>
      <c r="AJ238" s="41" t="str">
        <f aca="false">IF(OR($U238="",$AB238=""),"",$AB238-$U238)</f>
        <v/>
      </c>
      <c r="AK238" s="41" t="str">
        <f aca="false">IF(OR($R238="",$AD238=""),"",$AD238-$R238)</f>
        <v/>
      </c>
      <c r="AL238" s="31"/>
      <c r="AM238" s="32"/>
      <c r="AN238" s="31"/>
    </row>
    <row r="239" customFormat="false" ht="15" hidden="false" customHeight="true" outlineLevel="0" collapsed="false">
      <c r="A239" s="38" t="str">
        <f aca="false">IF($B239="","",ROW()-3)</f>
        <v/>
      </c>
      <c r="B239" s="31"/>
      <c r="C239" s="31"/>
      <c r="D239" s="31"/>
      <c r="E239" s="31"/>
      <c r="F239" s="32"/>
      <c r="G239" s="32"/>
      <c r="H239" s="31"/>
      <c r="I239" s="31"/>
      <c r="J239" s="33"/>
      <c r="K239" s="34"/>
      <c r="L239" s="34"/>
      <c r="M239" s="34"/>
      <c r="N239" s="39" t="str">
        <f aca="false">IF($K239="","",$K239-N($L239)-N($M239))</f>
        <v/>
      </c>
      <c r="O239" s="31"/>
      <c r="P239" s="31"/>
      <c r="Q239" s="31"/>
      <c r="R239" s="32"/>
      <c r="S239" s="32"/>
      <c r="T239" s="32"/>
      <c r="U239" s="32"/>
      <c r="V239" s="31"/>
      <c r="W239" s="40" t="str">
        <f aca="false">IF(OR($F239="",$J239=""),"",$F239+$J239)</f>
        <v/>
      </c>
      <c r="X239" s="32"/>
      <c r="Y239" s="34"/>
      <c r="Z239" s="31"/>
      <c r="AA239" s="31"/>
      <c r="AB239" s="32"/>
      <c r="AC239" s="31"/>
      <c r="AD239" s="32"/>
      <c r="AE239" s="31"/>
      <c r="AF239" s="41" t="str">
        <f aca="false">IF(OR($R239="",$S239=""),"",$S239-$R239)</f>
        <v/>
      </c>
      <c r="AG239" s="41" t="str">
        <f aca="false">IF(OR($S239="",$T239=""),"",$T239-$S239)</f>
        <v/>
      </c>
      <c r="AH239" s="41" t="str">
        <f aca="false">IF(OR($T239="",$U239=""),"",$U239-$T239)</f>
        <v/>
      </c>
      <c r="AI239" s="41" t="str">
        <f aca="false">IF(OR($R239="",$U239=""),"",$U239-$R239)</f>
        <v/>
      </c>
      <c r="AJ239" s="41" t="str">
        <f aca="false">IF(OR($U239="",$AB239=""),"",$AB239-$U239)</f>
        <v/>
      </c>
      <c r="AK239" s="41" t="str">
        <f aca="false">IF(OR($R239="",$AD239=""),"",$AD239-$R239)</f>
        <v/>
      </c>
      <c r="AL239" s="31"/>
      <c r="AM239" s="32"/>
      <c r="AN239" s="31"/>
    </row>
    <row r="240" customFormat="false" ht="15" hidden="false" customHeight="true" outlineLevel="0" collapsed="false">
      <c r="A240" s="38" t="str">
        <f aca="false">IF($B240="","",ROW()-3)</f>
        <v/>
      </c>
      <c r="B240" s="31"/>
      <c r="C240" s="31"/>
      <c r="D240" s="31"/>
      <c r="E240" s="31"/>
      <c r="F240" s="32"/>
      <c r="G240" s="32"/>
      <c r="H240" s="31"/>
      <c r="I240" s="31"/>
      <c r="J240" s="33"/>
      <c r="K240" s="34"/>
      <c r="L240" s="34"/>
      <c r="M240" s="34"/>
      <c r="N240" s="39" t="str">
        <f aca="false">IF($K240="","",$K240-N($L240)-N($M240))</f>
        <v/>
      </c>
      <c r="O240" s="31"/>
      <c r="P240" s="31"/>
      <c r="Q240" s="31"/>
      <c r="R240" s="32"/>
      <c r="S240" s="32"/>
      <c r="T240" s="32"/>
      <c r="U240" s="32"/>
      <c r="V240" s="31"/>
      <c r="W240" s="40" t="str">
        <f aca="false">IF(OR($F240="",$J240=""),"",$F240+$J240)</f>
        <v/>
      </c>
      <c r="X240" s="32"/>
      <c r="Y240" s="34"/>
      <c r="Z240" s="31"/>
      <c r="AA240" s="31"/>
      <c r="AB240" s="32"/>
      <c r="AC240" s="31"/>
      <c r="AD240" s="32"/>
      <c r="AE240" s="31"/>
      <c r="AF240" s="41" t="str">
        <f aca="false">IF(OR($R240="",$S240=""),"",$S240-$R240)</f>
        <v/>
      </c>
      <c r="AG240" s="41" t="str">
        <f aca="false">IF(OR($S240="",$T240=""),"",$T240-$S240)</f>
        <v/>
      </c>
      <c r="AH240" s="41" t="str">
        <f aca="false">IF(OR($T240="",$U240=""),"",$U240-$T240)</f>
        <v/>
      </c>
      <c r="AI240" s="41" t="str">
        <f aca="false">IF(OR($R240="",$U240=""),"",$U240-$R240)</f>
        <v/>
      </c>
      <c r="AJ240" s="41" t="str">
        <f aca="false">IF(OR($U240="",$AB240=""),"",$AB240-$U240)</f>
        <v/>
      </c>
      <c r="AK240" s="41" t="str">
        <f aca="false">IF(OR($R240="",$AD240=""),"",$AD240-$R240)</f>
        <v/>
      </c>
      <c r="AL240" s="31"/>
      <c r="AM240" s="32"/>
      <c r="AN240" s="31"/>
    </row>
    <row r="241" customFormat="false" ht="15" hidden="false" customHeight="true" outlineLevel="0" collapsed="false">
      <c r="A241" s="38" t="str">
        <f aca="false">IF($B241="","",ROW()-3)</f>
        <v/>
      </c>
      <c r="B241" s="31"/>
      <c r="C241" s="31"/>
      <c r="D241" s="31"/>
      <c r="E241" s="31"/>
      <c r="F241" s="32"/>
      <c r="G241" s="32"/>
      <c r="H241" s="31"/>
      <c r="I241" s="31"/>
      <c r="J241" s="33"/>
      <c r="K241" s="34"/>
      <c r="L241" s="34"/>
      <c r="M241" s="34"/>
      <c r="N241" s="39" t="str">
        <f aca="false">IF($K241="","",$K241-N($L241)-N($M241))</f>
        <v/>
      </c>
      <c r="O241" s="31"/>
      <c r="P241" s="31"/>
      <c r="Q241" s="31"/>
      <c r="R241" s="32"/>
      <c r="S241" s="32"/>
      <c r="T241" s="32"/>
      <c r="U241" s="32"/>
      <c r="V241" s="31"/>
      <c r="W241" s="40" t="str">
        <f aca="false">IF(OR($F241="",$J241=""),"",$F241+$J241)</f>
        <v/>
      </c>
      <c r="X241" s="32"/>
      <c r="Y241" s="34"/>
      <c r="Z241" s="31"/>
      <c r="AA241" s="31"/>
      <c r="AB241" s="32"/>
      <c r="AC241" s="31"/>
      <c r="AD241" s="32"/>
      <c r="AE241" s="31"/>
      <c r="AF241" s="41" t="str">
        <f aca="false">IF(OR($R241="",$S241=""),"",$S241-$R241)</f>
        <v/>
      </c>
      <c r="AG241" s="41" t="str">
        <f aca="false">IF(OR($S241="",$T241=""),"",$T241-$S241)</f>
        <v/>
      </c>
      <c r="AH241" s="41" t="str">
        <f aca="false">IF(OR($T241="",$U241=""),"",$U241-$T241)</f>
        <v/>
      </c>
      <c r="AI241" s="41" t="str">
        <f aca="false">IF(OR($R241="",$U241=""),"",$U241-$R241)</f>
        <v/>
      </c>
      <c r="AJ241" s="41" t="str">
        <f aca="false">IF(OR($U241="",$AB241=""),"",$AB241-$U241)</f>
        <v/>
      </c>
      <c r="AK241" s="41" t="str">
        <f aca="false">IF(OR($R241="",$AD241=""),"",$AD241-$R241)</f>
        <v/>
      </c>
      <c r="AL241" s="31"/>
      <c r="AM241" s="32"/>
      <c r="AN241" s="31"/>
    </row>
    <row r="242" customFormat="false" ht="15" hidden="false" customHeight="true" outlineLevel="0" collapsed="false">
      <c r="A242" s="38" t="str">
        <f aca="false">IF($B242="","",ROW()-3)</f>
        <v/>
      </c>
      <c r="B242" s="31"/>
      <c r="C242" s="31"/>
      <c r="D242" s="31"/>
      <c r="E242" s="31"/>
      <c r="F242" s="32"/>
      <c r="G242" s="32"/>
      <c r="H242" s="31"/>
      <c r="I242" s="31"/>
      <c r="J242" s="33"/>
      <c r="K242" s="34"/>
      <c r="L242" s="34"/>
      <c r="M242" s="34"/>
      <c r="N242" s="39" t="str">
        <f aca="false">IF($K242="","",$K242-N($L242)-N($M242))</f>
        <v/>
      </c>
      <c r="O242" s="31"/>
      <c r="P242" s="31"/>
      <c r="Q242" s="31"/>
      <c r="R242" s="32"/>
      <c r="S242" s="32"/>
      <c r="T242" s="32"/>
      <c r="U242" s="32"/>
      <c r="V242" s="31"/>
      <c r="W242" s="40" t="str">
        <f aca="false">IF(OR($F242="",$J242=""),"",$F242+$J242)</f>
        <v/>
      </c>
      <c r="X242" s="32"/>
      <c r="Y242" s="34"/>
      <c r="Z242" s="31"/>
      <c r="AA242" s="31"/>
      <c r="AB242" s="32"/>
      <c r="AC242" s="31"/>
      <c r="AD242" s="32"/>
      <c r="AE242" s="31"/>
      <c r="AF242" s="41" t="str">
        <f aca="false">IF(OR($R242="",$S242=""),"",$S242-$R242)</f>
        <v/>
      </c>
      <c r="AG242" s="41" t="str">
        <f aca="false">IF(OR($S242="",$T242=""),"",$T242-$S242)</f>
        <v/>
      </c>
      <c r="AH242" s="41" t="str">
        <f aca="false">IF(OR($T242="",$U242=""),"",$U242-$T242)</f>
        <v/>
      </c>
      <c r="AI242" s="41" t="str">
        <f aca="false">IF(OR($R242="",$U242=""),"",$U242-$R242)</f>
        <v/>
      </c>
      <c r="AJ242" s="41" t="str">
        <f aca="false">IF(OR($U242="",$AB242=""),"",$AB242-$U242)</f>
        <v/>
      </c>
      <c r="AK242" s="41" t="str">
        <f aca="false">IF(OR($R242="",$AD242=""),"",$AD242-$R242)</f>
        <v/>
      </c>
      <c r="AL242" s="31"/>
      <c r="AM242" s="32"/>
      <c r="AN242" s="31"/>
    </row>
    <row r="243" customFormat="false" ht="15" hidden="false" customHeight="true" outlineLevel="0" collapsed="false">
      <c r="A243" s="38" t="str">
        <f aca="false">IF($B243="","",ROW()-3)</f>
        <v/>
      </c>
      <c r="B243" s="31"/>
      <c r="C243" s="31"/>
      <c r="D243" s="31"/>
      <c r="E243" s="31"/>
      <c r="F243" s="32"/>
      <c r="G243" s="32"/>
      <c r="H243" s="31"/>
      <c r="I243" s="31"/>
      <c r="J243" s="33"/>
      <c r="K243" s="34"/>
      <c r="L243" s="34"/>
      <c r="M243" s="34"/>
      <c r="N243" s="39" t="str">
        <f aca="false">IF($K243="","",$K243-N($L243)-N($M243))</f>
        <v/>
      </c>
      <c r="O243" s="31"/>
      <c r="P243" s="31"/>
      <c r="Q243" s="31"/>
      <c r="R243" s="32"/>
      <c r="S243" s="32"/>
      <c r="T243" s="32"/>
      <c r="U243" s="32"/>
      <c r="V243" s="31"/>
      <c r="W243" s="40" t="str">
        <f aca="false">IF(OR($F243="",$J243=""),"",$F243+$J243)</f>
        <v/>
      </c>
      <c r="X243" s="32"/>
      <c r="Y243" s="34"/>
      <c r="Z243" s="31"/>
      <c r="AA243" s="31"/>
      <c r="AB243" s="32"/>
      <c r="AC243" s="31"/>
      <c r="AD243" s="32"/>
      <c r="AE243" s="31"/>
      <c r="AF243" s="41" t="str">
        <f aca="false">IF(OR($R243="",$S243=""),"",$S243-$R243)</f>
        <v/>
      </c>
      <c r="AG243" s="41" t="str">
        <f aca="false">IF(OR($S243="",$T243=""),"",$T243-$S243)</f>
        <v/>
      </c>
      <c r="AH243" s="41" t="str">
        <f aca="false">IF(OR($T243="",$U243=""),"",$U243-$T243)</f>
        <v/>
      </c>
      <c r="AI243" s="41" t="str">
        <f aca="false">IF(OR($R243="",$U243=""),"",$U243-$R243)</f>
        <v/>
      </c>
      <c r="AJ243" s="41" t="str">
        <f aca="false">IF(OR($U243="",$AB243=""),"",$AB243-$U243)</f>
        <v/>
      </c>
      <c r="AK243" s="41" t="str">
        <f aca="false">IF(OR($R243="",$AD243=""),"",$AD243-$R243)</f>
        <v/>
      </c>
      <c r="AL243" s="31"/>
      <c r="AM243" s="32"/>
      <c r="AN243" s="31"/>
    </row>
    <row r="244" customFormat="false" ht="15" hidden="false" customHeight="true" outlineLevel="0" collapsed="false">
      <c r="A244" s="38" t="str">
        <f aca="false">IF($B244="","",ROW()-3)</f>
        <v/>
      </c>
      <c r="B244" s="31"/>
      <c r="C244" s="31"/>
      <c r="D244" s="31"/>
      <c r="E244" s="31"/>
      <c r="F244" s="32"/>
      <c r="G244" s="32"/>
      <c r="H244" s="31"/>
      <c r="I244" s="31"/>
      <c r="J244" s="33"/>
      <c r="K244" s="34"/>
      <c r="L244" s="34"/>
      <c r="M244" s="34"/>
      <c r="N244" s="39" t="str">
        <f aca="false">IF($K244="","",$K244-N($L244)-N($M244))</f>
        <v/>
      </c>
      <c r="O244" s="31"/>
      <c r="P244" s="31"/>
      <c r="Q244" s="31"/>
      <c r="R244" s="32"/>
      <c r="S244" s="32"/>
      <c r="T244" s="32"/>
      <c r="U244" s="32"/>
      <c r="V244" s="31"/>
      <c r="W244" s="40" t="str">
        <f aca="false">IF(OR($F244="",$J244=""),"",$F244+$J244)</f>
        <v/>
      </c>
      <c r="X244" s="32"/>
      <c r="Y244" s="34"/>
      <c r="Z244" s="31"/>
      <c r="AA244" s="31"/>
      <c r="AB244" s="32"/>
      <c r="AC244" s="31"/>
      <c r="AD244" s="32"/>
      <c r="AE244" s="31"/>
      <c r="AF244" s="41" t="str">
        <f aca="false">IF(OR($R244="",$S244=""),"",$S244-$R244)</f>
        <v/>
      </c>
      <c r="AG244" s="41" t="str">
        <f aca="false">IF(OR($S244="",$T244=""),"",$T244-$S244)</f>
        <v/>
      </c>
      <c r="AH244" s="41" t="str">
        <f aca="false">IF(OR($T244="",$U244=""),"",$U244-$T244)</f>
        <v/>
      </c>
      <c r="AI244" s="41" t="str">
        <f aca="false">IF(OR($R244="",$U244=""),"",$U244-$R244)</f>
        <v/>
      </c>
      <c r="AJ244" s="41" t="str">
        <f aca="false">IF(OR($U244="",$AB244=""),"",$AB244-$U244)</f>
        <v/>
      </c>
      <c r="AK244" s="41" t="str">
        <f aca="false">IF(OR($R244="",$AD244=""),"",$AD244-$R244)</f>
        <v/>
      </c>
      <c r="AL244" s="31"/>
      <c r="AM244" s="32"/>
      <c r="AN244" s="31"/>
    </row>
    <row r="245" customFormat="false" ht="15" hidden="false" customHeight="true" outlineLevel="0" collapsed="false">
      <c r="A245" s="38" t="str">
        <f aca="false">IF($B245="","",ROW()-3)</f>
        <v/>
      </c>
      <c r="B245" s="31"/>
      <c r="C245" s="31"/>
      <c r="D245" s="31"/>
      <c r="E245" s="31"/>
      <c r="F245" s="32"/>
      <c r="G245" s="32"/>
      <c r="H245" s="31"/>
      <c r="I245" s="31"/>
      <c r="J245" s="33"/>
      <c r="K245" s="34"/>
      <c r="L245" s="34"/>
      <c r="M245" s="34"/>
      <c r="N245" s="39" t="str">
        <f aca="false">IF($K245="","",$K245-N($L245)-N($M245))</f>
        <v/>
      </c>
      <c r="O245" s="31"/>
      <c r="P245" s="31"/>
      <c r="Q245" s="31"/>
      <c r="R245" s="32"/>
      <c r="S245" s="32"/>
      <c r="T245" s="32"/>
      <c r="U245" s="32"/>
      <c r="V245" s="31"/>
      <c r="W245" s="40" t="str">
        <f aca="false">IF(OR($F245="",$J245=""),"",$F245+$J245)</f>
        <v/>
      </c>
      <c r="X245" s="32"/>
      <c r="Y245" s="34"/>
      <c r="Z245" s="31"/>
      <c r="AA245" s="31"/>
      <c r="AB245" s="32"/>
      <c r="AC245" s="31"/>
      <c r="AD245" s="32"/>
      <c r="AE245" s="31"/>
      <c r="AF245" s="41" t="str">
        <f aca="false">IF(OR($R245="",$S245=""),"",$S245-$R245)</f>
        <v/>
      </c>
      <c r="AG245" s="41" t="str">
        <f aca="false">IF(OR($S245="",$T245=""),"",$T245-$S245)</f>
        <v/>
      </c>
      <c r="AH245" s="41" t="str">
        <f aca="false">IF(OR($T245="",$U245=""),"",$U245-$T245)</f>
        <v/>
      </c>
      <c r="AI245" s="41" t="str">
        <f aca="false">IF(OR($R245="",$U245=""),"",$U245-$R245)</f>
        <v/>
      </c>
      <c r="AJ245" s="41" t="str">
        <f aca="false">IF(OR($U245="",$AB245=""),"",$AB245-$U245)</f>
        <v/>
      </c>
      <c r="AK245" s="41" t="str">
        <f aca="false">IF(OR($R245="",$AD245=""),"",$AD245-$R245)</f>
        <v/>
      </c>
      <c r="AL245" s="31"/>
      <c r="AM245" s="32"/>
      <c r="AN245" s="31"/>
    </row>
    <row r="246" customFormat="false" ht="15" hidden="false" customHeight="true" outlineLevel="0" collapsed="false">
      <c r="A246" s="38" t="str">
        <f aca="false">IF($B246="","",ROW()-3)</f>
        <v/>
      </c>
      <c r="B246" s="31"/>
      <c r="C246" s="31"/>
      <c r="D246" s="31"/>
      <c r="E246" s="31"/>
      <c r="F246" s="32"/>
      <c r="G246" s="32"/>
      <c r="H246" s="31"/>
      <c r="I246" s="31"/>
      <c r="J246" s="33"/>
      <c r="K246" s="34"/>
      <c r="L246" s="34"/>
      <c r="M246" s="34"/>
      <c r="N246" s="39" t="str">
        <f aca="false">IF($K246="","",$K246-N($L246)-N($M246))</f>
        <v/>
      </c>
      <c r="O246" s="31"/>
      <c r="P246" s="31"/>
      <c r="Q246" s="31"/>
      <c r="R246" s="32"/>
      <c r="S246" s="32"/>
      <c r="T246" s="32"/>
      <c r="U246" s="32"/>
      <c r="V246" s="31"/>
      <c r="W246" s="40" t="str">
        <f aca="false">IF(OR($F246="",$J246=""),"",$F246+$J246)</f>
        <v/>
      </c>
      <c r="X246" s="32"/>
      <c r="Y246" s="34"/>
      <c r="Z246" s="31"/>
      <c r="AA246" s="31"/>
      <c r="AB246" s="32"/>
      <c r="AC246" s="31"/>
      <c r="AD246" s="32"/>
      <c r="AE246" s="31"/>
      <c r="AF246" s="41" t="str">
        <f aca="false">IF(OR($R246="",$S246=""),"",$S246-$R246)</f>
        <v/>
      </c>
      <c r="AG246" s="41" t="str">
        <f aca="false">IF(OR($S246="",$T246=""),"",$T246-$S246)</f>
        <v/>
      </c>
      <c r="AH246" s="41" t="str">
        <f aca="false">IF(OR($T246="",$U246=""),"",$U246-$T246)</f>
        <v/>
      </c>
      <c r="AI246" s="41" t="str">
        <f aca="false">IF(OR($R246="",$U246=""),"",$U246-$R246)</f>
        <v/>
      </c>
      <c r="AJ246" s="41" t="str">
        <f aca="false">IF(OR($U246="",$AB246=""),"",$AB246-$U246)</f>
        <v/>
      </c>
      <c r="AK246" s="41" t="str">
        <f aca="false">IF(OR($R246="",$AD246=""),"",$AD246-$R246)</f>
        <v/>
      </c>
      <c r="AL246" s="31"/>
      <c r="AM246" s="32"/>
      <c r="AN246" s="31"/>
    </row>
    <row r="247" customFormat="false" ht="15" hidden="false" customHeight="true" outlineLevel="0" collapsed="false">
      <c r="A247" s="38" t="str">
        <f aca="false">IF($B247="","",ROW()-3)</f>
        <v/>
      </c>
      <c r="B247" s="31"/>
      <c r="C247" s="31"/>
      <c r="D247" s="31"/>
      <c r="E247" s="31"/>
      <c r="F247" s="32"/>
      <c r="G247" s="32"/>
      <c r="H247" s="31"/>
      <c r="I247" s="31"/>
      <c r="J247" s="33"/>
      <c r="K247" s="34"/>
      <c r="L247" s="34"/>
      <c r="M247" s="34"/>
      <c r="N247" s="39" t="str">
        <f aca="false">IF($K247="","",$K247-N($L247)-N($M247))</f>
        <v/>
      </c>
      <c r="O247" s="31"/>
      <c r="P247" s="31"/>
      <c r="Q247" s="31"/>
      <c r="R247" s="32"/>
      <c r="S247" s="32"/>
      <c r="T247" s="32"/>
      <c r="U247" s="32"/>
      <c r="V247" s="31"/>
      <c r="W247" s="40" t="str">
        <f aca="false">IF(OR($F247="",$J247=""),"",$F247+$J247)</f>
        <v/>
      </c>
      <c r="X247" s="32"/>
      <c r="Y247" s="34"/>
      <c r="Z247" s="31"/>
      <c r="AA247" s="31"/>
      <c r="AB247" s="32"/>
      <c r="AC247" s="31"/>
      <c r="AD247" s="32"/>
      <c r="AE247" s="31"/>
      <c r="AF247" s="41" t="str">
        <f aca="false">IF(OR($R247="",$S247=""),"",$S247-$R247)</f>
        <v/>
      </c>
      <c r="AG247" s="41" t="str">
        <f aca="false">IF(OR($S247="",$T247=""),"",$T247-$S247)</f>
        <v/>
      </c>
      <c r="AH247" s="41" t="str">
        <f aca="false">IF(OR($T247="",$U247=""),"",$U247-$T247)</f>
        <v/>
      </c>
      <c r="AI247" s="41" t="str">
        <f aca="false">IF(OR($R247="",$U247=""),"",$U247-$R247)</f>
        <v/>
      </c>
      <c r="AJ247" s="41" t="str">
        <f aca="false">IF(OR($U247="",$AB247=""),"",$AB247-$U247)</f>
        <v/>
      </c>
      <c r="AK247" s="41" t="str">
        <f aca="false">IF(OR($R247="",$AD247=""),"",$AD247-$R247)</f>
        <v/>
      </c>
      <c r="AL247" s="31"/>
      <c r="AM247" s="32"/>
      <c r="AN247" s="31"/>
    </row>
    <row r="248" customFormat="false" ht="15" hidden="false" customHeight="true" outlineLevel="0" collapsed="false">
      <c r="A248" s="38" t="str">
        <f aca="false">IF($B248="","",ROW()-3)</f>
        <v/>
      </c>
      <c r="B248" s="31"/>
      <c r="C248" s="31"/>
      <c r="D248" s="31"/>
      <c r="E248" s="31"/>
      <c r="F248" s="32"/>
      <c r="G248" s="32"/>
      <c r="H248" s="31"/>
      <c r="I248" s="31"/>
      <c r="J248" s="33"/>
      <c r="K248" s="34"/>
      <c r="L248" s="34"/>
      <c r="M248" s="34"/>
      <c r="N248" s="39" t="str">
        <f aca="false">IF($K248="","",$K248-N($L248)-N($M248))</f>
        <v/>
      </c>
      <c r="O248" s="31"/>
      <c r="P248" s="31"/>
      <c r="Q248" s="31"/>
      <c r="R248" s="32"/>
      <c r="S248" s="32"/>
      <c r="T248" s="32"/>
      <c r="U248" s="32"/>
      <c r="V248" s="31"/>
      <c r="W248" s="40" t="str">
        <f aca="false">IF(OR($F248="",$J248=""),"",$F248+$J248)</f>
        <v/>
      </c>
      <c r="X248" s="32"/>
      <c r="Y248" s="34"/>
      <c r="Z248" s="31"/>
      <c r="AA248" s="31"/>
      <c r="AB248" s="32"/>
      <c r="AC248" s="31"/>
      <c r="AD248" s="32"/>
      <c r="AE248" s="31"/>
      <c r="AF248" s="41" t="str">
        <f aca="false">IF(OR($R248="",$S248=""),"",$S248-$R248)</f>
        <v/>
      </c>
      <c r="AG248" s="41" t="str">
        <f aca="false">IF(OR($S248="",$T248=""),"",$T248-$S248)</f>
        <v/>
      </c>
      <c r="AH248" s="41" t="str">
        <f aca="false">IF(OR($T248="",$U248=""),"",$U248-$T248)</f>
        <v/>
      </c>
      <c r="AI248" s="41" t="str">
        <f aca="false">IF(OR($R248="",$U248=""),"",$U248-$R248)</f>
        <v/>
      </c>
      <c r="AJ248" s="41" t="str">
        <f aca="false">IF(OR($U248="",$AB248=""),"",$AB248-$U248)</f>
        <v/>
      </c>
      <c r="AK248" s="41" t="str">
        <f aca="false">IF(OR($R248="",$AD248=""),"",$AD248-$R248)</f>
        <v/>
      </c>
      <c r="AL248" s="31"/>
      <c r="AM248" s="32"/>
      <c r="AN248" s="31"/>
    </row>
    <row r="249" customFormat="false" ht="15" hidden="false" customHeight="true" outlineLevel="0" collapsed="false">
      <c r="A249" s="38" t="str">
        <f aca="false">IF($B249="","",ROW()-3)</f>
        <v/>
      </c>
      <c r="B249" s="31"/>
      <c r="C249" s="31"/>
      <c r="D249" s="31"/>
      <c r="E249" s="31"/>
      <c r="F249" s="32"/>
      <c r="G249" s="32"/>
      <c r="H249" s="31"/>
      <c r="I249" s="31"/>
      <c r="J249" s="33"/>
      <c r="K249" s="34"/>
      <c r="L249" s="34"/>
      <c r="M249" s="34"/>
      <c r="N249" s="39" t="str">
        <f aca="false">IF($K249="","",$K249-N($L249)-N($M249))</f>
        <v/>
      </c>
      <c r="O249" s="31"/>
      <c r="P249" s="31"/>
      <c r="Q249" s="31"/>
      <c r="R249" s="32"/>
      <c r="S249" s="32"/>
      <c r="T249" s="32"/>
      <c r="U249" s="32"/>
      <c r="V249" s="31"/>
      <c r="W249" s="40" t="str">
        <f aca="false">IF(OR($F249="",$J249=""),"",$F249+$J249)</f>
        <v/>
      </c>
      <c r="X249" s="32"/>
      <c r="Y249" s="34"/>
      <c r="Z249" s="31"/>
      <c r="AA249" s="31"/>
      <c r="AB249" s="32"/>
      <c r="AC249" s="31"/>
      <c r="AD249" s="32"/>
      <c r="AE249" s="31"/>
      <c r="AF249" s="41" t="str">
        <f aca="false">IF(OR($R249="",$S249=""),"",$S249-$R249)</f>
        <v/>
      </c>
      <c r="AG249" s="41" t="str">
        <f aca="false">IF(OR($S249="",$T249=""),"",$T249-$S249)</f>
        <v/>
      </c>
      <c r="AH249" s="41" t="str">
        <f aca="false">IF(OR($T249="",$U249=""),"",$U249-$T249)</f>
        <v/>
      </c>
      <c r="AI249" s="41" t="str">
        <f aca="false">IF(OR($R249="",$U249=""),"",$U249-$R249)</f>
        <v/>
      </c>
      <c r="AJ249" s="41" t="str">
        <f aca="false">IF(OR($U249="",$AB249=""),"",$AB249-$U249)</f>
        <v/>
      </c>
      <c r="AK249" s="41" t="str">
        <f aca="false">IF(OR($R249="",$AD249=""),"",$AD249-$R249)</f>
        <v/>
      </c>
      <c r="AL249" s="31"/>
      <c r="AM249" s="32"/>
      <c r="AN249" s="31"/>
    </row>
    <row r="250" customFormat="false" ht="15" hidden="false" customHeight="true" outlineLevel="0" collapsed="false">
      <c r="A250" s="38" t="str">
        <f aca="false">IF($B250="","",ROW()-3)</f>
        <v/>
      </c>
      <c r="B250" s="31"/>
      <c r="C250" s="31"/>
      <c r="D250" s="31"/>
      <c r="E250" s="31"/>
      <c r="F250" s="32"/>
      <c r="G250" s="32"/>
      <c r="H250" s="31"/>
      <c r="I250" s="31"/>
      <c r="J250" s="33"/>
      <c r="K250" s="34"/>
      <c r="L250" s="34"/>
      <c r="M250" s="34"/>
      <c r="N250" s="39" t="str">
        <f aca="false">IF($K250="","",$K250-N($L250)-N($M250))</f>
        <v/>
      </c>
      <c r="O250" s="31"/>
      <c r="P250" s="31"/>
      <c r="Q250" s="31"/>
      <c r="R250" s="32"/>
      <c r="S250" s="32"/>
      <c r="T250" s="32"/>
      <c r="U250" s="32"/>
      <c r="V250" s="31"/>
      <c r="W250" s="40" t="str">
        <f aca="false">IF(OR($F250="",$J250=""),"",$F250+$J250)</f>
        <v/>
      </c>
      <c r="X250" s="32"/>
      <c r="Y250" s="34"/>
      <c r="Z250" s="31"/>
      <c r="AA250" s="31"/>
      <c r="AB250" s="32"/>
      <c r="AC250" s="31"/>
      <c r="AD250" s="32"/>
      <c r="AE250" s="31"/>
      <c r="AF250" s="41" t="str">
        <f aca="false">IF(OR($R250="",$S250=""),"",$S250-$R250)</f>
        <v/>
      </c>
      <c r="AG250" s="41" t="str">
        <f aca="false">IF(OR($S250="",$T250=""),"",$T250-$S250)</f>
        <v/>
      </c>
      <c r="AH250" s="41" t="str">
        <f aca="false">IF(OR($T250="",$U250=""),"",$U250-$T250)</f>
        <v/>
      </c>
      <c r="AI250" s="41" t="str">
        <f aca="false">IF(OR($R250="",$U250=""),"",$U250-$R250)</f>
        <v/>
      </c>
      <c r="AJ250" s="41" t="str">
        <f aca="false">IF(OR($U250="",$AB250=""),"",$AB250-$U250)</f>
        <v/>
      </c>
      <c r="AK250" s="41" t="str">
        <f aca="false">IF(OR($R250="",$AD250=""),"",$AD250-$R250)</f>
        <v/>
      </c>
      <c r="AL250" s="31"/>
      <c r="AM250" s="32"/>
      <c r="AN250" s="31"/>
    </row>
    <row r="251" customFormat="false" ht="15" hidden="false" customHeight="true" outlineLevel="0" collapsed="false">
      <c r="A251" s="38" t="str">
        <f aca="false">IF($B251="","",ROW()-3)</f>
        <v/>
      </c>
      <c r="B251" s="31"/>
      <c r="C251" s="31"/>
      <c r="D251" s="31"/>
      <c r="E251" s="31"/>
      <c r="F251" s="32"/>
      <c r="G251" s="32"/>
      <c r="H251" s="31"/>
      <c r="I251" s="31"/>
      <c r="J251" s="33"/>
      <c r="K251" s="34"/>
      <c r="L251" s="34"/>
      <c r="M251" s="34"/>
      <c r="N251" s="39" t="str">
        <f aca="false">IF($K251="","",$K251-N($L251)-N($M251))</f>
        <v/>
      </c>
      <c r="O251" s="31"/>
      <c r="P251" s="31"/>
      <c r="Q251" s="31"/>
      <c r="R251" s="32"/>
      <c r="S251" s="32"/>
      <c r="T251" s="32"/>
      <c r="U251" s="32"/>
      <c r="V251" s="31"/>
      <c r="W251" s="40" t="str">
        <f aca="false">IF(OR($F251="",$J251=""),"",$F251+$J251)</f>
        <v/>
      </c>
      <c r="X251" s="32"/>
      <c r="Y251" s="34"/>
      <c r="Z251" s="31"/>
      <c r="AA251" s="31"/>
      <c r="AB251" s="32"/>
      <c r="AC251" s="31"/>
      <c r="AD251" s="32"/>
      <c r="AE251" s="31"/>
      <c r="AF251" s="41" t="str">
        <f aca="false">IF(OR($R251="",$S251=""),"",$S251-$R251)</f>
        <v/>
      </c>
      <c r="AG251" s="41" t="str">
        <f aca="false">IF(OR($S251="",$T251=""),"",$T251-$S251)</f>
        <v/>
      </c>
      <c r="AH251" s="41" t="str">
        <f aca="false">IF(OR($T251="",$U251=""),"",$U251-$T251)</f>
        <v/>
      </c>
      <c r="AI251" s="41" t="str">
        <f aca="false">IF(OR($R251="",$U251=""),"",$U251-$R251)</f>
        <v/>
      </c>
      <c r="AJ251" s="41" t="str">
        <f aca="false">IF(OR($U251="",$AB251=""),"",$AB251-$U251)</f>
        <v/>
      </c>
      <c r="AK251" s="41" t="str">
        <f aca="false">IF(OR($R251="",$AD251=""),"",$AD251-$R251)</f>
        <v/>
      </c>
      <c r="AL251" s="31"/>
      <c r="AM251" s="32"/>
      <c r="AN251" s="31"/>
    </row>
    <row r="252" customFormat="false" ht="15" hidden="false" customHeight="true" outlineLevel="0" collapsed="false">
      <c r="A252" s="38" t="str">
        <f aca="false">IF($B252="","",ROW()-3)</f>
        <v/>
      </c>
      <c r="B252" s="31"/>
      <c r="C252" s="31"/>
      <c r="D252" s="31"/>
      <c r="E252" s="31"/>
      <c r="F252" s="32"/>
      <c r="G252" s="32"/>
      <c r="H252" s="31"/>
      <c r="I252" s="31"/>
      <c r="J252" s="33"/>
      <c r="K252" s="34"/>
      <c r="L252" s="34"/>
      <c r="M252" s="34"/>
      <c r="N252" s="39" t="str">
        <f aca="false">IF($K252="","",$K252-N($L252)-N($M252))</f>
        <v/>
      </c>
      <c r="O252" s="31"/>
      <c r="P252" s="31"/>
      <c r="Q252" s="31"/>
      <c r="R252" s="32"/>
      <c r="S252" s="32"/>
      <c r="T252" s="32"/>
      <c r="U252" s="32"/>
      <c r="V252" s="31"/>
      <c r="W252" s="40" t="str">
        <f aca="false">IF(OR($F252="",$J252=""),"",$F252+$J252)</f>
        <v/>
      </c>
      <c r="X252" s="32"/>
      <c r="Y252" s="34"/>
      <c r="Z252" s="31"/>
      <c r="AA252" s="31"/>
      <c r="AB252" s="32"/>
      <c r="AC252" s="31"/>
      <c r="AD252" s="32"/>
      <c r="AE252" s="31"/>
      <c r="AF252" s="41" t="str">
        <f aca="false">IF(OR($R252="",$S252=""),"",$S252-$R252)</f>
        <v/>
      </c>
      <c r="AG252" s="41" t="str">
        <f aca="false">IF(OR($S252="",$T252=""),"",$T252-$S252)</f>
        <v/>
      </c>
      <c r="AH252" s="41" t="str">
        <f aca="false">IF(OR($T252="",$U252=""),"",$U252-$T252)</f>
        <v/>
      </c>
      <c r="AI252" s="41" t="str">
        <f aca="false">IF(OR($R252="",$U252=""),"",$U252-$R252)</f>
        <v/>
      </c>
      <c r="AJ252" s="41" t="str">
        <f aca="false">IF(OR($U252="",$AB252=""),"",$AB252-$U252)</f>
        <v/>
      </c>
      <c r="AK252" s="41" t="str">
        <f aca="false">IF(OR($R252="",$AD252=""),"",$AD252-$R252)</f>
        <v/>
      </c>
      <c r="AL252" s="31"/>
      <c r="AM252" s="32"/>
      <c r="AN252" s="31"/>
    </row>
    <row r="253" customFormat="false" ht="15" hidden="false" customHeight="true" outlineLevel="0" collapsed="false">
      <c r="A253" s="38" t="str">
        <f aca="false">IF($B253="","",ROW()-3)</f>
        <v/>
      </c>
      <c r="B253" s="31"/>
      <c r="C253" s="31"/>
      <c r="D253" s="31"/>
      <c r="E253" s="31"/>
      <c r="F253" s="32"/>
      <c r="G253" s="32"/>
      <c r="H253" s="31"/>
      <c r="I253" s="31"/>
      <c r="J253" s="33"/>
      <c r="K253" s="34"/>
      <c r="L253" s="34"/>
      <c r="M253" s="34"/>
      <c r="N253" s="39" t="str">
        <f aca="false">IF($K253="","",$K253-N($L253)-N($M253))</f>
        <v/>
      </c>
      <c r="O253" s="31"/>
      <c r="P253" s="31"/>
      <c r="Q253" s="31"/>
      <c r="R253" s="32"/>
      <c r="S253" s="32"/>
      <c r="T253" s="32"/>
      <c r="U253" s="32"/>
      <c r="V253" s="31"/>
      <c r="W253" s="40" t="str">
        <f aca="false">IF(OR($F253="",$J253=""),"",$F253+$J253)</f>
        <v/>
      </c>
      <c r="X253" s="32"/>
      <c r="Y253" s="34"/>
      <c r="Z253" s="31"/>
      <c r="AA253" s="31"/>
      <c r="AB253" s="32"/>
      <c r="AC253" s="31"/>
      <c r="AD253" s="32"/>
      <c r="AE253" s="31"/>
      <c r="AF253" s="41" t="str">
        <f aca="false">IF(OR($R253="",$S253=""),"",$S253-$R253)</f>
        <v/>
      </c>
      <c r="AG253" s="41" t="str">
        <f aca="false">IF(OR($S253="",$T253=""),"",$T253-$S253)</f>
        <v/>
      </c>
      <c r="AH253" s="41" t="str">
        <f aca="false">IF(OR($T253="",$U253=""),"",$U253-$T253)</f>
        <v/>
      </c>
      <c r="AI253" s="41" t="str">
        <f aca="false">IF(OR($R253="",$U253=""),"",$U253-$R253)</f>
        <v/>
      </c>
      <c r="AJ253" s="41" t="str">
        <f aca="false">IF(OR($U253="",$AB253=""),"",$AB253-$U253)</f>
        <v/>
      </c>
      <c r="AK253" s="41" t="str">
        <f aca="false">IF(OR($R253="",$AD253=""),"",$AD253-$R253)</f>
        <v/>
      </c>
      <c r="AL253" s="31"/>
      <c r="AM253" s="32"/>
      <c r="AN253" s="31"/>
    </row>
    <row r="254" customFormat="false" ht="15" hidden="false" customHeight="true" outlineLevel="0" collapsed="false">
      <c r="A254" s="38" t="str">
        <f aca="false">IF($B254="","",ROW()-3)</f>
        <v/>
      </c>
      <c r="B254" s="31"/>
      <c r="C254" s="31"/>
      <c r="D254" s="31"/>
      <c r="E254" s="31"/>
      <c r="F254" s="32"/>
      <c r="G254" s="32"/>
      <c r="H254" s="31"/>
      <c r="I254" s="31"/>
      <c r="J254" s="33"/>
      <c r="K254" s="34"/>
      <c r="L254" s="34"/>
      <c r="M254" s="34"/>
      <c r="N254" s="39" t="str">
        <f aca="false">IF($K254="","",$K254-N($L254)-N($M254))</f>
        <v/>
      </c>
      <c r="O254" s="31"/>
      <c r="P254" s="31"/>
      <c r="Q254" s="31"/>
      <c r="R254" s="32"/>
      <c r="S254" s="32"/>
      <c r="T254" s="32"/>
      <c r="U254" s="32"/>
      <c r="V254" s="31"/>
      <c r="W254" s="40" t="str">
        <f aca="false">IF(OR($F254="",$J254=""),"",$F254+$J254)</f>
        <v/>
      </c>
      <c r="X254" s="32"/>
      <c r="Y254" s="34"/>
      <c r="Z254" s="31"/>
      <c r="AA254" s="31"/>
      <c r="AB254" s="32"/>
      <c r="AC254" s="31"/>
      <c r="AD254" s="32"/>
      <c r="AE254" s="31"/>
      <c r="AF254" s="41" t="str">
        <f aca="false">IF(OR($R254="",$S254=""),"",$S254-$R254)</f>
        <v/>
      </c>
      <c r="AG254" s="41" t="str">
        <f aca="false">IF(OR($S254="",$T254=""),"",$T254-$S254)</f>
        <v/>
      </c>
      <c r="AH254" s="41" t="str">
        <f aca="false">IF(OR($T254="",$U254=""),"",$U254-$T254)</f>
        <v/>
      </c>
      <c r="AI254" s="41" t="str">
        <f aca="false">IF(OR($R254="",$U254=""),"",$U254-$R254)</f>
        <v/>
      </c>
      <c r="AJ254" s="41" t="str">
        <f aca="false">IF(OR($U254="",$AB254=""),"",$AB254-$U254)</f>
        <v/>
      </c>
      <c r="AK254" s="41" t="str">
        <f aca="false">IF(OR($R254="",$AD254=""),"",$AD254-$R254)</f>
        <v/>
      </c>
      <c r="AL254" s="31"/>
      <c r="AM254" s="32"/>
      <c r="AN254" s="31"/>
    </row>
    <row r="255" customFormat="false" ht="15" hidden="false" customHeight="true" outlineLevel="0" collapsed="false">
      <c r="A255" s="38" t="str">
        <f aca="false">IF($B255="","",ROW()-3)</f>
        <v/>
      </c>
      <c r="B255" s="31"/>
      <c r="C255" s="31"/>
      <c r="D255" s="31"/>
      <c r="E255" s="31"/>
      <c r="F255" s="32"/>
      <c r="G255" s="32"/>
      <c r="H255" s="31"/>
      <c r="I255" s="31"/>
      <c r="J255" s="33"/>
      <c r="K255" s="34"/>
      <c r="L255" s="34"/>
      <c r="M255" s="34"/>
      <c r="N255" s="39" t="str">
        <f aca="false">IF($K255="","",$K255-N($L255)-N($M255))</f>
        <v/>
      </c>
      <c r="O255" s="31"/>
      <c r="P255" s="31"/>
      <c r="Q255" s="31"/>
      <c r="R255" s="32"/>
      <c r="S255" s="32"/>
      <c r="T255" s="32"/>
      <c r="U255" s="32"/>
      <c r="V255" s="31"/>
      <c r="W255" s="40" t="str">
        <f aca="false">IF(OR($F255="",$J255=""),"",$F255+$J255)</f>
        <v/>
      </c>
      <c r="X255" s="32"/>
      <c r="Y255" s="34"/>
      <c r="Z255" s="31"/>
      <c r="AA255" s="31"/>
      <c r="AB255" s="32"/>
      <c r="AC255" s="31"/>
      <c r="AD255" s="32"/>
      <c r="AE255" s="31"/>
      <c r="AF255" s="41" t="str">
        <f aca="false">IF(OR($R255="",$S255=""),"",$S255-$R255)</f>
        <v/>
      </c>
      <c r="AG255" s="41" t="str">
        <f aca="false">IF(OR($S255="",$T255=""),"",$T255-$S255)</f>
        <v/>
      </c>
      <c r="AH255" s="41" t="str">
        <f aca="false">IF(OR($T255="",$U255=""),"",$U255-$T255)</f>
        <v/>
      </c>
      <c r="AI255" s="41" t="str">
        <f aca="false">IF(OR($R255="",$U255=""),"",$U255-$R255)</f>
        <v/>
      </c>
      <c r="AJ255" s="41" t="str">
        <f aca="false">IF(OR($U255="",$AB255=""),"",$AB255-$U255)</f>
        <v/>
      </c>
      <c r="AK255" s="41" t="str">
        <f aca="false">IF(OR($R255="",$AD255=""),"",$AD255-$R255)</f>
        <v/>
      </c>
      <c r="AL255" s="31"/>
      <c r="AM255" s="32"/>
      <c r="AN255" s="31"/>
    </row>
    <row r="256" customFormat="false" ht="15" hidden="false" customHeight="true" outlineLevel="0" collapsed="false">
      <c r="A256" s="38" t="str">
        <f aca="false">IF($B256="","",ROW()-3)</f>
        <v/>
      </c>
      <c r="B256" s="31"/>
      <c r="C256" s="31"/>
      <c r="D256" s="31"/>
      <c r="E256" s="31"/>
      <c r="F256" s="32"/>
      <c r="G256" s="32"/>
      <c r="H256" s="31"/>
      <c r="I256" s="31"/>
      <c r="J256" s="33"/>
      <c r="K256" s="34"/>
      <c r="L256" s="34"/>
      <c r="M256" s="34"/>
      <c r="N256" s="39" t="str">
        <f aca="false">IF($K256="","",$K256-N($L256)-N($M256))</f>
        <v/>
      </c>
      <c r="O256" s="31"/>
      <c r="P256" s="31"/>
      <c r="Q256" s="31"/>
      <c r="R256" s="32"/>
      <c r="S256" s="32"/>
      <c r="T256" s="32"/>
      <c r="U256" s="32"/>
      <c r="V256" s="31"/>
      <c r="W256" s="40" t="str">
        <f aca="false">IF(OR($F256="",$J256=""),"",$F256+$J256)</f>
        <v/>
      </c>
      <c r="X256" s="32"/>
      <c r="Y256" s="34"/>
      <c r="Z256" s="31"/>
      <c r="AA256" s="31"/>
      <c r="AB256" s="32"/>
      <c r="AC256" s="31"/>
      <c r="AD256" s="32"/>
      <c r="AE256" s="31"/>
      <c r="AF256" s="41" t="str">
        <f aca="false">IF(OR($R256="",$S256=""),"",$S256-$R256)</f>
        <v/>
      </c>
      <c r="AG256" s="41" t="str">
        <f aca="false">IF(OR($S256="",$T256=""),"",$T256-$S256)</f>
        <v/>
      </c>
      <c r="AH256" s="41" t="str">
        <f aca="false">IF(OR($T256="",$U256=""),"",$U256-$T256)</f>
        <v/>
      </c>
      <c r="AI256" s="41" t="str">
        <f aca="false">IF(OR($R256="",$U256=""),"",$U256-$R256)</f>
        <v/>
      </c>
      <c r="AJ256" s="41" t="str">
        <f aca="false">IF(OR($U256="",$AB256=""),"",$AB256-$U256)</f>
        <v/>
      </c>
      <c r="AK256" s="41" t="str">
        <f aca="false">IF(OR($R256="",$AD256=""),"",$AD256-$R256)</f>
        <v/>
      </c>
      <c r="AL256" s="31"/>
      <c r="AM256" s="32"/>
      <c r="AN256" s="31"/>
    </row>
    <row r="257" customFormat="false" ht="15" hidden="false" customHeight="true" outlineLevel="0" collapsed="false">
      <c r="A257" s="38" t="str">
        <f aca="false">IF($B257="","",ROW()-3)</f>
        <v/>
      </c>
      <c r="B257" s="31"/>
      <c r="C257" s="31"/>
      <c r="D257" s="31"/>
      <c r="E257" s="31"/>
      <c r="F257" s="32"/>
      <c r="G257" s="32"/>
      <c r="H257" s="31"/>
      <c r="I257" s="31"/>
      <c r="J257" s="33"/>
      <c r="K257" s="34"/>
      <c r="L257" s="34"/>
      <c r="M257" s="34"/>
      <c r="N257" s="39" t="str">
        <f aca="false">IF($K257="","",$K257-N($L257)-N($M257))</f>
        <v/>
      </c>
      <c r="O257" s="31"/>
      <c r="P257" s="31"/>
      <c r="Q257" s="31"/>
      <c r="R257" s="32"/>
      <c r="S257" s="32"/>
      <c r="T257" s="32"/>
      <c r="U257" s="32"/>
      <c r="V257" s="31"/>
      <c r="W257" s="40" t="str">
        <f aca="false">IF(OR($F257="",$J257=""),"",$F257+$J257)</f>
        <v/>
      </c>
      <c r="X257" s="32"/>
      <c r="Y257" s="34"/>
      <c r="Z257" s="31"/>
      <c r="AA257" s="31"/>
      <c r="AB257" s="32"/>
      <c r="AC257" s="31"/>
      <c r="AD257" s="32"/>
      <c r="AE257" s="31"/>
      <c r="AF257" s="41" t="str">
        <f aca="false">IF(OR($R257="",$S257=""),"",$S257-$R257)</f>
        <v/>
      </c>
      <c r="AG257" s="41" t="str">
        <f aca="false">IF(OR($S257="",$T257=""),"",$T257-$S257)</f>
        <v/>
      </c>
      <c r="AH257" s="41" t="str">
        <f aca="false">IF(OR($T257="",$U257=""),"",$U257-$T257)</f>
        <v/>
      </c>
      <c r="AI257" s="41" t="str">
        <f aca="false">IF(OR($R257="",$U257=""),"",$U257-$R257)</f>
        <v/>
      </c>
      <c r="AJ257" s="41" t="str">
        <f aca="false">IF(OR($U257="",$AB257=""),"",$AB257-$U257)</f>
        <v/>
      </c>
      <c r="AK257" s="41" t="str">
        <f aca="false">IF(OR($R257="",$AD257=""),"",$AD257-$R257)</f>
        <v/>
      </c>
      <c r="AL257" s="31"/>
      <c r="AM257" s="32"/>
      <c r="AN257" s="31"/>
    </row>
    <row r="258" customFormat="false" ht="15" hidden="false" customHeight="true" outlineLevel="0" collapsed="false">
      <c r="A258" s="38" t="str">
        <f aca="false">IF($B258="","",ROW()-3)</f>
        <v/>
      </c>
      <c r="B258" s="31"/>
      <c r="C258" s="31"/>
      <c r="D258" s="31"/>
      <c r="E258" s="31"/>
      <c r="F258" s="32"/>
      <c r="G258" s="32"/>
      <c r="H258" s="31"/>
      <c r="I258" s="31"/>
      <c r="J258" s="33"/>
      <c r="K258" s="34"/>
      <c r="L258" s="34"/>
      <c r="M258" s="34"/>
      <c r="N258" s="39" t="str">
        <f aca="false">IF($K258="","",$K258-N($L258)-N($M258))</f>
        <v/>
      </c>
      <c r="O258" s="31"/>
      <c r="P258" s="31"/>
      <c r="Q258" s="31"/>
      <c r="R258" s="32"/>
      <c r="S258" s="32"/>
      <c r="T258" s="32"/>
      <c r="U258" s="32"/>
      <c r="V258" s="31"/>
      <c r="W258" s="40" t="str">
        <f aca="false">IF(OR($F258="",$J258=""),"",$F258+$J258)</f>
        <v/>
      </c>
      <c r="X258" s="32"/>
      <c r="Y258" s="34"/>
      <c r="Z258" s="31"/>
      <c r="AA258" s="31"/>
      <c r="AB258" s="32"/>
      <c r="AC258" s="31"/>
      <c r="AD258" s="32"/>
      <c r="AE258" s="31"/>
      <c r="AF258" s="41" t="str">
        <f aca="false">IF(OR($R258="",$S258=""),"",$S258-$R258)</f>
        <v/>
      </c>
      <c r="AG258" s="41" t="str">
        <f aca="false">IF(OR($S258="",$T258=""),"",$T258-$S258)</f>
        <v/>
      </c>
      <c r="AH258" s="41" t="str">
        <f aca="false">IF(OR($T258="",$U258=""),"",$U258-$T258)</f>
        <v/>
      </c>
      <c r="AI258" s="41" t="str">
        <f aca="false">IF(OR($R258="",$U258=""),"",$U258-$R258)</f>
        <v/>
      </c>
      <c r="AJ258" s="41" t="str">
        <f aca="false">IF(OR($U258="",$AB258=""),"",$AB258-$U258)</f>
        <v/>
      </c>
      <c r="AK258" s="41" t="str">
        <f aca="false">IF(OR($R258="",$AD258=""),"",$AD258-$R258)</f>
        <v/>
      </c>
      <c r="AL258" s="31"/>
      <c r="AM258" s="32"/>
      <c r="AN258" s="31"/>
    </row>
    <row r="259" customFormat="false" ht="15" hidden="false" customHeight="true" outlineLevel="0" collapsed="false">
      <c r="A259" s="38" t="str">
        <f aca="false">IF($B259="","",ROW()-3)</f>
        <v/>
      </c>
      <c r="B259" s="31"/>
      <c r="C259" s="31"/>
      <c r="D259" s="31"/>
      <c r="E259" s="31"/>
      <c r="F259" s="32"/>
      <c r="G259" s="32"/>
      <c r="H259" s="31"/>
      <c r="I259" s="31"/>
      <c r="J259" s="33"/>
      <c r="K259" s="34"/>
      <c r="L259" s="34"/>
      <c r="M259" s="34"/>
      <c r="N259" s="39" t="str">
        <f aca="false">IF($K259="","",$K259-N($L259)-N($M259))</f>
        <v/>
      </c>
      <c r="O259" s="31"/>
      <c r="P259" s="31"/>
      <c r="Q259" s="31"/>
      <c r="R259" s="32"/>
      <c r="S259" s="32"/>
      <c r="T259" s="32"/>
      <c r="U259" s="32"/>
      <c r="V259" s="31"/>
      <c r="W259" s="40" t="str">
        <f aca="false">IF(OR($F259="",$J259=""),"",$F259+$J259)</f>
        <v/>
      </c>
      <c r="X259" s="32"/>
      <c r="Y259" s="34"/>
      <c r="Z259" s="31"/>
      <c r="AA259" s="31"/>
      <c r="AB259" s="32"/>
      <c r="AC259" s="31"/>
      <c r="AD259" s="32"/>
      <c r="AE259" s="31"/>
      <c r="AF259" s="41" t="str">
        <f aca="false">IF(OR($R259="",$S259=""),"",$S259-$R259)</f>
        <v/>
      </c>
      <c r="AG259" s="41" t="str">
        <f aca="false">IF(OR($S259="",$T259=""),"",$T259-$S259)</f>
        <v/>
      </c>
      <c r="AH259" s="41" t="str">
        <f aca="false">IF(OR($T259="",$U259=""),"",$U259-$T259)</f>
        <v/>
      </c>
      <c r="AI259" s="41" t="str">
        <f aca="false">IF(OR($R259="",$U259=""),"",$U259-$R259)</f>
        <v/>
      </c>
      <c r="AJ259" s="41" t="str">
        <f aca="false">IF(OR($U259="",$AB259=""),"",$AB259-$U259)</f>
        <v/>
      </c>
      <c r="AK259" s="41" t="str">
        <f aca="false">IF(OR($R259="",$AD259=""),"",$AD259-$R259)</f>
        <v/>
      </c>
      <c r="AL259" s="31"/>
      <c r="AM259" s="32"/>
      <c r="AN259" s="31"/>
    </row>
    <row r="260" customFormat="false" ht="15" hidden="false" customHeight="true" outlineLevel="0" collapsed="false">
      <c r="A260" s="38" t="str">
        <f aca="false">IF($B260="","",ROW()-3)</f>
        <v/>
      </c>
      <c r="B260" s="31"/>
      <c r="C260" s="31"/>
      <c r="D260" s="31"/>
      <c r="E260" s="31"/>
      <c r="F260" s="32"/>
      <c r="G260" s="32"/>
      <c r="H260" s="31"/>
      <c r="I260" s="31"/>
      <c r="J260" s="33"/>
      <c r="K260" s="34"/>
      <c r="L260" s="34"/>
      <c r="M260" s="34"/>
      <c r="N260" s="39" t="str">
        <f aca="false">IF($K260="","",$K260-N($L260)-N($M260))</f>
        <v/>
      </c>
      <c r="O260" s="31"/>
      <c r="P260" s="31"/>
      <c r="Q260" s="31"/>
      <c r="R260" s="32"/>
      <c r="S260" s="32"/>
      <c r="T260" s="32"/>
      <c r="U260" s="32"/>
      <c r="V260" s="31"/>
      <c r="W260" s="40" t="str">
        <f aca="false">IF(OR($F260="",$J260=""),"",$F260+$J260)</f>
        <v/>
      </c>
      <c r="X260" s="32"/>
      <c r="Y260" s="34"/>
      <c r="Z260" s="31"/>
      <c r="AA260" s="31"/>
      <c r="AB260" s="32"/>
      <c r="AC260" s="31"/>
      <c r="AD260" s="32"/>
      <c r="AE260" s="31"/>
      <c r="AF260" s="41" t="str">
        <f aca="false">IF(OR($R260="",$S260=""),"",$S260-$R260)</f>
        <v/>
      </c>
      <c r="AG260" s="41" t="str">
        <f aca="false">IF(OR($S260="",$T260=""),"",$T260-$S260)</f>
        <v/>
      </c>
      <c r="AH260" s="41" t="str">
        <f aca="false">IF(OR($T260="",$U260=""),"",$U260-$T260)</f>
        <v/>
      </c>
      <c r="AI260" s="41" t="str">
        <f aca="false">IF(OR($R260="",$U260=""),"",$U260-$R260)</f>
        <v/>
      </c>
      <c r="AJ260" s="41" t="str">
        <f aca="false">IF(OR($U260="",$AB260=""),"",$AB260-$U260)</f>
        <v/>
      </c>
      <c r="AK260" s="41" t="str">
        <f aca="false">IF(OR($R260="",$AD260=""),"",$AD260-$R260)</f>
        <v/>
      </c>
      <c r="AL260" s="31"/>
      <c r="AM260" s="32"/>
      <c r="AN260" s="31"/>
    </row>
    <row r="261" customFormat="false" ht="15" hidden="false" customHeight="true" outlineLevel="0" collapsed="false">
      <c r="A261" s="38" t="str">
        <f aca="false">IF($B261="","",ROW()-3)</f>
        <v/>
      </c>
      <c r="B261" s="31"/>
      <c r="C261" s="31"/>
      <c r="D261" s="31"/>
      <c r="E261" s="31"/>
      <c r="F261" s="32"/>
      <c r="G261" s="32"/>
      <c r="H261" s="31"/>
      <c r="I261" s="31"/>
      <c r="J261" s="33"/>
      <c r="K261" s="34"/>
      <c r="L261" s="34"/>
      <c r="M261" s="34"/>
      <c r="N261" s="39" t="str">
        <f aca="false">IF($K261="","",$K261-N($L261)-N($M261))</f>
        <v/>
      </c>
      <c r="O261" s="31"/>
      <c r="P261" s="31"/>
      <c r="Q261" s="31"/>
      <c r="R261" s="32"/>
      <c r="S261" s="32"/>
      <c r="T261" s="32"/>
      <c r="U261" s="32"/>
      <c r="V261" s="31"/>
      <c r="W261" s="40" t="str">
        <f aca="false">IF(OR($F261="",$J261=""),"",$F261+$J261)</f>
        <v/>
      </c>
      <c r="X261" s="32"/>
      <c r="Y261" s="34"/>
      <c r="Z261" s="31"/>
      <c r="AA261" s="31"/>
      <c r="AB261" s="32"/>
      <c r="AC261" s="31"/>
      <c r="AD261" s="32"/>
      <c r="AE261" s="31"/>
      <c r="AF261" s="41" t="str">
        <f aca="false">IF(OR($R261="",$S261=""),"",$S261-$R261)</f>
        <v/>
      </c>
      <c r="AG261" s="41" t="str">
        <f aca="false">IF(OR($S261="",$T261=""),"",$T261-$S261)</f>
        <v/>
      </c>
      <c r="AH261" s="41" t="str">
        <f aca="false">IF(OR($T261="",$U261=""),"",$U261-$T261)</f>
        <v/>
      </c>
      <c r="AI261" s="41" t="str">
        <f aca="false">IF(OR($R261="",$U261=""),"",$U261-$R261)</f>
        <v/>
      </c>
      <c r="AJ261" s="41" t="str">
        <f aca="false">IF(OR($U261="",$AB261=""),"",$AB261-$U261)</f>
        <v/>
      </c>
      <c r="AK261" s="41" t="str">
        <f aca="false">IF(OR($R261="",$AD261=""),"",$AD261-$R261)</f>
        <v/>
      </c>
      <c r="AL261" s="31"/>
      <c r="AM261" s="32"/>
      <c r="AN261" s="31"/>
    </row>
    <row r="262" customFormat="false" ht="15" hidden="false" customHeight="true" outlineLevel="0" collapsed="false">
      <c r="A262" s="38" t="str">
        <f aca="false">IF($B262="","",ROW()-3)</f>
        <v/>
      </c>
      <c r="B262" s="31"/>
      <c r="C262" s="31"/>
      <c r="D262" s="31"/>
      <c r="E262" s="31"/>
      <c r="F262" s="32"/>
      <c r="G262" s="32"/>
      <c r="H262" s="31"/>
      <c r="I262" s="31"/>
      <c r="J262" s="33"/>
      <c r="K262" s="34"/>
      <c r="L262" s="34"/>
      <c r="M262" s="34"/>
      <c r="N262" s="39" t="str">
        <f aca="false">IF($K262="","",$K262-N($L262)-N($M262))</f>
        <v/>
      </c>
      <c r="O262" s="31"/>
      <c r="P262" s="31"/>
      <c r="Q262" s="31"/>
      <c r="R262" s="32"/>
      <c r="S262" s="32"/>
      <c r="T262" s="32"/>
      <c r="U262" s="32"/>
      <c r="V262" s="31"/>
      <c r="W262" s="40" t="str">
        <f aca="false">IF(OR($F262="",$J262=""),"",$F262+$J262)</f>
        <v/>
      </c>
      <c r="X262" s="32"/>
      <c r="Y262" s="34"/>
      <c r="Z262" s="31"/>
      <c r="AA262" s="31"/>
      <c r="AB262" s="32"/>
      <c r="AC262" s="31"/>
      <c r="AD262" s="32"/>
      <c r="AE262" s="31"/>
      <c r="AF262" s="41" t="str">
        <f aca="false">IF(OR($R262="",$S262=""),"",$S262-$R262)</f>
        <v/>
      </c>
      <c r="AG262" s="41" t="str">
        <f aca="false">IF(OR($S262="",$T262=""),"",$T262-$S262)</f>
        <v/>
      </c>
      <c r="AH262" s="41" t="str">
        <f aca="false">IF(OR($T262="",$U262=""),"",$U262-$T262)</f>
        <v/>
      </c>
      <c r="AI262" s="41" t="str">
        <f aca="false">IF(OR($R262="",$U262=""),"",$U262-$R262)</f>
        <v/>
      </c>
      <c r="AJ262" s="41" t="str">
        <f aca="false">IF(OR($U262="",$AB262=""),"",$AB262-$U262)</f>
        <v/>
      </c>
      <c r="AK262" s="41" t="str">
        <f aca="false">IF(OR($R262="",$AD262=""),"",$AD262-$R262)</f>
        <v/>
      </c>
      <c r="AL262" s="31"/>
      <c r="AM262" s="32"/>
      <c r="AN262" s="31"/>
    </row>
    <row r="263" customFormat="false" ht="15" hidden="false" customHeight="true" outlineLevel="0" collapsed="false">
      <c r="A263" s="38" t="str">
        <f aca="false">IF($B263="","",ROW()-3)</f>
        <v/>
      </c>
      <c r="B263" s="31"/>
      <c r="C263" s="31"/>
      <c r="D263" s="31"/>
      <c r="E263" s="31"/>
      <c r="F263" s="32"/>
      <c r="G263" s="32"/>
      <c r="H263" s="31"/>
      <c r="I263" s="31"/>
      <c r="J263" s="33"/>
      <c r="K263" s="34"/>
      <c r="L263" s="34"/>
      <c r="M263" s="34"/>
      <c r="N263" s="39" t="str">
        <f aca="false">IF($K263="","",$K263-N($L263)-N($M263))</f>
        <v/>
      </c>
      <c r="O263" s="31"/>
      <c r="P263" s="31"/>
      <c r="Q263" s="31"/>
      <c r="R263" s="32"/>
      <c r="S263" s="32"/>
      <c r="T263" s="32"/>
      <c r="U263" s="32"/>
      <c r="V263" s="31"/>
      <c r="W263" s="40" t="str">
        <f aca="false">IF(OR($F263="",$J263=""),"",$F263+$J263)</f>
        <v/>
      </c>
      <c r="X263" s="32"/>
      <c r="Y263" s="34"/>
      <c r="Z263" s="31"/>
      <c r="AA263" s="31"/>
      <c r="AB263" s="32"/>
      <c r="AC263" s="31"/>
      <c r="AD263" s="32"/>
      <c r="AE263" s="31"/>
      <c r="AF263" s="41" t="str">
        <f aca="false">IF(OR($R263="",$S263=""),"",$S263-$R263)</f>
        <v/>
      </c>
      <c r="AG263" s="41" t="str">
        <f aca="false">IF(OR($S263="",$T263=""),"",$T263-$S263)</f>
        <v/>
      </c>
      <c r="AH263" s="41" t="str">
        <f aca="false">IF(OR($T263="",$U263=""),"",$U263-$T263)</f>
        <v/>
      </c>
      <c r="AI263" s="41" t="str">
        <f aca="false">IF(OR($R263="",$U263=""),"",$U263-$R263)</f>
        <v/>
      </c>
      <c r="AJ263" s="41" t="str">
        <f aca="false">IF(OR($U263="",$AB263=""),"",$AB263-$U263)</f>
        <v/>
      </c>
      <c r="AK263" s="41" t="str">
        <f aca="false">IF(OR($R263="",$AD263=""),"",$AD263-$R263)</f>
        <v/>
      </c>
      <c r="AL263" s="31"/>
      <c r="AM263" s="32"/>
      <c r="AN263" s="31"/>
    </row>
    <row r="264" customFormat="false" ht="15" hidden="false" customHeight="true" outlineLevel="0" collapsed="false">
      <c r="A264" s="38" t="str">
        <f aca="false">IF($B264="","",ROW()-3)</f>
        <v/>
      </c>
      <c r="B264" s="31"/>
      <c r="C264" s="31"/>
      <c r="D264" s="31"/>
      <c r="E264" s="31"/>
      <c r="F264" s="32"/>
      <c r="G264" s="32"/>
      <c r="H264" s="31"/>
      <c r="I264" s="31"/>
      <c r="J264" s="33"/>
      <c r="K264" s="34"/>
      <c r="L264" s="34"/>
      <c r="M264" s="34"/>
      <c r="N264" s="39" t="str">
        <f aca="false">IF($K264="","",$K264-N($L264)-N($M264))</f>
        <v/>
      </c>
      <c r="O264" s="31"/>
      <c r="P264" s="31"/>
      <c r="Q264" s="31"/>
      <c r="R264" s="32"/>
      <c r="S264" s="32"/>
      <c r="T264" s="32"/>
      <c r="U264" s="32"/>
      <c r="V264" s="31"/>
      <c r="W264" s="40" t="str">
        <f aca="false">IF(OR($F264="",$J264=""),"",$F264+$J264)</f>
        <v/>
      </c>
      <c r="X264" s="32"/>
      <c r="Y264" s="34"/>
      <c r="Z264" s="31"/>
      <c r="AA264" s="31"/>
      <c r="AB264" s="32"/>
      <c r="AC264" s="31"/>
      <c r="AD264" s="32"/>
      <c r="AE264" s="31"/>
      <c r="AF264" s="41" t="str">
        <f aca="false">IF(OR($R264="",$S264=""),"",$S264-$R264)</f>
        <v/>
      </c>
      <c r="AG264" s="41" t="str">
        <f aca="false">IF(OR($S264="",$T264=""),"",$T264-$S264)</f>
        <v/>
      </c>
      <c r="AH264" s="41" t="str">
        <f aca="false">IF(OR($T264="",$U264=""),"",$U264-$T264)</f>
        <v/>
      </c>
      <c r="AI264" s="41" t="str">
        <f aca="false">IF(OR($R264="",$U264=""),"",$U264-$R264)</f>
        <v/>
      </c>
      <c r="AJ264" s="41" t="str">
        <f aca="false">IF(OR($U264="",$AB264=""),"",$AB264-$U264)</f>
        <v/>
      </c>
      <c r="AK264" s="41" t="str">
        <f aca="false">IF(OR($R264="",$AD264=""),"",$AD264-$R264)</f>
        <v/>
      </c>
      <c r="AL264" s="31"/>
      <c r="AM264" s="32"/>
      <c r="AN264" s="31"/>
    </row>
    <row r="265" customFormat="false" ht="15" hidden="false" customHeight="true" outlineLevel="0" collapsed="false">
      <c r="A265" s="38" t="str">
        <f aca="false">IF($B265="","",ROW()-3)</f>
        <v/>
      </c>
      <c r="B265" s="31"/>
      <c r="C265" s="31"/>
      <c r="D265" s="31"/>
      <c r="E265" s="31"/>
      <c r="F265" s="32"/>
      <c r="G265" s="32"/>
      <c r="H265" s="31"/>
      <c r="I265" s="31"/>
      <c r="J265" s="33"/>
      <c r="K265" s="34"/>
      <c r="L265" s="34"/>
      <c r="M265" s="34"/>
      <c r="N265" s="39" t="str">
        <f aca="false">IF($K265="","",$K265-N($L265)-N($M265))</f>
        <v/>
      </c>
      <c r="O265" s="31"/>
      <c r="P265" s="31"/>
      <c r="Q265" s="31"/>
      <c r="R265" s="32"/>
      <c r="S265" s="32"/>
      <c r="T265" s="32"/>
      <c r="U265" s="32"/>
      <c r="V265" s="31"/>
      <c r="W265" s="40" t="str">
        <f aca="false">IF(OR($F265="",$J265=""),"",$F265+$J265)</f>
        <v/>
      </c>
      <c r="X265" s="32"/>
      <c r="Y265" s="34"/>
      <c r="Z265" s="31"/>
      <c r="AA265" s="31"/>
      <c r="AB265" s="32"/>
      <c r="AC265" s="31"/>
      <c r="AD265" s="32"/>
      <c r="AE265" s="31"/>
      <c r="AF265" s="41" t="str">
        <f aca="false">IF(OR($R265="",$S265=""),"",$S265-$R265)</f>
        <v/>
      </c>
      <c r="AG265" s="41" t="str">
        <f aca="false">IF(OR($S265="",$T265=""),"",$T265-$S265)</f>
        <v/>
      </c>
      <c r="AH265" s="41" t="str">
        <f aca="false">IF(OR($T265="",$U265=""),"",$U265-$T265)</f>
        <v/>
      </c>
      <c r="AI265" s="41" t="str">
        <f aca="false">IF(OR($R265="",$U265=""),"",$U265-$R265)</f>
        <v/>
      </c>
      <c r="AJ265" s="41" t="str">
        <f aca="false">IF(OR($U265="",$AB265=""),"",$AB265-$U265)</f>
        <v/>
      </c>
      <c r="AK265" s="41" t="str">
        <f aca="false">IF(OR($R265="",$AD265=""),"",$AD265-$R265)</f>
        <v/>
      </c>
      <c r="AL265" s="31"/>
      <c r="AM265" s="32"/>
      <c r="AN265" s="31"/>
    </row>
    <row r="266" customFormat="false" ht="15" hidden="false" customHeight="true" outlineLevel="0" collapsed="false">
      <c r="A266" s="38" t="str">
        <f aca="false">IF($B266="","",ROW()-3)</f>
        <v/>
      </c>
      <c r="B266" s="31"/>
      <c r="C266" s="31"/>
      <c r="D266" s="31"/>
      <c r="E266" s="31"/>
      <c r="F266" s="32"/>
      <c r="G266" s="32"/>
      <c r="H266" s="31"/>
      <c r="I266" s="31"/>
      <c r="J266" s="33"/>
      <c r="K266" s="34"/>
      <c r="L266" s="34"/>
      <c r="M266" s="34"/>
      <c r="N266" s="39" t="str">
        <f aca="false">IF($K266="","",$K266-N($L266)-N($M266))</f>
        <v/>
      </c>
      <c r="O266" s="31"/>
      <c r="P266" s="31"/>
      <c r="Q266" s="31"/>
      <c r="R266" s="32"/>
      <c r="S266" s="32"/>
      <c r="T266" s="32"/>
      <c r="U266" s="32"/>
      <c r="V266" s="31"/>
      <c r="W266" s="40" t="str">
        <f aca="false">IF(OR($F266="",$J266=""),"",$F266+$J266)</f>
        <v/>
      </c>
      <c r="X266" s="32"/>
      <c r="Y266" s="34"/>
      <c r="Z266" s="31"/>
      <c r="AA266" s="31"/>
      <c r="AB266" s="32"/>
      <c r="AC266" s="31"/>
      <c r="AD266" s="32"/>
      <c r="AE266" s="31"/>
      <c r="AF266" s="41" t="str">
        <f aca="false">IF(OR($R266="",$S266=""),"",$S266-$R266)</f>
        <v/>
      </c>
      <c r="AG266" s="41" t="str">
        <f aca="false">IF(OR($S266="",$T266=""),"",$T266-$S266)</f>
        <v/>
      </c>
      <c r="AH266" s="41" t="str">
        <f aca="false">IF(OR($T266="",$U266=""),"",$U266-$T266)</f>
        <v/>
      </c>
      <c r="AI266" s="41" t="str">
        <f aca="false">IF(OR($R266="",$U266=""),"",$U266-$R266)</f>
        <v/>
      </c>
      <c r="AJ266" s="41" t="str">
        <f aca="false">IF(OR($U266="",$AB266=""),"",$AB266-$U266)</f>
        <v/>
      </c>
      <c r="AK266" s="41" t="str">
        <f aca="false">IF(OR($R266="",$AD266=""),"",$AD266-$R266)</f>
        <v/>
      </c>
      <c r="AL266" s="31"/>
      <c r="AM266" s="32"/>
      <c r="AN266" s="31"/>
    </row>
    <row r="267" customFormat="false" ht="15" hidden="false" customHeight="true" outlineLevel="0" collapsed="false">
      <c r="A267" s="38" t="str">
        <f aca="false">IF($B267="","",ROW()-3)</f>
        <v/>
      </c>
      <c r="B267" s="31"/>
      <c r="C267" s="31"/>
      <c r="D267" s="31"/>
      <c r="E267" s="31"/>
      <c r="F267" s="32"/>
      <c r="G267" s="32"/>
      <c r="H267" s="31"/>
      <c r="I267" s="31"/>
      <c r="J267" s="33"/>
      <c r="K267" s="34"/>
      <c r="L267" s="34"/>
      <c r="M267" s="34"/>
      <c r="N267" s="39" t="str">
        <f aca="false">IF($K267="","",$K267-N($L267)-N($M267))</f>
        <v/>
      </c>
      <c r="O267" s="31"/>
      <c r="P267" s="31"/>
      <c r="Q267" s="31"/>
      <c r="R267" s="32"/>
      <c r="S267" s="32"/>
      <c r="T267" s="32"/>
      <c r="U267" s="32"/>
      <c r="V267" s="31"/>
      <c r="W267" s="40" t="str">
        <f aca="false">IF(OR($F267="",$J267=""),"",$F267+$J267)</f>
        <v/>
      </c>
      <c r="X267" s="32"/>
      <c r="Y267" s="34"/>
      <c r="Z267" s="31"/>
      <c r="AA267" s="31"/>
      <c r="AB267" s="32"/>
      <c r="AC267" s="31"/>
      <c r="AD267" s="32"/>
      <c r="AE267" s="31"/>
      <c r="AF267" s="41" t="str">
        <f aca="false">IF(OR($R267="",$S267=""),"",$S267-$R267)</f>
        <v/>
      </c>
      <c r="AG267" s="41" t="str">
        <f aca="false">IF(OR($S267="",$T267=""),"",$T267-$S267)</f>
        <v/>
      </c>
      <c r="AH267" s="41" t="str">
        <f aca="false">IF(OR($T267="",$U267=""),"",$U267-$T267)</f>
        <v/>
      </c>
      <c r="AI267" s="41" t="str">
        <f aca="false">IF(OR($R267="",$U267=""),"",$U267-$R267)</f>
        <v/>
      </c>
      <c r="AJ267" s="41" t="str">
        <f aca="false">IF(OR($U267="",$AB267=""),"",$AB267-$U267)</f>
        <v/>
      </c>
      <c r="AK267" s="41" t="str">
        <f aca="false">IF(OR($R267="",$AD267=""),"",$AD267-$R267)</f>
        <v/>
      </c>
      <c r="AL267" s="31"/>
      <c r="AM267" s="32"/>
      <c r="AN267" s="31"/>
    </row>
    <row r="268" customFormat="false" ht="15" hidden="false" customHeight="true" outlineLevel="0" collapsed="false">
      <c r="A268" s="38" t="str">
        <f aca="false">IF($B268="","",ROW()-3)</f>
        <v/>
      </c>
      <c r="B268" s="31"/>
      <c r="C268" s="31"/>
      <c r="D268" s="31"/>
      <c r="E268" s="31"/>
      <c r="F268" s="32"/>
      <c r="G268" s="32"/>
      <c r="H268" s="31"/>
      <c r="I268" s="31"/>
      <c r="J268" s="33"/>
      <c r="K268" s="34"/>
      <c r="L268" s="34"/>
      <c r="M268" s="34"/>
      <c r="N268" s="39" t="str">
        <f aca="false">IF($K268="","",$K268-N($L268)-N($M268))</f>
        <v/>
      </c>
      <c r="O268" s="31"/>
      <c r="P268" s="31"/>
      <c r="Q268" s="31"/>
      <c r="R268" s="32"/>
      <c r="S268" s="32"/>
      <c r="T268" s="32"/>
      <c r="U268" s="32"/>
      <c r="V268" s="31"/>
      <c r="W268" s="40" t="str">
        <f aca="false">IF(OR($F268="",$J268=""),"",$F268+$J268)</f>
        <v/>
      </c>
      <c r="X268" s="32"/>
      <c r="Y268" s="34"/>
      <c r="Z268" s="31"/>
      <c r="AA268" s="31"/>
      <c r="AB268" s="32"/>
      <c r="AC268" s="31"/>
      <c r="AD268" s="32"/>
      <c r="AE268" s="31"/>
      <c r="AF268" s="41" t="str">
        <f aca="false">IF(OR($R268="",$S268=""),"",$S268-$R268)</f>
        <v/>
      </c>
      <c r="AG268" s="41" t="str">
        <f aca="false">IF(OR($S268="",$T268=""),"",$T268-$S268)</f>
        <v/>
      </c>
      <c r="AH268" s="41" t="str">
        <f aca="false">IF(OR($T268="",$U268=""),"",$U268-$T268)</f>
        <v/>
      </c>
      <c r="AI268" s="41" t="str">
        <f aca="false">IF(OR($R268="",$U268=""),"",$U268-$R268)</f>
        <v/>
      </c>
      <c r="AJ268" s="41" t="str">
        <f aca="false">IF(OR($U268="",$AB268=""),"",$AB268-$U268)</f>
        <v/>
      </c>
      <c r="AK268" s="41" t="str">
        <f aca="false">IF(OR($R268="",$AD268=""),"",$AD268-$R268)</f>
        <v/>
      </c>
      <c r="AL268" s="31"/>
      <c r="AM268" s="32"/>
      <c r="AN268" s="31"/>
    </row>
    <row r="269" customFormat="false" ht="15" hidden="false" customHeight="true" outlineLevel="0" collapsed="false">
      <c r="A269" s="38" t="str">
        <f aca="false">IF($B269="","",ROW()-3)</f>
        <v/>
      </c>
      <c r="B269" s="31"/>
      <c r="C269" s="31"/>
      <c r="D269" s="31"/>
      <c r="E269" s="31"/>
      <c r="F269" s="32"/>
      <c r="G269" s="32"/>
      <c r="H269" s="31"/>
      <c r="I269" s="31"/>
      <c r="J269" s="33"/>
      <c r="K269" s="34"/>
      <c r="L269" s="34"/>
      <c r="M269" s="34"/>
      <c r="N269" s="39" t="str">
        <f aca="false">IF($K269="","",$K269-N($L269)-N($M269))</f>
        <v/>
      </c>
      <c r="O269" s="31"/>
      <c r="P269" s="31"/>
      <c r="Q269" s="31"/>
      <c r="R269" s="32"/>
      <c r="S269" s="32"/>
      <c r="T269" s="32"/>
      <c r="U269" s="32"/>
      <c r="V269" s="31"/>
      <c r="W269" s="40" t="str">
        <f aca="false">IF(OR($F269="",$J269=""),"",$F269+$J269)</f>
        <v/>
      </c>
      <c r="X269" s="32"/>
      <c r="Y269" s="34"/>
      <c r="Z269" s="31"/>
      <c r="AA269" s="31"/>
      <c r="AB269" s="32"/>
      <c r="AC269" s="31"/>
      <c r="AD269" s="32"/>
      <c r="AE269" s="31"/>
      <c r="AF269" s="41" t="str">
        <f aca="false">IF(OR($R269="",$S269=""),"",$S269-$R269)</f>
        <v/>
      </c>
      <c r="AG269" s="41" t="str">
        <f aca="false">IF(OR($S269="",$T269=""),"",$T269-$S269)</f>
        <v/>
      </c>
      <c r="AH269" s="41" t="str">
        <f aca="false">IF(OR($T269="",$U269=""),"",$U269-$T269)</f>
        <v/>
      </c>
      <c r="AI269" s="41" t="str">
        <f aca="false">IF(OR($R269="",$U269=""),"",$U269-$R269)</f>
        <v/>
      </c>
      <c r="AJ269" s="41" t="str">
        <f aca="false">IF(OR($U269="",$AB269=""),"",$AB269-$U269)</f>
        <v/>
      </c>
      <c r="AK269" s="41" t="str">
        <f aca="false">IF(OR($R269="",$AD269=""),"",$AD269-$R269)</f>
        <v/>
      </c>
      <c r="AL269" s="31"/>
      <c r="AM269" s="32"/>
      <c r="AN269" s="31"/>
    </row>
    <row r="270" customFormat="false" ht="15" hidden="false" customHeight="true" outlineLevel="0" collapsed="false">
      <c r="A270" s="38" t="str">
        <f aca="false">IF($B270="","",ROW()-3)</f>
        <v/>
      </c>
      <c r="B270" s="31"/>
      <c r="C270" s="31"/>
      <c r="D270" s="31"/>
      <c r="E270" s="31"/>
      <c r="F270" s="32"/>
      <c r="G270" s="32"/>
      <c r="H270" s="31"/>
      <c r="I270" s="31"/>
      <c r="J270" s="33"/>
      <c r="K270" s="34"/>
      <c r="L270" s="34"/>
      <c r="M270" s="34"/>
      <c r="N270" s="39" t="str">
        <f aca="false">IF($K270="","",$K270-N($L270)-N($M270))</f>
        <v/>
      </c>
      <c r="O270" s="31"/>
      <c r="P270" s="31"/>
      <c r="Q270" s="31"/>
      <c r="R270" s="32"/>
      <c r="S270" s="32"/>
      <c r="T270" s="32"/>
      <c r="U270" s="32"/>
      <c r="V270" s="31"/>
      <c r="W270" s="40" t="str">
        <f aca="false">IF(OR($F270="",$J270=""),"",$F270+$J270)</f>
        <v/>
      </c>
      <c r="X270" s="32"/>
      <c r="Y270" s="34"/>
      <c r="Z270" s="31"/>
      <c r="AA270" s="31"/>
      <c r="AB270" s="32"/>
      <c r="AC270" s="31"/>
      <c r="AD270" s="32"/>
      <c r="AE270" s="31"/>
      <c r="AF270" s="41" t="str">
        <f aca="false">IF(OR($R270="",$S270=""),"",$S270-$R270)</f>
        <v/>
      </c>
      <c r="AG270" s="41" t="str">
        <f aca="false">IF(OR($S270="",$T270=""),"",$T270-$S270)</f>
        <v/>
      </c>
      <c r="AH270" s="41" t="str">
        <f aca="false">IF(OR($T270="",$U270=""),"",$U270-$T270)</f>
        <v/>
      </c>
      <c r="AI270" s="41" t="str">
        <f aca="false">IF(OR($R270="",$U270=""),"",$U270-$R270)</f>
        <v/>
      </c>
      <c r="AJ270" s="41" t="str">
        <f aca="false">IF(OR($U270="",$AB270=""),"",$AB270-$U270)</f>
        <v/>
      </c>
      <c r="AK270" s="41" t="str">
        <f aca="false">IF(OR($R270="",$AD270=""),"",$AD270-$R270)</f>
        <v/>
      </c>
      <c r="AL270" s="31"/>
      <c r="AM270" s="32"/>
      <c r="AN270" s="31"/>
    </row>
    <row r="271" customFormat="false" ht="15" hidden="false" customHeight="true" outlineLevel="0" collapsed="false">
      <c r="A271" s="38" t="str">
        <f aca="false">IF($B271="","",ROW()-3)</f>
        <v/>
      </c>
      <c r="B271" s="31"/>
      <c r="C271" s="31"/>
      <c r="D271" s="31"/>
      <c r="E271" s="31"/>
      <c r="F271" s="32"/>
      <c r="G271" s="32"/>
      <c r="H271" s="31"/>
      <c r="I271" s="31"/>
      <c r="J271" s="33"/>
      <c r="K271" s="34"/>
      <c r="L271" s="34"/>
      <c r="M271" s="34"/>
      <c r="N271" s="39" t="str">
        <f aca="false">IF($K271="","",$K271-N($L271)-N($M271))</f>
        <v/>
      </c>
      <c r="O271" s="31"/>
      <c r="P271" s="31"/>
      <c r="Q271" s="31"/>
      <c r="R271" s="32"/>
      <c r="S271" s="32"/>
      <c r="T271" s="32"/>
      <c r="U271" s="32"/>
      <c r="V271" s="31"/>
      <c r="W271" s="40" t="str">
        <f aca="false">IF(OR($F271="",$J271=""),"",$F271+$J271)</f>
        <v/>
      </c>
      <c r="X271" s="32"/>
      <c r="Y271" s="34"/>
      <c r="Z271" s="31"/>
      <c r="AA271" s="31"/>
      <c r="AB271" s="32"/>
      <c r="AC271" s="31"/>
      <c r="AD271" s="32"/>
      <c r="AE271" s="31"/>
      <c r="AF271" s="41" t="str">
        <f aca="false">IF(OR($R271="",$S271=""),"",$S271-$R271)</f>
        <v/>
      </c>
      <c r="AG271" s="41" t="str">
        <f aca="false">IF(OR($S271="",$T271=""),"",$T271-$S271)</f>
        <v/>
      </c>
      <c r="AH271" s="41" t="str">
        <f aca="false">IF(OR($T271="",$U271=""),"",$U271-$T271)</f>
        <v/>
      </c>
      <c r="AI271" s="41" t="str">
        <f aca="false">IF(OR($R271="",$U271=""),"",$U271-$R271)</f>
        <v/>
      </c>
      <c r="AJ271" s="41" t="str">
        <f aca="false">IF(OR($U271="",$AB271=""),"",$AB271-$U271)</f>
        <v/>
      </c>
      <c r="AK271" s="41" t="str">
        <f aca="false">IF(OR($R271="",$AD271=""),"",$AD271-$R271)</f>
        <v/>
      </c>
      <c r="AL271" s="31"/>
      <c r="AM271" s="32"/>
      <c r="AN271" s="31"/>
    </row>
    <row r="272" customFormat="false" ht="15" hidden="false" customHeight="true" outlineLevel="0" collapsed="false">
      <c r="A272" s="38" t="str">
        <f aca="false">IF($B272="","",ROW()-3)</f>
        <v/>
      </c>
      <c r="B272" s="31"/>
      <c r="C272" s="31"/>
      <c r="D272" s="31"/>
      <c r="E272" s="31"/>
      <c r="F272" s="32"/>
      <c r="G272" s="32"/>
      <c r="H272" s="31"/>
      <c r="I272" s="31"/>
      <c r="J272" s="33"/>
      <c r="K272" s="34"/>
      <c r="L272" s="34"/>
      <c r="M272" s="34"/>
      <c r="N272" s="39" t="str">
        <f aca="false">IF($K272="","",$K272-N($L272)-N($M272))</f>
        <v/>
      </c>
      <c r="O272" s="31"/>
      <c r="P272" s="31"/>
      <c r="Q272" s="31"/>
      <c r="R272" s="32"/>
      <c r="S272" s="32"/>
      <c r="T272" s="32"/>
      <c r="U272" s="32"/>
      <c r="V272" s="31"/>
      <c r="W272" s="40" t="str">
        <f aca="false">IF(OR($F272="",$J272=""),"",$F272+$J272)</f>
        <v/>
      </c>
      <c r="X272" s="32"/>
      <c r="Y272" s="34"/>
      <c r="Z272" s="31"/>
      <c r="AA272" s="31"/>
      <c r="AB272" s="32"/>
      <c r="AC272" s="31"/>
      <c r="AD272" s="32"/>
      <c r="AE272" s="31"/>
      <c r="AF272" s="41" t="str">
        <f aca="false">IF(OR($R272="",$S272=""),"",$S272-$R272)</f>
        <v/>
      </c>
      <c r="AG272" s="41" t="str">
        <f aca="false">IF(OR($S272="",$T272=""),"",$T272-$S272)</f>
        <v/>
      </c>
      <c r="AH272" s="41" t="str">
        <f aca="false">IF(OR($T272="",$U272=""),"",$U272-$T272)</f>
        <v/>
      </c>
      <c r="AI272" s="41" t="str">
        <f aca="false">IF(OR($R272="",$U272=""),"",$U272-$R272)</f>
        <v/>
      </c>
      <c r="AJ272" s="41" t="str">
        <f aca="false">IF(OR($U272="",$AB272=""),"",$AB272-$U272)</f>
        <v/>
      </c>
      <c r="AK272" s="41" t="str">
        <f aca="false">IF(OR($R272="",$AD272=""),"",$AD272-$R272)</f>
        <v/>
      </c>
      <c r="AL272" s="31"/>
      <c r="AM272" s="32"/>
      <c r="AN272" s="31"/>
    </row>
    <row r="273" customFormat="false" ht="15" hidden="false" customHeight="true" outlineLevel="0" collapsed="false">
      <c r="A273" s="38" t="str">
        <f aca="false">IF($B273="","",ROW()-3)</f>
        <v/>
      </c>
      <c r="B273" s="31"/>
      <c r="C273" s="31"/>
      <c r="D273" s="31"/>
      <c r="E273" s="31"/>
      <c r="F273" s="32"/>
      <c r="G273" s="32"/>
      <c r="H273" s="31"/>
      <c r="I273" s="31"/>
      <c r="J273" s="33"/>
      <c r="K273" s="34"/>
      <c r="L273" s="34"/>
      <c r="M273" s="34"/>
      <c r="N273" s="39" t="str">
        <f aca="false">IF($K273="","",$K273-N($L273)-N($M273))</f>
        <v/>
      </c>
      <c r="O273" s="31"/>
      <c r="P273" s="31"/>
      <c r="Q273" s="31"/>
      <c r="R273" s="32"/>
      <c r="S273" s="32"/>
      <c r="T273" s="32"/>
      <c r="U273" s="32"/>
      <c r="V273" s="31"/>
      <c r="W273" s="40" t="str">
        <f aca="false">IF(OR($F273="",$J273=""),"",$F273+$J273)</f>
        <v/>
      </c>
      <c r="X273" s="32"/>
      <c r="Y273" s="34"/>
      <c r="Z273" s="31"/>
      <c r="AA273" s="31"/>
      <c r="AB273" s="32"/>
      <c r="AC273" s="31"/>
      <c r="AD273" s="32"/>
      <c r="AE273" s="31"/>
      <c r="AF273" s="41" t="str">
        <f aca="false">IF(OR($R273="",$S273=""),"",$S273-$R273)</f>
        <v/>
      </c>
      <c r="AG273" s="41" t="str">
        <f aca="false">IF(OR($S273="",$T273=""),"",$T273-$S273)</f>
        <v/>
      </c>
      <c r="AH273" s="41" t="str">
        <f aca="false">IF(OR($T273="",$U273=""),"",$U273-$T273)</f>
        <v/>
      </c>
      <c r="AI273" s="41" t="str">
        <f aca="false">IF(OR($R273="",$U273=""),"",$U273-$R273)</f>
        <v/>
      </c>
      <c r="AJ273" s="41" t="str">
        <f aca="false">IF(OR($U273="",$AB273=""),"",$AB273-$U273)</f>
        <v/>
      </c>
      <c r="AK273" s="41" t="str">
        <f aca="false">IF(OR($R273="",$AD273=""),"",$AD273-$R273)</f>
        <v/>
      </c>
      <c r="AL273" s="31"/>
      <c r="AM273" s="32"/>
      <c r="AN273" s="31"/>
    </row>
    <row r="274" customFormat="false" ht="15" hidden="false" customHeight="true" outlineLevel="0" collapsed="false">
      <c r="A274" s="38" t="str">
        <f aca="false">IF($B274="","",ROW()-3)</f>
        <v/>
      </c>
      <c r="B274" s="31"/>
      <c r="C274" s="31"/>
      <c r="D274" s="31"/>
      <c r="E274" s="31"/>
      <c r="F274" s="32"/>
      <c r="G274" s="32"/>
      <c r="H274" s="31"/>
      <c r="I274" s="31"/>
      <c r="J274" s="33"/>
      <c r="K274" s="34"/>
      <c r="L274" s="34"/>
      <c r="M274" s="34"/>
      <c r="N274" s="39" t="str">
        <f aca="false">IF($K274="","",$K274-N($L274)-N($M274))</f>
        <v/>
      </c>
      <c r="O274" s="31"/>
      <c r="P274" s="31"/>
      <c r="Q274" s="31"/>
      <c r="R274" s="32"/>
      <c r="S274" s="32"/>
      <c r="T274" s="32"/>
      <c r="U274" s="32"/>
      <c r="V274" s="31"/>
      <c r="W274" s="40" t="str">
        <f aca="false">IF(OR($F274="",$J274=""),"",$F274+$J274)</f>
        <v/>
      </c>
      <c r="X274" s="32"/>
      <c r="Y274" s="34"/>
      <c r="Z274" s="31"/>
      <c r="AA274" s="31"/>
      <c r="AB274" s="32"/>
      <c r="AC274" s="31"/>
      <c r="AD274" s="32"/>
      <c r="AE274" s="31"/>
      <c r="AF274" s="41" t="str">
        <f aca="false">IF(OR($R274="",$S274=""),"",$S274-$R274)</f>
        <v/>
      </c>
      <c r="AG274" s="41" t="str">
        <f aca="false">IF(OR($S274="",$T274=""),"",$T274-$S274)</f>
        <v/>
      </c>
      <c r="AH274" s="41" t="str">
        <f aca="false">IF(OR($T274="",$U274=""),"",$U274-$T274)</f>
        <v/>
      </c>
      <c r="AI274" s="41" t="str">
        <f aca="false">IF(OR($R274="",$U274=""),"",$U274-$R274)</f>
        <v/>
      </c>
      <c r="AJ274" s="41" t="str">
        <f aca="false">IF(OR($U274="",$AB274=""),"",$AB274-$U274)</f>
        <v/>
      </c>
      <c r="AK274" s="41" t="str">
        <f aca="false">IF(OR($R274="",$AD274=""),"",$AD274-$R274)</f>
        <v/>
      </c>
      <c r="AL274" s="31"/>
      <c r="AM274" s="32"/>
      <c r="AN274" s="31"/>
    </row>
    <row r="275" customFormat="false" ht="15" hidden="false" customHeight="true" outlineLevel="0" collapsed="false">
      <c r="A275" s="38" t="str">
        <f aca="false">IF($B275="","",ROW()-3)</f>
        <v/>
      </c>
      <c r="B275" s="31"/>
      <c r="C275" s="31"/>
      <c r="D275" s="31"/>
      <c r="E275" s="31"/>
      <c r="F275" s="32"/>
      <c r="G275" s="32"/>
      <c r="H275" s="31"/>
      <c r="I275" s="31"/>
      <c r="J275" s="33"/>
      <c r="K275" s="34"/>
      <c r="L275" s="34"/>
      <c r="M275" s="34"/>
      <c r="N275" s="39" t="str">
        <f aca="false">IF($K275="","",$K275-N($L275)-N($M275))</f>
        <v/>
      </c>
      <c r="O275" s="31"/>
      <c r="P275" s="31"/>
      <c r="Q275" s="31"/>
      <c r="R275" s="32"/>
      <c r="S275" s="32"/>
      <c r="T275" s="32"/>
      <c r="U275" s="32"/>
      <c r="V275" s="31"/>
      <c r="W275" s="40" t="str">
        <f aca="false">IF(OR($F275="",$J275=""),"",$F275+$J275)</f>
        <v/>
      </c>
      <c r="X275" s="32"/>
      <c r="Y275" s="34"/>
      <c r="Z275" s="31"/>
      <c r="AA275" s="31"/>
      <c r="AB275" s="32"/>
      <c r="AC275" s="31"/>
      <c r="AD275" s="32"/>
      <c r="AE275" s="31"/>
      <c r="AF275" s="41" t="str">
        <f aca="false">IF(OR($R275="",$S275=""),"",$S275-$R275)</f>
        <v/>
      </c>
      <c r="AG275" s="41" t="str">
        <f aca="false">IF(OR($S275="",$T275=""),"",$T275-$S275)</f>
        <v/>
      </c>
      <c r="AH275" s="41" t="str">
        <f aca="false">IF(OR($T275="",$U275=""),"",$U275-$T275)</f>
        <v/>
      </c>
      <c r="AI275" s="41" t="str">
        <f aca="false">IF(OR($R275="",$U275=""),"",$U275-$R275)</f>
        <v/>
      </c>
      <c r="AJ275" s="41" t="str">
        <f aca="false">IF(OR($U275="",$AB275=""),"",$AB275-$U275)</f>
        <v/>
      </c>
      <c r="AK275" s="41" t="str">
        <f aca="false">IF(OR($R275="",$AD275=""),"",$AD275-$R275)</f>
        <v/>
      </c>
      <c r="AL275" s="31"/>
      <c r="AM275" s="32"/>
      <c r="AN275" s="31"/>
    </row>
    <row r="276" customFormat="false" ht="15" hidden="false" customHeight="true" outlineLevel="0" collapsed="false">
      <c r="A276" s="38" t="str">
        <f aca="false">IF($B276="","",ROW()-3)</f>
        <v/>
      </c>
      <c r="B276" s="31"/>
      <c r="C276" s="31"/>
      <c r="D276" s="31"/>
      <c r="E276" s="31"/>
      <c r="F276" s="32"/>
      <c r="G276" s="32"/>
      <c r="H276" s="31"/>
      <c r="I276" s="31"/>
      <c r="J276" s="33"/>
      <c r="K276" s="34"/>
      <c r="L276" s="34"/>
      <c r="M276" s="34"/>
      <c r="N276" s="39" t="str">
        <f aca="false">IF($K276="","",$K276-N($L276)-N($M276))</f>
        <v/>
      </c>
      <c r="O276" s="31"/>
      <c r="P276" s="31"/>
      <c r="Q276" s="31"/>
      <c r="R276" s="32"/>
      <c r="S276" s="32"/>
      <c r="T276" s="32"/>
      <c r="U276" s="32"/>
      <c r="V276" s="31"/>
      <c r="W276" s="40" t="str">
        <f aca="false">IF(OR($F276="",$J276=""),"",$F276+$J276)</f>
        <v/>
      </c>
      <c r="X276" s="32"/>
      <c r="Y276" s="34"/>
      <c r="Z276" s="31"/>
      <c r="AA276" s="31"/>
      <c r="AB276" s="32"/>
      <c r="AC276" s="31"/>
      <c r="AD276" s="32"/>
      <c r="AE276" s="31"/>
      <c r="AF276" s="41" t="str">
        <f aca="false">IF(OR($R276="",$S276=""),"",$S276-$R276)</f>
        <v/>
      </c>
      <c r="AG276" s="41" t="str">
        <f aca="false">IF(OR($S276="",$T276=""),"",$T276-$S276)</f>
        <v/>
      </c>
      <c r="AH276" s="41" t="str">
        <f aca="false">IF(OR($T276="",$U276=""),"",$U276-$T276)</f>
        <v/>
      </c>
      <c r="AI276" s="41" t="str">
        <f aca="false">IF(OR($R276="",$U276=""),"",$U276-$R276)</f>
        <v/>
      </c>
      <c r="AJ276" s="41" t="str">
        <f aca="false">IF(OR($U276="",$AB276=""),"",$AB276-$U276)</f>
        <v/>
      </c>
      <c r="AK276" s="41" t="str">
        <f aca="false">IF(OR($R276="",$AD276=""),"",$AD276-$R276)</f>
        <v/>
      </c>
      <c r="AL276" s="31"/>
      <c r="AM276" s="32"/>
      <c r="AN276" s="31"/>
    </row>
    <row r="277" customFormat="false" ht="15" hidden="false" customHeight="true" outlineLevel="0" collapsed="false">
      <c r="A277" s="38" t="str">
        <f aca="false">IF($B277="","",ROW()-3)</f>
        <v/>
      </c>
      <c r="B277" s="31"/>
      <c r="C277" s="31"/>
      <c r="D277" s="31"/>
      <c r="E277" s="31"/>
      <c r="F277" s="32"/>
      <c r="G277" s="32"/>
      <c r="H277" s="31"/>
      <c r="I277" s="31"/>
      <c r="J277" s="33"/>
      <c r="K277" s="34"/>
      <c r="L277" s="34"/>
      <c r="M277" s="34"/>
      <c r="N277" s="39" t="str">
        <f aca="false">IF($K277="","",$K277-N($L277)-N($M277))</f>
        <v/>
      </c>
      <c r="O277" s="31"/>
      <c r="P277" s="31"/>
      <c r="Q277" s="31"/>
      <c r="R277" s="32"/>
      <c r="S277" s="32"/>
      <c r="T277" s="32"/>
      <c r="U277" s="32"/>
      <c r="V277" s="31"/>
      <c r="W277" s="40" t="str">
        <f aca="false">IF(OR($F277="",$J277=""),"",$F277+$J277)</f>
        <v/>
      </c>
      <c r="X277" s="32"/>
      <c r="Y277" s="34"/>
      <c r="Z277" s="31"/>
      <c r="AA277" s="31"/>
      <c r="AB277" s="32"/>
      <c r="AC277" s="31"/>
      <c r="AD277" s="32"/>
      <c r="AE277" s="31"/>
      <c r="AF277" s="41" t="str">
        <f aca="false">IF(OR($R277="",$S277=""),"",$S277-$R277)</f>
        <v/>
      </c>
      <c r="AG277" s="41" t="str">
        <f aca="false">IF(OR($S277="",$T277=""),"",$T277-$S277)</f>
        <v/>
      </c>
      <c r="AH277" s="41" t="str">
        <f aca="false">IF(OR($T277="",$U277=""),"",$U277-$T277)</f>
        <v/>
      </c>
      <c r="AI277" s="41" t="str">
        <f aca="false">IF(OR($R277="",$U277=""),"",$U277-$R277)</f>
        <v/>
      </c>
      <c r="AJ277" s="41" t="str">
        <f aca="false">IF(OR($U277="",$AB277=""),"",$AB277-$U277)</f>
        <v/>
      </c>
      <c r="AK277" s="41" t="str">
        <f aca="false">IF(OR($R277="",$AD277=""),"",$AD277-$R277)</f>
        <v/>
      </c>
      <c r="AL277" s="31"/>
      <c r="AM277" s="32"/>
      <c r="AN277" s="31"/>
    </row>
    <row r="278" customFormat="false" ht="15" hidden="false" customHeight="true" outlineLevel="0" collapsed="false">
      <c r="A278" s="38" t="str">
        <f aca="false">IF($B278="","",ROW()-3)</f>
        <v/>
      </c>
      <c r="B278" s="31"/>
      <c r="C278" s="31"/>
      <c r="D278" s="31"/>
      <c r="E278" s="31"/>
      <c r="F278" s="32"/>
      <c r="G278" s="32"/>
      <c r="H278" s="31"/>
      <c r="I278" s="31"/>
      <c r="J278" s="33"/>
      <c r="K278" s="34"/>
      <c r="L278" s="34"/>
      <c r="M278" s="34"/>
      <c r="N278" s="39" t="str">
        <f aca="false">IF($K278="","",$K278-N($L278)-N($M278))</f>
        <v/>
      </c>
      <c r="O278" s="31"/>
      <c r="P278" s="31"/>
      <c r="Q278" s="31"/>
      <c r="R278" s="32"/>
      <c r="S278" s="32"/>
      <c r="T278" s="32"/>
      <c r="U278" s="32"/>
      <c r="V278" s="31"/>
      <c r="W278" s="40" t="str">
        <f aca="false">IF(OR($F278="",$J278=""),"",$F278+$J278)</f>
        <v/>
      </c>
      <c r="X278" s="32"/>
      <c r="Y278" s="34"/>
      <c r="Z278" s="31"/>
      <c r="AA278" s="31"/>
      <c r="AB278" s="32"/>
      <c r="AC278" s="31"/>
      <c r="AD278" s="32"/>
      <c r="AE278" s="31"/>
      <c r="AF278" s="41" t="str">
        <f aca="false">IF(OR($R278="",$S278=""),"",$S278-$R278)</f>
        <v/>
      </c>
      <c r="AG278" s="41" t="str">
        <f aca="false">IF(OR($S278="",$T278=""),"",$T278-$S278)</f>
        <v/>
      </c>
      <c r="AH278" s="41" t="str">
        <f aca="false">IF(OR($T278="",$U278=""),"",$U278-$T278)</f>
        <v/>
      </c>
      <c r="AI278" s="41" t="str">
        <f aca="false">IF(OR($R278="",$U278=""),"",$U278-$R278)</f>
        <v/>
      </c>
      <c r="AJ278" s="41" t="str">
        <f aca="false">IF(OR($U278="",$AB278=""),"",$AB278-$U278)</f>
        <v/>
      </c>
      <c r="AK278" s="41" t="str">
        <f aca="false">IF(OR($R278="",$AD278=""),"",$AD278-$R278)</f>
        <v/>
      </c>
      <c r="AL278" s="31"/>
      <c r="AM278" s="32"/>
      <c r="AN278" s="31"/>
    </row>
    <row r="279" customFormat="false" ht="15" hidden="false" customHeight="true" outlineLevel="0" collapsed="false">
      <c r="A279" s="38" t="str">
        <f aca="false">IF($B279="","",ROW()-3)</f>
        <v/>
      </c>
      <c r="B279" s="31"/>
      <c r="C279" s="31"/>
      <c r="D279" s="31"/>
      <c r="E279" s="31"/>
      <c r="F279" s="32"/>
      <c r="G279" s="32"/>
      <c r="H279" s="31"/>
      <c r="I279" s="31"/>
      <c r="J279" s="33"/>
      <c r="K279" s="34"/>
      <c r="L279" s="34"/>
      <c r="M279" s="34"/>
      <c r="N279" s="39" t="str">
        <f aca="false">IF($K279="","",$K279-N($L279)-N($M279))</f>
        <v/>
      </c>
      <c r="O279" s="31"/>
      <c r="P279" s="31"/>
      <c r="Q279" s="31"/>
      <c r="R279" s="32"/>
      <c r="S279" s="32"/>
      <c r="T279" s="32"/>
      <c r="U279" s="32"/>
      <c r="V279" s="31"/>
      <c r="W279" s="40" t="str">
        <f aca="false">IF(OR($F279="",$J279=""),"",$F279+$J279)</f>
        <v/>
      </c>
      <c r="X279" s="32"/>
      <c r="Y279" s="34"/>
      <c r="Z279" s="31"/>
      <c r="AA279" s="31"/>
      <c r="AB279" s="32"/>
      <c r="AC279" s="31"/>
      <c r="AD279" s="32"/>
      <c r="AE279" s="31"/>
      <c r="AF279" s="41" t="str">
        <f aca="false">IF(OR($R279="",$S279=""),"",$S279-$R279)</f>
        <v/>
      </c>
      <c r="AG279" s="41" t="str">
        <f aca="false">IF(OR($S279="",$T279=""),"",$T279-$S279)</f>
        <v/>
      </c>
      <c r="AH279" s="41" t="str">
        <f aca="false">IF(OR($T279="",$U279=""),"",$U279-$T279)</f>
        <v/>
      </c>
      <c r="AI279" s="41" t="str">
        <f aca="false">IF(OR($R279="",$U279=""),"",$U279-$R279)</f>
        <v/>
      </c>
      <c r="AJ279" s="41" t="str">
        <f aca="false">IF(OR($U279="",$AB279=""),"",$AB279-$U279)</f>
        <v/>
      </c>
      <c r="AK279" s="41" t="str">
        <f aca="false">IF(OR($R279="",$AD279=""),"",$AD279-$R279)</f>
        <v/>
      </c>
      <c r="AL279" s="31"/>
      <c r="AM279" s="32"/>
      <c r="AN279" s="31"/>
    </row>
    <row r="280" customFormat="false" ht="15" hidden="false" customHeight="true" outlineLevel="0" collapsed="false">
      <c r="A280" s="38" t="str">
        <f aca="false">IF($B280="","",ROW()-3)</f>
        <v/>
      </c>
      <c r="B280" s="31"/>
      <c r="C280" s="31"/>
      <c r="D280" s="31"/>
      <c r="E280" s="31"/>
      <c r="F280" s="32"/>
      <c r="G280" s="32"/>
      <c r="H280" s="31"/>
      <c r="I280" s="31"/>
      <c r="J280" s="33"/>
      <c r="K280" s="34"/>
      <c r="L280" s="34"/>
      <c r="M280" s="34"/>
      <c r="N280" s="39" t="str">
        <f aca="false">IF($K280="","",$K280-N($L280)-N($M280))</f>
        <v/>
      </c>
      <c r="O280" s="31"/>
      <c r="P280" s="31"/>
      <c r="Q280" s="31"/>
      <c r="R280" s="32"/>
      <c r="S280" s="32"/>
      <c r="T280" s="32"/>
      <c r="U280" s="32"/>
      <c r="V280" s="31"/>
      <c r="W280" s="40" t="str">
        <f aca="false">IF(OR($F280="",$J280=""),"",$F280+$J280)</f>
        <v/>
      </c>
      <c r="X280" s="32"/>
      <c r="Y280" s="34"/>
      <c r="Z280" s="31"/>
      <c r="AA280" s="31"/>
      <c r="AB280" s="32"/>
      <c r="AC280" s="31"/>
      <c r="AD280" s="32"/>
      <c r="AE280" s="31"/>
      <c r="AF280" s="41" t="str">
        <f aca="false">IF(OR($R280="",$S280=""),"",$S280-$R280)</f>
        <v/>
      </c>
      <c r="AG280" s="41" t="str">
        <f aca="false">IF(OR($S280="",$T280=""),"",$T280-$S280)</f>
        <v/>
      </c>
      <c r="AH280" s="41" t="str">
        <f aca="false">IF(OR($T280="",$U280=""),"",$U280-$T280)</f>
        <v/>
      </c>
      <c r="AI280" s="41" t="str">
        <f aca="false">IF(OR($R280="",$U280=""),"",$U280-$R280)</f>
        <v/>
      </c>
      <c r="AJ280" s="41" t="str">
        <f aca="false">IF(OR($U280="",$AB280=""),"",$AB280-$U280)</f>
        <v/>
      </c>
      <c r="AK280" s="41" t="str">
        <f aca="false">IF(OR($R280="",$AD280=""),"",$AD280-$R280)</f>
        <v/>
      </c>
      <c r="AL280" s="31"/>
      <c r="AM280" s="32"/>
      <c r="AN280" s="31"/>
    </row>
    <row r="281" customFormat="false" ht="15" hidden="false" customHeight="true" outlineLevel="0" collapsed="false">
      <c r="A281" s="38" t="str">
        <f aca="false">IF($B281="","",ROW()-3)</f>
        <v/>
      </c>
      <c r="B281" s="31"/>
      <c r="C281" s="31"/>
      <c r="D281" s="31"/>
      <c r="E281" s="31"/>
      <c r="F281" s="32"/>
      <c r="G281" s="32"/>
      <c r="H281" s="31"/>
      <c r="I281" s="31"/>
      <c r="J281" s="33"/>
      <c r="K281" s="34"/>
      <c r="L281" s="34"/>
      <c r="M281" s="34"/>
      <c r="N281" s="39" t="str">
        <f aca="false">IF($K281="","",$K281-N($L281)-N($M281))</f>
        <v/>
      </c>
      <c r="O281" s="31"/>
      <c r="P281" s="31"/>
      <c r="Q281" s="31"/>
      <c r="R281" s="32"/>
      <c r="S281" s="32"/>
      <c r="T281" s="32"/>
      <c r="U281" s="32"/>
      <c r="V281" s="31"/>
      <c r="W281" s="40" t="str">
        <f aca="false">IF(OR($F281="",$J281=""),"",$F281+$J281)</f>
        <v/>
      </c>
      <c r="X281" s="32"/>
      <c r="Y281" s="34"/>
      <c r="Z281" s="31"/>
      <c r="AA281" s="31"/>
      <c r="AB281" s="32"/>
      <c r="AC281" s="31"/>
      <c r="AD281" s="32"/>
      <c r="AE281" s="31"/>
      <c r="AF281" s="41" t="str">
        <f aca="false">IF(OR($R281="",$S281=""),"",$S281-$R281)</f>
        <v/>
      </c>
      <c r="AG281" s="41" t="str">
        <f aca="false">IF(OR($S281="",$T281=""),"",$T281-$S281)</f>
        <v/>
      </c>
      <c r="AH281" s="41" t="str">
        <f aca="false">IF(OR($T281="",$U281=""),"",$U281-$T281)</f>
        <v/>
      </c>
      <c r="AI281" s="41" t="str">
        <f aca="false">IF(OR($R281="",$U281=""),"",$U281-$R281)</f>
        <v/>
      </c>
      <c r="AJ281" s="41" t="str">
        <f aca="false">IF(OR($U281="",$AB281=""),"",$AB281-$U281)</f>
        <v/>
      </c>
      <c r="AK281" s="41" t="str">
        <f aca="false">IF(OR($R281="",$AD281=""),"",$AD281-$R281)</f>
        <v/>
      </c>
      <c r="AL281" s="31"/>
      <c r="AM281" s="32"/>
      <c r="AN281" s="31"/>
    </row>
    <row r="282" customFormat="false" ht="15" hidden="false" customHeight="true" outlineLevel="0" collapsed="false">
      <c r="A282" s="38" t="str">
        <f aca="false">IF($B282="","",ROW()-3)</f>
        <v/>
      </c>
      <c r="B282" s="31"/>
      <c r="C282" s="31"/>
      <c r="D282" s="31"/>
      <c r="E282" s="31"/>
      <c r="F282" s="32"/>
      <c r="G282" s="32"/>
      <c r="H282" s="31"/>
      <c r="I282" s="31"/>
      <c r="J282" s="33"/>
      <c r="K282" s="34"/>
      <c r="L282" s="34"/>
      <c r="M282" s="34"/>
      <c r="N282" s="39" t="str">
        <f aca="false">IF($K282="","",$K282-N($L282)-N($M282))</f>
        <v/>
      </c>
      <c r="O282" s="31"/>
      <c r="P282" s="31"/>
      <c r="Q282" s="31"/>
      <c r="R282" s="32"/>
      <c r="S282" s="32"/>
      <c r="T282" s="32"/>
      <c r="U282" s="32"/>
      <c r="V282" s="31"/>
      <c r="W282" s="40" t="str">
        <f aca="false">IF(OR($F282="",$J282=""),"",$F282+$J282)</f>
        <v/>
      </c>
      <c r="X282" s="32"/>
      <c r="Y282" s="34"/>
      <c r="Z282" s="31"/>
      <c r="AA282" s="31"/>
      <c r="AB282" s="32"/>
      <c r="AC282" s="31"/>
      <c r="AD282" s="32"/>
      <c r="AE282" s="31"/>
      <c r="AF282" s="41" t="str">
        <f aca="false">IF(OR($R282="",$S282=""),"",$S282-$R282)</f>
        <v/>
      </c>
      <c r="AG282" s="41" t="str">
        <f aca="false">IF(OR($S282="",$T282=""),"",$T282-$S282)</f>
        <v/>
      </c>
      <c r="AH282" s="41" t="str">
        <f aca="false">IF(OR($T282="",$U282=""),"",$U282-$T282)</f>
        <v/>
      </c>
      <c r="AI282" s="41" t="str">
        <f aca="false">IF(OR($R282="",$U282=""),"",$U282-$R282)</f>
        <v/>
      </c>
      <c r="AJ282" s="41" t="str">
        <f aca="false">IF(OR($U282="",$AB282=""),"",$AB282-$U282)</f>
        <v/>
      </c>
      <c r="AK282" s="41" t="str">
        <f aca="false">IF(OR($R282="",$AD282=""),"",$AD282-$R282)</f>
        <v/>
      </c>
      <c r="AL282" s="31"/>
      <c r="AM282" s="32"/>
      <c r="AN282" s="31"/>
    </row>
    <row r="283" customFormat="false" ht="15" hidden="false" customHeight="true" outlineLevel="0" collapsed="false">
      <c r="A283" s="38" t="str">
        <f aca="false">IF($B283="","",ROW()-3)</f>
        <v/>
      </c>
      <c r="B283" s="31"/>
      <c r="C283" s="31"/>
      <c r="D283" s="31"/>
      <c r="E283" s="31"/>
      <c r="F283" s="32"/>
      <c r="G283" s="32"/>
      <c r="H283" s="31"/>
      <c r="I283" s="31"/>
      <c r="J283" s="33"/>
      <c r="K283" s="34"/>
      <c r="L283" s="34"/>
      <c r="M283" s="34"/>
      <c r="N283" s="39" t="str">
        <f aca="false">IF($K283="","",$K283-N($L283)-N($M283))</f>
        <v/>
      </c>
      <c r="O283" s="31"/>
      <c r="P283" s="31"/>
      <c r="Q283" s="31"/>
      <c r="R283" s="32"/>
      <c r="S283" s="32"/>
      <c r="T283" s="32"/>
      <c r="U283" s="32"/>
      <c r="V283" s="31"/>
      <c r="W283" s="40" t="str">
        <f aca="false">IF(OR($F283="",$J283=""),"",$F283+$J283)</f>
        <v/>
      </c>
      <c r="X283" s="32"/>
      <c r="Y283" s="34"/>
      <c r="Z283" s="31"/>
      <c r="AA283" s="31"/>
      <c r="AB283" s="32"/>
      <c r="AC283" s="31"/>
      <c r="AD283" s="32"/>
      <c r="AE283" s="31"/>
      <c r="AF283" s="41" t="str">
        <f aca="false">IF(OR($R283="",$S283=""),"",$S283-$R283)</f>
        <v/>
      </c>
      <c r="AG283" s="41" t="str">
        <f aca="false">IF(OR($S283="",$T283=""),"",$T283-$S283)</f>
        <v/>
      </c>
      <c r="AH283" s="41" t="str">
        <f aca="false">IF(OR($T283="",$U283=""),"",$U283-$T283)</f>
        <v/>
      </c>
      <c r="AI283" s="41" t="str">
        <f aca="false">IF(OR($R283="",$U283=""),"",$U283-$R283)</f>
        <v/>
      </c>
      <c r="AJ283" s="41" t="str">
        <f aca="false">IF(OR($U283="",$AB283=""),"",$AB283-$U283)</f>
        <v/>
      </c>
      <c r="AK283" s="41" t="str">
        <f aca="false">IF(OR($R283="",$AD283=""),"",$AD283-$R283)</f>
        <v/>
      </c>
      <c r="AL283" s="31"/>
      <c r="AM283" s="32"/>
      <c r="AN283" s="31"/>
    </row>
    <row r="284" customFormat="false" ht="15" hidden="false" customHeight="true" outlineLevel="0" collapsed="false">
      <c r="A284" s="38" t="str">
        <f aca="false">IF($B284="","",ROW()-3)</f>
        <v/>
      </c>
      <c r="B284" s="31"/>
      <c r="C284" s="31"/>
      <c r="D284" s="31"/>
      <c r="E284" s="31"/>
      <c r="F284" s="32"/>
      <c r="G284" s="32"/>
      <c r="H284" s="31"/>
      <c r="I284" s="31"/>
      <c r="J284" s="33"/>
      <c r="K284" s="34"/>
      <c r="L284" s="34"/>
      <c r="M284" s="34"/>
      <c r="N284" s="39" t="str">
        <f aca="false">IF($K284="","",$K284-N($L284)-N($M284))</f>
        <v/>
      </c>
      <c r="O284" s="31"/>
      <c r="P284" s="31"/>
      <c r="Q284" s="31"/>
      <c r="R284" s="32"/>
      <c r="S284" s="32"/>
      <c r="T284" s="32"/>
      <c r="U284" s="32"/>
      <c r="V284" s="31"/>
      <c r="W284" s="40" t="str">
        <f aca="false">IF(OR($F284="",$J284=""),"",$F284+$J284)</f>
        <v/>
      </c>
      <c r="X284" s="32"/>
      <c r="Y284" s="34"/>
      <c r="Z284" s="31"/>
      <c r="AA284" s="31"/>
      <c r="AB284" s="32"/>
      <c r="AC284" s="31"/>
      <c r="AD284" s="32"/>
      <c r="AE284" s="31"/>
      <c r="AF284" s="41" t="str">
        <f aca="false">IF(OR($R284="",$S284=""),"",$S284-$R284)</f>
        <v/>
      </c>
      <c r="AG284" s="41" t="str">
        <f aca="false">IF(OR($S284="",$T284=""),"",$T284-$S284)</f>
        <v/>
      </c>
      <c r="AH284" s="41" t="str">
        <f aca="false">IF(OR($T284="",$U284=""),"",$U284-$T284)</f>
        <v/>
      </c>
      <c r="AI284" s="41" t="str">
        <f aca="false">IF(OR($R284="",$U284=""),"",$U284-$R284)</f>
        <v/>
      </c>
      <c r="AJ284" s="41" t="str">
        <f aca="false">IF(OR($U284="",$AB284=""),"",$AB284-$U284)</f>
        <v/>
      </c>
      <c r="AK284" s="41" t="str">
        <f aca="false">IF(OR($R284="",$AD284=""),"",$AD284-$R284)</f>
        <v/>
      </c>
      <c r="AL284" s="31"/>
      <c r="AM284" s="32"/>
      <c r="AN284" s="31"/>
    </row>
    <row r="285" customFormat="false" ht="15" hidden="false" customHeight="true" outlineLevel="0" collapsed="false">
      <c r="A285" s="38" t="str">
        <f aca="false">IF($B285="","",ROW()-3)</f>
        <v/>
      </c>
      <c r="B285" s="31"/>
      <c r="C285" s="31"/>
      <c r="D285" s="31"/>
      <c r="E285" s="31"/>
      <c r="F285" s="32"/>
      <c r="G285" s="32"/>
      <c r="H285" s="31"/>
      <c r="I285" s="31"/>
      <c r="J285" s="33"/>
      <c r="K285" s="34"/>
      <c r="L285" s="34"/>
      <c r="M285" s="34"/>
      <c r="N285" s="39" t="str">
        <f aca="false">IF($K285="","",$K285-N($L285)-N($M285))</f>
        <v/>
      </c>
      <c r="O285" s="31"/>
      <c r="P285" s="31"/>
      <c r="Q285" s="31"/>
      <c r="R285" s="32"/>
      <c r="S285" s="32"/>
      <c r="T285" s="32"/>
      <c r="U285" s="32"/>
      <c r="V285" s="31"/>
      <c r="W285" s="40" t="str">
        <f aca="false">IF(OR($F285="",$J285=""),"",$F285+$J285)</f>
        <v/>
      </c>
      <c r="X285" s="32"/>
      <c r="Y285" s="34"/>
      <c r="Z285" s="31"/>
      <c r="AA285" s="31"/>
      <c r="AB285" s="32"/>
      <c r="AC285" s="31"/>
      <c r="AD285" s="32"/>
      <c r="AE285" s="31"/>
      <c r="AF285" s="41" t="str">
        <f aca="false">IF(OR($R285="",$S285=""),"",$S285-$R285)</f>
        <v/>
      </c>
      <c r="AG285" s="41" t="str">
        <f aca="false">IF(OR($S285="",$T285=""),"",$T285-$S285)</f>
        <v/>
      </c>
      <c r="AH285" s="41" t="str">
        <f aca="false">IF(OR($T285="",$U285=""),"",$U285-$T285)</f>
        <v/>
      </c>
      <c r="AI285" s="41" t="str">
        <f aca="false">IF(OR($R285="",$U285=""),"",$U285-$R285)</f>
        <v/>
      </c>
      <c r="AJ285" s="41" t="str">
        <f aca="false">IF(OR($U285="",$AB285=""),"",$AB285-$U285)</f>
        <v/>
      </c>
      <c r="AK285" s="41" t="str">
        <f aca="false">IF(OR($R285="",$AD285=""),"",$AD285-$R285)</f>
        <v/>
      </c>
      <c r="AL285" s="31"/>
      <c r="AM285" s="32"/>
      <c r="AN285" s="31"/>
    </row>
    <row r="286" customFormat="false" ht="15" hidden="false" customHeight="true" outlineLevel="0" collapsed="false">
      <c r="A286" s="38" t="str">
        <f aca="false">IF($B286="","",ROW()-3)</f>
        <v/>
      </c>
      <c r="B286" s="31"/>
      <c r="C286" s="31"/>
      <c r="D286" s="31"/>
      <c r="E286" s="31"/>
      <c r="F286" s="32"/>
      <c r="G286" s="32"/>
      <c r="H286" s="31"/>
      <c r="I286" s="31"/>
      <c r="J286" s="33"/>
      <c r="K286" s="34"/>
      <c r="L286" s="34"/>
      <c r="M286" s="34"/>
      <c r="N286" s="39" t="str">
        <f aca="false">IF($K286="","",$K286-N($L286)-N($M286))</f>
        <v/>
      </c>
      <c r="O286" s="31"/>
      <c r="P286" s="31"/>
      <c r="Q286" s="31"/>
      <c r="R286" s="32"/>
      <c r="S286" s="32"/>
      <c r="T286" s="32"/>
      <c r="U286" s="32"/>
      <c r="V286" s="31"/>
      <c r="W286" s="40" t="str">
        <f aca="false">IF(OR($F286="",$J286=""),"",$F286+$J286)</f>
        <v/>
      </c>
      <c r="X286" s="32"/>
      <c r="Y286" s="34"/>
      <c r="Z286" s="31"/>
      <c r="AA286" s="31"/>
      <c r="AB286" s="32"/>
      <c r="AC286" s="31"/>
      <c r="AD286" s="32"/>
      <c r="AE286" s="31"/>
      <c r="AF286" s="41" t="str">
        <f aca="false">IF(OR($R286="",$S286=""),"",$S286-$R286)</f>
        <v/>
      </c>
      <c r="AG286" s="41" t="str">
        <f aca="false">IF(OR($S286="",$T286=""),"",$T286-$S286)</f>
        <v/>
      </c>
      <c r="AH286" s="41" t="str">
        <f aca="false">IF(OR($T286="",$U286=""),"",$U286-$T286)</f>
        <v/>
      </c>
      <c r="AI286" s="41" t="str">
        <f aca="false">IF(OR($R286="",$U286=""),"",$U286-$R286)</f>
        <v/>
      </c>
      <c r="AJ286" s="41" t="str">
        <f aca="false">IF(OR($U286="",$AB286=""),"",$AB286-$U286)</f>
        <v/>
      </c>
      <c r="AK286" s="41" t="str">
        <f aca="false">IF(OR($R286="",$AD286=""),"",$AD286-$R286)</f>
        <v/>
      </c>
      <c r="AL286" s="31"/>
      <c r="AM286" s="32"/>
      <c r="AN286" s="31"/>
    </row>
    <row r="287" customFormat="false" ht="15" hidden="false" customHeight="true" outlineLevel="0" collapsed="false">
      <c r="A287" s="38" t="str">
        <f aca="false">IF($B287="","",ROW()-3)</f>
        <v/>
      </c>
      <c r="B287" s="31"/>
      <c r="C287" s="31"/>
      <c r="D287" s="31"/>
      <c r="E287" s="31"/>
      <c r="F287" s="32"/>
      <c r="G287" s="32"/>
      <c r="H287" s="31"/>
      <c r="I287" s="31"/>
      <c r="J287" s="33"/>
      <c r="K287" s="34"/>
      <c r="L287" s="34"/>
      <c r="M287" s="34"/>
      <c r="N287" s="39" t="str">
        <f aca="false">IF($K287="","",$K287-N($L287)-N($M287))</f>
        <v/>
      </c>
      <c r="O287" s="31"/>
      <c r="P287" s="31"/>
      <c r="Q287" s="31"/>
      <c r="R287" s="32"/>
      <c r="S287" s="32"/>
      <c r="T287" s="32"/>
      <c r="U287" s="32"/>
      <c r="V287" s="31"/>
      <c r="W287" s="40" t="str">
        <f aca="false">IF(OR($F287="",$J287=""),"",$F287+$J287)</f>
        <v/>
      </c>
      <c r="X287" s="32"/>
      <c r="Y287" s="34"/>
      <c r="Z287" s="31"/>
      <c r="AA287" s="31"/>
      <c r="AB287" s="32"/>
      <c r="AC287" s="31"/>
      <c r="AD287" s="32"/>
      <c r="AE287" s="31"/>
      <c r="AF287" s="41" t="str">
        <f aca="false">IF(OR($R287="",$S287=""),"",$S287-$R287)</f>
        <v/>
      </c>
      <c r="AG287" s="41" t="str">
        <f aca="false">IF(OR($S287="",$T287=""),"",$T287-$S287)</f>
        <v/>
      </c>
      <c r="AH287" s="41" t="str">
        <f aca="false">IF(OR($T287="",$U287=""),"",$U287-$T287)</f>
        <v/>
      </c>
      <c r="AI287" s="41" t="str">
        <f aca="false">IF(OR($R287="",$U287=""),"",$U287-$R287)</f>
        <v/>
      </c>
      <c r="AJ287" s="41" t="str">
        <f aca="false">IF(OR($U287="",$AB287=""),"",$AB287-$U287)</f>
        <v/>
      </c>
      <c r="AK287" s="41" t="str">
        <f aca="false">IF(OR($R287="",$AD287=""),"",$AD287-$R287)</f>
        <v/>
      </c>
      <c r="AL287" s="31"/>
      <c r="AM287" s="32"/>
      <c r="AN287" s="31"/>
    </row>
    <row r="288" customFormat="false" ht="15" hidden="false" customHeight="true" outlineLevel="0" collapsed="false">
      <c r="A288" s="38" t="str">
        <f aca="false">IF($B288="","",ROW()-3)</f>
        <v/>
      </c>
      <c r="B288" s="31"/>
      <c r="C288" s="31"/>
      <c r="D288" s="31"/>
      <c r="E288" s="31"/>
      <c r="F288" s="32"/>
      <c r="G288" s="32"/>
      <c r="H288" s="31"/>
      <c r="I288" s="31"/>
      <c r="J288" s="33"/>
      <c r="K288" s="34"/>
      <c r="L288" s="34"/>
      <c r="M288" s="34"/>
      <c r="N288" s="39" t="str">
        <f aca="false">IF($K288="","",$K288-N($L288)-N($M288))</f>
        <v/>
      </c>
      <c r="O288" s="31"/>
      <c r="P288" s="31"/>
      <c r="Q288" s="31"/>
      <c r="R288" s="32"/>
      <c r="S288" s="32"/>
      <c r="T288" s="32"/>
      <c r="U288" s="32"/>
      <c r="V288" s="31"/>
      <c r="W288" s="40" t="str">
        <f aca="false">IF(OR($F288="",$J288=""),"",$F288+$J288)</f>
        <v/>
      </c>
      <c r="X288" s="32"/>
      <c r="Y288" s="34"/>
      <c r="Z288" s="31"/>
      <c r="AA288" s="31"/>
      <c r="AB288" s="32"/>
      <c r="AC288" s="31"/>
      <c r="AD288" s="32"/>
      <c r="AE288" s="31"/>
      <c r="AF288" s="41" t="str">
        <f aca="false">IF(OR($R288="",$S288=""),"",$S288-$R288)</f>
        <v/>
      </c>
      <c r="AG288" s="41" t="str">
        <f aca="false">IF(OR($S288="",$T288=""),"",$T288-$S288)</f>
        <v/>
      </c>
      <c r="AH288" s="41" t="str">
        <f aca="false">IF(OR($T288="",$U288=""),"",$U288-$T288)</f>
        <v/>
      </c>
      <c r="AI288" s="41" t="str">
        <f aca="false">IF(OR($R288="",$U288=""),"",$U288-$R288)</f>
        <v/>
      </c>
      <c r="AJ288" s="41" t="str">
        <f aca="false">IF(OR($U288="",$AB288=""),"",$AB288-$U288)</f>
        <v/>
      </c>
      <c r="AK288" s="41" t="str">
        <f aca="false">IF(OR($R288="",$AD288=""),"",$AD288-$R288)</f>
        <v/>
      </c>
      <c r="AL288" s="31"/>
      <c r="AM288" s="32"/>
      <c r="AN288" s="31"/>
    </row>
    <row r="289" customFormat="false" ht="15" hidden="false" customHeight="true" outlineLevel="0" collapsed="false">
      <c r="A289" s="38" t="str">
        <f aca="false">IF($B289="","",ROW()-3)</f>
        <v/>
      </c>
      <c r="B289" s="31"/>
      <c r="C289" s="31"/>
      <c r="D289" s="31"/>
      <c r="E289" s="31"/>
      <c r="F289" s="32"/>
      <c r="G289" s="32"/>
      <c r="H289" s="31"/>
      <c r="I289" s="31"/>
      <c r="J289" s="33"/>
      <c r="K289" s="34"/>
      <c r="L289" s="34"/>
      <c r="M289" s="34"/>
      <c r="N289" s="39" t="str">
        <f aca="false">IF($K289="","",$K289-N($L289)-N($M289))</f>
        <v/>
      </c>
      <c r="O289" s="31"/>
      <c r="P289" s="31"/>
      <c r="Q289" s="31"/>
      <c r="R289" s="32"/>
      <c r="S289" s="32"/>
      <c r="T289" s="32"/>
      <c r="U289" s="32"/>
      <c r="V289" s="31"/>
      <c r="W289" s="40" t="str">
        <f aca="false">IF(OR($F289="",$J289=""),"",$F289+$J289)</f>
        <v/>
      </c>
      <c r="X289" s="32"/>
      <c r="Y289" s="34"/>
      <c r="Z289" s="31"/>
      <c r="AA289" s="31"/>
      <c r="AB289" s="32"/>
      <c r="AC289" s="31"/>
      <c r="AD289" s="32"/>
      <c r="AE289" s="31"/>
      <c r="AF289" s="41" t="str">
        <f aca="false">IF(OR($R289="",$S289=""),"",$S289-$R289)</f>
        <v/>
      </c>
      <c r="AG289" s="41" t="str">
        <f aca="false">IF(OR($S289="",$T289=""),"",$T289-$S289)</f>
        <v/>
      </c>
      <c r="AH289" s="41" t="str">
        <f aca="false">IF(OR($T289="",$U289=""),"",$U289-$T289)</f>
        <v/>
      </c>
      <c r="AI289" s="41" t="str">
        <f aca="false">IF(OR($R289="",$U289=""),"",$U289-$R289)</f>
        <v/>
      </c>
      <c r="AJ289" s="41" t="str">
        <f aca="false">IF(OR($U289="",$AB289=""),"",$AB289-$U289)</f>
        <v/>
      </c>
      <c r="AK289" s="41" t="str">
        <f aca="false">IF(OR($R289="",$AD289=""),"",$AD289-$R289)</f>
        <v/>
      </c>
      <c r="AL289" s="31"/>
      <c r="AM289" s="32"/>
      <c r="AN289" s="31"/>
    </row>
    <row r="290" customFormat="false" ht="15" hidden="false" customHeight="true" outlineLevel="0" collapsed="false">
      <c r="A290" s="38" t="str">
        <f aca="false">IF($B290="","",ROW()-3)</f>
        <v/>
      </c>
      <c r="B290" s="31"/>
      <c r="C290" s="31"/>
      <c r="D290" s="31"/>
      <c r="E290" s="31"/>
      <c r="F290" s="32"/>
      <c r="G290" s="32"/>
      <c r="H290" s="31"/>
      <c r="I290" s="31"/>
      <c r="J290" s="33"/>
      <c r="K290" s="34"/>
      <c r="L290" s="34"/>
      <c r="M290" s="34"/>
      <c r="N290" s="39" t="str">
        <f aca="false">IF($K290="","",$K290-N($L290)-N($M290))</f>
        <v/>
      </c>
      <c r="O290" s="31"/>
      <c r="P290" s="31"/>
      <c r="Q290" s="31"/>
      <c r="R290" s="32"/>
      <c r="S290" s="32"/>
      <c r="T290" s="32"/>
      <c r="U290" s="32"/>
      <c r="V290" s="31"/>
      <c r="W290" s="40" t="str">
        <f aca="false">IF(OR($F290="",$J290=""),"",$F290+$J290)</f>
        <v/>
      </c>
      <c r="X290" s="32"/>
      <c r="Y290" s="34"/>
      <c r="Z290" s="31"/>
      <c r="AA290" s="31"/>
      <c r="AB290" s="32"/>
      <c r="AC290" s="31"/>
      <c r="AD290" s="32"/>
      <c r="AE290" s="31"/>
      <c r="AF290" s="41" t="str">
        <f aca="false">IF(OR($R290="",$S290=""),"",$S290-$R290)</f>
        <v/>
      </c>
      <c r="AG290" s="41" t="str">
        <f aca="false">IF(OR($S290="",$T290=""),"",$T290-$S290)</f>
        <v/>
      </c>
      <c r="AH290" s="41" t="str">
        <f aca="false">IF(OR($T290="",$U290=""),"",$U290-$T290)</f>
        <v/>
      </c>
      <c r="AI290" s="41" t="str">
        <f aca="false">IF(OR($R290="",$U290=""),"",$U290-$R290)</f>
        <v/>
      </c>
      <c r="AJ290" s="41" t="str">
        <f aca="false">IF(OR($U290="",$AB290=""),"",$AB290-$U290)</f>
        <v/>
      </c>
      <c r="AK290" s="41" t="str">
        <f aca="false">IF(OR($R290="",$AD290=""),"",$AD290-$R290)</f>
        <v/>
      </c>
      <c r="AL290" s="31"/>
      <c r="AM290" s="32"/>
      <c r="AN290" s="31"/>
    </row>
    <row r="291" customFormat="false" ht="15" hidden="false" customHeight="true" outlineLevel="0" collapsed="false">
      <c r="A291" s="38" t="str">
        <f aca="false">IF($B291="","",ROW()-3)</f>
        <v/>
      </c>
      <c r="B291" s="31"/>
      <c r="C291" s="31"/>
      <c r="D291" s="31"/>
      <c r="E291" s="31"/>
      <c r="F291" s="32"/>
      <c r="G291" s="32"/>
      <c r="H291" s="31"/>
      <c r="I291" s="31"/>
      <c r="J291" s="33"/>
      <c r="K291" s="34"/>
      <c r="L291" s="34"/>
      <c r="M291" s="34"/>
      <c r="N291" s="39" t="str">
        <f aca="false">IF($K291="","",$K291-N($L291)-N($M291))</f>
        <v/>
      </c>
      <c r="O291" s="31"/>
      <c r="P291" s="31"/>
      <c r="Q291" s="31"/>
      <c r="R291" s="32"/>
      <c r="S291" s="32"/>
      <c r="T291" s="32"/>
      <c r="U291" s="32"/>
      <c r="V291" s="31"/>
      <c r="W291" s="40" t="str">
        <f aca="false">IF(OR($F291="",$J291=""),"",$F291+$J291)</f>
        <v/>
      </c>
      <c r="X291" s="32"/>
      <c r="Y291" s="34"/>
      <c r="Z291" s="31"/>
      <c r="AA291" s="31"/>
      <c r="AB291" s="32"/>
      <c r="AC291" s="31"/>
      <c r="AD291" s="32"/>
      <c r="AE291" s="31"/>
      <c r="AF291" s="41" t="str">
        <f aca="false">IF(OR($R291="",$S291=""),"",$S291-$R291)</f>
        <v/>
      </c>
      <c r="AG291" s="41" t="str">
        <f aca="false">IF(OR($S291="",$T291=""),"",$T291-$S291)</f>
        <v/>
      </c>
      <c r="AH291" s="41" t="str">
        <f aca="false">IF(OR($T291="",$U291=""),"",$U291-$T291)</f>
        <v/>
      </c>
      <c r="AI291" s="41" t="str">
        <f aca="false">IF(OR($R291="",$U291=""),"",$U291-$R291)</f>
        <v/>
      </c>
      <c r="AJ291" s="41" t="str">
        <f aca="false">IF(OR($U291="",$AB291=""),"",$AB291-$U291)</f>
        <v/>
      </c>
      <c r="AK291" s="41" t="str">
        <f aca="false">IF(OR($R291="",$AD291=""),"",$AD291-$R291)</f>
        <v/>
      </c>
      <c r="AL291" s="31"/>
      <c r="AM291" s="32"/>
      <c r="AN291" s="31"/>
    </row>
    <row r="292" customFormat="false" ht="15" hidden="false" customHeight="true" outlineLevel="0" collapsed="false">
      <c r="A292" s="38" t="str">
        <f aca="false">IF($B292="","",ROW()-3)</f>
        <v/>
      </c>
      <c r="B292" s="31"/>
      <c r="C292" s="31"/>
      <c r="D292" s="31"/>
      <c r="E292" s="31"/>
      <c r="F292" s="32"/>
      <c r="G292" s="32"/>
      <c r="H292" s="31"/>
      <c r="I292" s="31"/>
      <c r="J292" s="33"/>
      <c r="K292" s="34"/>
      <c r="L292" s="34"/>
      <c r="M292" s="34"/>
      <c r="N292" s="39" t="str">
        <f aca="false">IF($K292="","",$K292-N($L292)-N($M292))</f>
        <v/>
      </c>
      <c r="O292" s="31"/>
      <c r="P292" s="31"/>
      <c r="Q292" s="31"/>
      <c r="R292" s="32"/>
      <c r="S292" s="32"/>
      <c r="T292" s="32"/>
      <c r="U292" s="32"/>
      <c r="V292" s="31"/>
      <c r="W292" s="40" t="str">
        <f aca="false">IF(OR($F292="",$J292=""),"",$F292+$J292)</f>
        <v/>
      </c>
      <c r="X292" s="32"/>
      <c r="Y292" s="34"/>
      <c r="Z292" s="31"/>
      <c r="AA292" s="31"/>
      <c r="AB292" s="32"/>
      <c r="AC292" s="31"/>
      <c r="AD292" s="32"/>
      <c r="AE292" s="31"/>
      <c r="AF292" s="41" t="str">
        <f aca="false">IF(OR($R292="",$S292=""),"",$S292-$R292)</f>
        <v/>
      </c>
      <c r="AG292" s="41" t="str">
        <f aca="false">IF(OR($S292="",$T292=""),"",$T292-$S292)</f>
        <v/>
      </c>
      <c r="AH292" s="41" t="str">
        <f aca="false">IF(OR($T292="",$U292=""),"",$U292-$T292)</f>
        <v/>
      </c>
      <c r="AI292" s="41" t="str">
        <f aca="false">IF(OR($R292="",$U292=""),"",$U292-$R292)</f>
        <v/>
      </c>
      <c r="AJ292" s="41" t="str">
        <f aca="false">IF(OR($U292="",$AB292=""),"",$AB292-$U292)</f>
        <v/>
      </c>
      <c r="AK292" s="41" t="str">
        <f aca="false">IF(OR($R292="",$AD292=""),"",$AD292-$R292)</f>
        <v/>
      </c>
      <c r="AL292" s="31"/>
      <c r="AM292" s="32"/>
      <c r="AN292" s="31"/>
    </row>
    <row r="293" customFormat="false" ht="15" hidden="false" customHeight="true" outlineLevel="0" collapsed="false">
      <c r="A293" s="38" t="str">
        <f aca="false">IF($B293="","",ROW()-3)</f>
        <v/>
      </c>
      <c r="B293" s="31"/>
      <c r="C293" s="31"/>
      <c r="D293" s="31"/>
      <c r="E293" s="31"/>
      <c r="F293" s="32"/>
      <c r="G293" s="32"/>
      <c r="H293" s="31"/>
      <c r="I293" s="31"/>
      <c r="J293" s="33"/>
      <c r="K293" s="34"/>
      <c r="L293" s="34"/>
      <c r="M293" s="34"/>
      <c r="N293" s="39" t="str">
        <f aca="false">IF($K293="","",$K293-N($L293)-N($M293))</f>
        <v/>
      </c>
      <c r="O293" s="31"/>
      <c r="P293" s="31"/>
      <c r="Q293" s="31"/>
      <c r="R293" s="32"/>
      <c r="S293" s="32"/>
      <c r="T293" s="32"/>
      <c r="U293" s="32"/>
      <c r="V293" s="31"/>
      <c r="W293" s="40" t="str">
        <f aca="false">IF(OR($F293="",$J293=""),"",$F293+$J293)</f>
        <v/>
      </c>
      <c r="X293" s="32"/>
      <c r="Y293" s="34"/>
      <c r="Z293" s="31"/>
      <c r="AA293" s="31"/>
      <c r="AB293" s="32"/>
      <c r="AC293" s="31"/>
      <c r="AD293" s="32"/>
      <c r="AE293" s="31"/>
      <c r="AF293" s="41" t="str">
        <f aca="false">IF(OR($R293="",$S293=""),"",$S293-$R293)</f>
        <v/>
      </c>
      <c r="AG293" s="41" t="str">
        <f aca="false">IF(OR($S293="",$T293=""),"",$T293-$S293)</f>
        <v/>
      </c>
      <c r="AH293" s="41" t="str">
        <f aca="false">IF(OR($T293="",$U293=""),"",$U293-$T293)</f>
        <v/>
      </c>
      <c r="AI293" s="41" t="str">
        <f aca="false">IF(OR($R293="",$U293=""),"",$U293-$R293)</f>
        <v/>
      </c>
      <c r="AJ293" s="41" t="str">
        <f aca="false">IF(OR($U293="",$AB293=""),"",$AB293-$U293)</f>
        <v/>
      </c>
      <c r="AK293" s="41" t="str">
        <f aca="false">IF(OR($R293="",$AD293=""),"",$AD293-$R293)</f>
        <v/>
      </c>
      <c r="AL293" s="31"/>
      <c r="AM293" s="32"/>
      <c r="AN293" s="31"/>
    </row>
    <row r="294" customFormat="false" ht="15" hidden="false" customHeight="true" outlineLevel="0" collapsed="false">
      <c r="A294" s="38" t="str">
        <f aca="false">IF($B294="","",ROW()-3)</f>
        <v/>
      </c>
      <c r="B294" s="31"/>
      <c r="C294" s="31"/>
      <c r="D294" s="31"/>
      <c r="E294" s="31"/>
      <c r="F294" s="32"/>
      <c r="G294" s="32"/>
      <c r="H294" s="31"/>
      <c r="I294" s="31"/>
      <c r="J294" s="33"/>
      <c r="K294" s="34"/>
      <c r="L294" s="34"/>
      <c r="M294" s="34"/>
      <c r="N294" s="39" t="str">
        <f aca="false">IF($K294="","",$K294-N($L294)-N($M294))</f>
        <v/>
      </c>
      <c r="O294" s="31"/>
      <c r="P294" s="31"/>
      <c r="Q294" s="31"/>
      <c r="R294" s="32"/>
      <c r="S294" s="32"/>
      <c r="T294" s="32"/>
      <c r="U294" s="32"/>
      <c r="V294" s="31"/>
      <c r="W294" s="40" t="str">
        <f aca="false">IF(OR($F294="",$J294=""),"",$F294+$J294)</f>
        <v/>
      </c>
      <c r="X294" s="32"/>
      <c r="Y294" s="34"/>
      <c r="Z294" s="31"/>
      <c r="AA294" s="31"/>
      <c r="AB294" s="32"/>
      <c r="AC294" s="31"/>
      <c r="AD294" s="32"/>
      <c r="AE294" s="31"/>
      <c r="AF294" s="41" t="str">
        <f aca="false">IF(OR($R294="",$S294=""),"",$S294-$R294)</f>
        <v/>
      </c>
      <c r="AG294" s="41" t="str">
        <f aca="false">IF(OR($S294="",$T294=""),"",$T294-$S294)</f>
        <v/>
      </c>
      <c r="AH294" s="41" t="str">
        <f aca="false">IF(OR($T294="",$U294=""),"",$U294-$T294)</f>
        <v/>
      </c>
      <c r="AI294" s="41" t="str">
        <f aca="false">IF(OR($R294="",$U294=""),"",$U294-$R294)</f>
        <v/>
      </c>
      <c r="AJ294" s="41" t="str">
        <f aca="false">IF(OR($U294="",$AB294=""),"",$AB294-$U294)</f>
        <v/>
      </c>
      <c r="AK294" s="41" t="str">
        <f aca="false">IF(OR($R294="",$AD294=""),"",$AD294-$R294)</f>
        <v/>
      </c>
      <c r="AL294" s="31"/>
      <c r="AM294" s="32"/>
      <c r="AN294" s="31"/>
    </row>
    <row r="295" customFormat="false" ht="15" hidden="false" customHeight="true" outlineLevel="0" collapsed="false">
      <c r="A295" s="38" t="str">
        <f aca="false">IF($B295="","",ROW()-3)</f>
        <v/>
      </c>
      <c r="B295" s="31"/>
      <c r="C295" s="31"/>
      <c r="D295" s="31"/>
      <c r="E295" s="31"/>
      <c r="F295" s="32"/>
      <c r="G295" s="32"/>
      <c r="H295" s="31"/>
      <c r="I295" s="31"/>
      <c r="J295" s="33"/>
      <c r="K295" s="34"/>
      <c r="L295" s="34"/>
      <c r="M295" s="34"/>
      <c r="N295" s="39" t="str">
        <f aca="false">IF($K295="","",$K295-N($L295)-N($M295))</f>
        <v/>
      </c>
      <c r="O295" s="31"/>
      <c r="P295" s="31"/>
      <c r="Q295" s="31"/>
      <c r="R295" s="32"/>
      <c r="S295" s="32"/>
      <c r="T295" s="32"/>
      <c r="U295" s="32"/>
      <c r="V295" s="31"/>
      <c r="W295" s="40" t="str">
        <f aca="false">IF(OR($F295="",$J295=""),"",$F295+$J295)</f>
        <v/>
      </c>
      <c r="X295" s="32"/>
      <c r="Y295" s="34"/>
      <c r="Z295" s="31"/>
      <c r="AA295" s="31"/>
      <c r="AB295" s="32"/>
      <c r="AC295" s="31"/>
      <c r="AD295" s="32"/>
      <c r="AE295" s="31"/>
      <c r="AF295" s="41" t="str">
        <f aca="false">IF(OR($R295="",$S295=""),"",$S295-$R295)</f>
        <v/>
      </c>
      <c r="AG295" s="41" t="str">
        <f aca="false">IF(OR($S295="",$T295=""),"",$T295-$S295)</f>
        <v/>
      </c>
      <c r="AH295" s="41" t="str">
        <f aca="false">IF(OR($T295="",$U295=""),"",$U295-$T295)</f>
        <v/>
      </c>
      <c r="AI295" s="41" t="str">
        <f aca="false">IF(OR($R295="",$U295=""),"",$U295-$R295)</f>
        <v/>
      </c>
      <c r="AJ295" s="41" t="str">
        <f aca="false">IF(OR($U295="",$AB295=""),"",$AB295-$U295)</f>
        <v/>
      </c>
      <c r="AK295" s="41" t="str">
        <f aca="false">IF(OR($R295="",$AD295=""),"",$AD295-$R295)</f>
        <v/>
      </c>
      <c r="AL295" s="31"/>
      <c r="AM295" s="32"/>
      <c r="AN295" s="31"/>
    </row>
    <row r="296" customFormat="false" ht="15" hidden="false" customHeight="true" outlineLevel="0" collapsed="false">
      <c r="A296" s="38" t="str">
        <f aca="false">IF($B296="","",ROW()-3)</f>
        <v/>
      </c>
      <c r="B296" s="31"/>
      <c r="C296" s="31"/>
      <c r="D296" s="31"/>
      <c r="E296" s="31"/>
      <c r="F296" s="32"/>
      <c r="G296" s="32"/>
      <c r="H296" s="31"/>
      <c r="I296" s="31"/>
      <c r="J296" s="33"/>
      <c r="K296" s="34"/>
      <c r="L296" s="34"/>
      <c r="M296" s="34"/>
      <c r="N296" s="39" t="str">
        <f aca="false">IF($K296="","",$K296-N($L296)-N($M296))</f>
        <v/>
      </c>
      <c r="O296" s="31"/>
      <c r="P296" s="31"/>
      <c r="Q296" s="31"/>
      <c r="R296" s="32"/>
      <c r="S296" s="32"/>
      <c r="T296" s="32"/>
      <c r="U296" s="32"/>
      <c r="V296" s="31"/>
      <c r="W296" s="40" t="str">
        <f aca="false">IF(OR($F296="",$J296=""),"",$F296+$J296)</f>
        <v/>
      </c>
      <c r="X296" s="32"/>
      <c r="Y296" s="34"/>
      <c r="Z296" s="31"/>
      <c r="AA296" s="31"/>
      <c r="AB296" s="32"/>
      <c r="AC296" s="31"/>
      <c r="AD296" s="32"/>
      <c r="AE296" s="31"/>
      <c r="AF296" s="41" t="str">
        <f aca="false">IF(OR($R296="",$S296=""),"",$S296-$R296)</f>
        <v/>
      </c>
      <c r="AG296" s="41" t="str">
        <f aca="false">IF(OR($S296="",$T296=""),"",$T296-$S296)</f>
        <v/>
      </c>
      <c r="AH296" s="41" t="str">
        <f aca="false">IF(OR($T296="",$U296=""),"",$U296-$T296)</f>
        <v/>
      </c>
      <c r="AI296" s="41" t="str">
        <f aca="false">IF(OR($R296="",$U296=""),"",$U296-$R296)</f>
        <v/>
      </c>
      <c r="AJ296" s="41" t="str">
        <f aca="false">IF(OR($U296="",$AB296=""),"",$AB296-$U296)</f>
        <v/>
      </c>
      <c r="AK296" s="41" t="str">
        <f aca="false">IF(OR($R296="",$AD296=""),"",$AD296-$R296)</f>
        <v/>
      </c>
      <c r="AL296" s="31"/>
      <c r="AM296" s="32"/>
      <c r="AN296" s="31"/>
    </row>
    <row r="297" customFormat="false" ht="15" hidden="false" customHeight="true" outlineLevel="0" collapsed="false">
      <c r="A297" s="38" t="str">
        <f aca="false">IF($B297="","",ROW()-3)</f>
        <v/>
      </c>
      <c r="B297" s="31"/>
      <c r="C297" s="31"/>
      <c r="D297" s="31"/>
      <c r="E297" s="31"/>
      <c r="F297" s="32"/>
      <c r="G297" s="32"/>
      <c r="H297" s="31"/>
      <c r="I297" s="31"/>
      <c r="J297" s="33"/>
      <c r="K297" s="34"/>
      <c r="L297" s="34"/>
      <c r="M297" s="34"/>
      <c r="N297" s="39" t="str">
        <f aca="false">IF($K297="","",$K297-N($L297)-N($M297))</f>
        <v/>
      </c>
      <c r="O297" s="31"/>
      <c r="P297" s="31"/>
      <c r="Q297" s="31"/>
      <c r="R297" s="32"/>
      <c r="S297" s="32"/>
      <c r="T297" s="32"/>
      <c r="U297" s="32"/>
      <c r="V297" s="31"/>
      <c r="W297" s="40" t="str">
        <f aca="false">IF(OR($F297="",$J297=""),"",$F297+$J297)</f>
        <v/>
      </c>
      <c r="X297" s="32"/>
      <c r="Y297" s="34"/>
      <c r="Z297" s="31"/>
      <c r="AA297" s="31"/>
      <c r="AB297" s="32"/>
      <c r="AC297" s="31"/>
      <c r="AD297" s="32"/>
      <c r="AE297" s="31"/>
      <c r="AF297" s="41" t="str">
        <f aca="false">IF(OR($R297="",$S297=""),"",$S297-$R297)</f>
        <v/>
      </c>
      <c r="AG297" s="41" t="str">
        <f aca="false">IF(OR($S297="",$T297=""),"",$T297-$S297)</f>
        <v/>
      </c>
      <c r="AH297" s="41" t="str">
        <f aca="false">IF(OR($T297="",$U297=""),"",$U297-$T297)</f>
        <v/>
      </c>
      <c r="AI297" s="41" t="str">
        <f aca="false">IF(OR($R297="",$U297=""),"",$U297-$R297)</f>
        <v/>
      </c>
      <c r="AJ297" s="41" t="str">
        <f aca="false">IF(OR($U297="",$AB297=""),"",$AB297-$U297)</f>
        <v/>
      </c>
      <c r="AK297" s="41" t="str">
        <f aca="false">IF(OR($R297="",$AD297=""),"",$AD297-$R297)</f>
        <v/>
      </c>
      <c r="AL297" s="31"/>
      <c r="AM297" s="32"/>
      <c r="AN297" s="31"/>
    </row>
    <row r="298" customFormat="false" ht="15" hidden="false" customHeight="true" outlineLevel="0" collapsed="false">
      <c r="A298" s="38" t="str">
        <f aca="false">IF($B298="","",ROW()-3)</f>
        <v/>
      </c>
      <c r="B298" s="31"/>
      <c r="C298" s="31"/>
      <c r="D298" s="31"/>
      <c r="E298" s="31"/>
      <c r="F298" s="32"/>
      <c r="G298" s="32"/>
      <c r="H298" s="31"/>
      <c r="I298" s="31"/>
      <c r="J298" s="33"/>
      <c r="K298" s="34"/>
      <c r="L298" s="34"/>
      <c r="M298" s="34"/>
      <c r="N298" s="39" t="str">
        <f aca="false">IF($K298="","",$K298-N($L298)-N($M298))</f>
        <v/>
      </c>
      <c r="O298" s="31"/>
      <c r="P298" s="31"/>
      <c r="Q298" s="31"/>
      <c r="R298" s="32"/>
      <c r="S298" s="32"/>
      <c r="T298" s="32"/>
      <c r="U298" s="32"/>
      <c r="V298" s="31"/>
      <c r="W298" s="40" t="str">
        <f aca="false">IF(OR($F298="",$J298=""),"",$F298+$J298)</f>
        <v/>
      </c>
      <c r="X298" s="32"/>
      <c r="Y298" s="34"/>
      <c r="Z298" s="31"/>
      <c r="AA298" s="31"/>
      <c r="AB298" s="32"/>
      <c r="AC298" s="31"/>
      <c r="AD298" s="32"/>
      <c r="AE298" s="31"/>
      <c r="AF298" s="41" t="str">
        <f aca="false">IF(OR($R298="",$S298=""),"",$S298-$R298)</f>
        <v/>
      </c>
      <c r="AG298" s="41" t="str">
        <f aca="false">IF(OR($S298="",$T298=""),"",$T298-$S298)</f>
        <v/>
      </c>
      <c r="AH298" s="41" t="str">
        <f aca="false">IF(OR($T298="",$U298=""),"",$U298-$T298)</f>
        <v/>
      </c>
      <c r="AI298" s="41" t="str">
        <f aca="false">IF(OR($R298="",$U298=""),"",$U298-$R298)</f>
        <v/>
      </c>
      <c r="AJ298" s="41" t="str">
        <f aca="false">IF(OR($U298="",$AB298=""),"",$AB298-$U298)</f>
        <v/>
      </c>
      <c r="AK298" s="41" t="str">
        <f aca="false">IF(OR($R298="",$AD298=""),"",$AD298-$R298)</f>
        <v/>
      </c>
      <c r="AL298" s="31"/>
      <c r="AM298" s="32"/>
      <c r="AN298" s="31"/>
    </row>
    <row r="299" customFormat="false" ht="15" hidden="false" customHeight="true" outlineLevel="0" collapsed="false">
      <c r="A299" s="38" t="str">
        <f aca="false">IF($B299="","",ROW()-3)</f>
        <v/>
      </c>
      <c r="B299" s="31"/>
      <c r="C299" s="31"/>
      <c r="D299" s="31"/>
      <c r="E299" s="31"/>
      <c r="F299" s="32"/>
      <c r="G299" s="32"/>
      <c r="H299" s="31"/>
      <c r="I299" s="31"/>
      <c r="J299" s="33"/>
      <c r="K299" s="34"/>
      <c r="L299" s="34"/>
      <c r="M299" s="34"/>
      <c r="N299" s="39" t="str">
        <f aca="false">IF($K299="","",$K299-N($L299)-N($M299))</f>
        <v/>
      </c>
      <c r="O299" s="31"/>
      <c r="P299" s="31"/>
      <c r="Q299" s="31"/>
      <c r="R299" s="32"/>
      <c r="S299" s="32"/>
      <c r="T299" s="32"/>
      <c r="U299" s="32"/>
      <c r="V299" s="31"/>
      <c r="W299" s="40" t="str">
        <f aca="false">IF(OR($F299="",$J299=""),"",$F299+$J299)</f>
        <v/>
      </c>
      <c r="X299" s="32"/>
      <c r="Y299" s="34"/>
      <c r="Z299" s="31"/>
      <c r="AA299" s="31"/>
      <c r="AB299" s="32"/>
      <c r="AC299" s="31"/>
      <c r="AD299" s="32"/>
      <c r="AE299" s="31"/>
      <c r="AF299" s="41" t="str">
        <f aca="false">IF(OR($R299="",$S299=""),"",$S299-$R299)</f>
        <v/>
      </c>
      <c r="AG299" s="41" t="str">
        <f aca="false">IF(OR($S299="",$T299=""),"",$T299-$S299)</f>
        <v/>
      </c>
      <c r="AH299" s="41" t="str">
        <f aca="false">IF(OR($T299="",$U299=""),"",$U299-$T299)</f>
        <v/>
      </c>
      <c r="AI299" s="41" t="str">
        <f aca="false">IF(OR($R299="",$U299=""),"",$U299-$R299)</f>
        <v/>
      </c>
      <c r="AJ299" s="41" t="str">
        <f aca="false">IF(OR($U299="",$AB299=""),"",$AB299-$U299)</f>
        <v/>
      </c>
      <c r="AK299" s="41" t="str">
        <f aca="false">IF(OR($R299="",$AD299=""),"",$AD299-$R299)</f>
        <v/>
      </c>
      <c r="AL299" s="31"/>
      <c r="AM299" s="32"/>
      <c r="AN299" s="31"/>
    </row>
    <row r="300" customFormat="false" ht="15" hidden="false" customHeight="true" outlineLevel="0" collapsed="false">
      <c r="A300" s="38" t="str">
        <f aca="false">IF($B300="","",ROW()-3)</f>
        <v/>
      </c>
      <c r="B300" s="31"/>
      <c r="C300" s="31"/>
      <c r="D300" s="31"/>
      <c r="E300" s="31"/>
      <c r="F300" s="32"/>
      <c r="G300" s="32"/>
      <c r="H300" s="31"/>
      <c r="I300" s="31"/>
      <c r="J300" s="33"/>
      <c r="K300" s="34"/>
      <c r="L300" s="34"/>
      <c r="M300" s="34"/>
      <c r="N300" s="39" t="str">
        <f aca="false">IF($K300="","",$K300-N($L300)-N($M300))</f>
        <v/>
      </c>
      <c r="O300" s="31"/>
      <c r="P300" s="31"/>
      <c r="Q300" s="31"/>
      <c r="R300" s="32"/>
      <c r="S300" s="32"/>
      <c r="T300" s="32"/>
      <c r="U300" s="32"/>
      <c r="V300" s="31"/>
      <c r="W300" s="40" t="str">
        <f aca="false">IF(OR($F300="",$J300=""),"",$F300+$J300)</f>
        <v/>
      </c>
      <c r="X300" s="32"/>
      <c r="Y300" s="34"/>
      <c r="Z300" s="31"/>
      <c r="AA300" s="31"/>
      <c r="AB300" s="32"/>
      <c r="AC300" s="31"/>
      <c r="AD300" s="32"/>
      <c r="AE300" s="31"/>
      <c r="AF300" s="41" t="str">
        <f aca="false">IF(OR($R300="",$S300=""),"",$S300-$R300)</f>
        <v/>
      </c>
      <c r="AG300" s="41" t="str">
        <f aca="false">IF(OR($S300="",$T300=""),"",$T300-$S300)</f>
        <v/>
      </c>
      <c r="AH300" s="41" t="str">
        <f aca="false">IF(OR($T300="",$U300=""),"",$U300-$T300)</f>
        <v/>
      </c>
      <c r="AI300" s="41" t="str">
        <f aca="false">IF(OR($R300="",$U300=""),"",$U300-$R300)</f>
        <v/>
      </c>
      <c r="AJ300" s="41" t="str">
        <f aca="false">IF(OR($U300="",$AB300=""),"",$AB300-$U300)</f>
        <v/>
      </c>
      <c r="AK300" s="41" t="str">
        <f aca="false">IF(OR($R300="",$AD300=""),"",$AD300-$R300)</f>
        <v/>
      </c>
      <c r="AL300" s="31"/>
      <c r="AM300" s="32"/>
      <c r="AN300" s="31"/>
    </row>
    <row r="301" customFormat="false" ht="15" hidden="false" customHeight="true" outlineLevel="0" collapsed="false">
      <c r="A301" s="38" t="str">
        <f aca="false">IF($B301="","",ROW()-3)</f>
        <v/>
      </c>
      <c r="B301" s="31"/>
      <c r="C301" s="31"/>
      <c r="D301" s="31"/>
      <c r="E301" s="31"/>
      <c r="F301" s="32"/>
      <c r="G301" s="32"/>
      <c r="H301" s="31"/>
      <c r="I301" s="31"/>
      <c r="J301" s="33"/>
      <c r="K301" s="34"/>
      <c r="L301" s="34"/>
      <c r="M301" s="34"/>
      <c r="N301" s="39" t="str">
        <f aca="false">IF($K301="","",$K301-N($L301)-N($M301))</f>
        <v/>
      </c>
      <c r="O301" s="31"/>
      <c r="P301" s="31"/>
      <c r="Q301" s="31"/>
      <c r="R301" s="32"/>
      <c r="S301" s="32"/>
      <c r="T301" s="32"/>
      <c r="U301" s="32"/>
      <c r="V301" s="31"/>
      <c r="W301" s="40" t="str">
        <f aca="false">IF(OR($F301="",$J301=""),"",$F301+$J301)</f>
        <v/>
      </c>
      <c r="X301" s="32"/>
      <c r="Y301" s="34"/>
      <c r="Z301" s="31"/>
      <c r="AA301" s="31"/>
      <c r="AB301" s="32"/>
      <c r="AC301" s="31"/>
      <c r="AD301" s="32"/>
      <c r="AE301" s="31"/>
      <c r="AF301" s="41" t="str">
        <f aca="false">IF(OR($R301="",$S301=""),"",$S301-$R301)</f>
        <v/>
      </c>
      <c r="AG301" s="41" t="str">
        <f aca="false">IF(OR($S301="",$T301=""),"",$T301-$S301)</f>
        <v/>
      </c>
      <c r="AH301" s="41" t="str">
        <f aca="false">IF(OR($T301="",$U301=""),"",$U301-$T301)</f>
        <v/>
      </c>
      <c r="AI301" s="41" t="str">
        <f aca="false">IF(OR($R301="",$U301=""),"",$U301-$R301)</f>
        <v/>
      </c>
      <c r="AJ301" s="41" t="str">
        <f aca="false">IF(OR($U301="",$AB301=""),"",$AB301-$U301)</f>
        <v/>
      </c>
      <c r="AK301" s="41" t="str">
        <f aca="false">IF(OR($R301="",$AD301=""),"",$AD301-$R301)</f>
        <v/>
      </c>
      <c r="AL301" s="31"/>
      <c r="AM301" s="32"/>
      <c r="AN301" s="31"/>
    </row>
    <row r="302" customFormat="false" ht="15" hidden="false" customHeight="true" outlineLevel="0" collapsed="false">
      <c r="A302" s="38" t="str">
        <f aca="false">IF($B302="","",ROW()-3)</f>
        <v/>
      </c>
      <c r="B302" s="31"/>
      <c r="C302" s="31"/>
      <c r="D302" s="31"/>
      <c r="E302" s="31"/>
      <c r="F302" s="32"/>
      <c r="G302" s="32"/>
      <c r="H302" s="31"/>
      <c r="I302" s="31"/>
      <c r="J302" s="33"/>
      <c r="K302" s="34"/>
      <c r="L302" s="34"/>
      <c r="M302" s="34"/>
      <c r="N302" s="39" t="str">
        <f aca="false">IF($K302="","",$K302-N($L302)-N($M302))</f>
        <v/>
      </c>
      <c r="O302" s="31"/>
      <c r="P302" s="31"/>
      <c r="Q302" s="31"/>
      <c r="R302" s="32"/>
      <c r="S302" s="32"/>
      <c r="T302" s="32"/>
      <c r="U302" s="32"/>
      <c r="V302" s="31"/>
      <c r="W302" s="40" t="str">
        <f aca="false">IF(OR($F302="",$J302=""),"",$F302+$J302)</f>
        <v/>
      </c>
      <c r="X302" s="32"/>
      <c r="Y302" s="34"/>
      <c r="Z302" s="31"/>
      <c r="AA302" s="31"/>
      <c r="AB302" s="32"/>
      <c r="AC302" s="31"/>
      <c r="AD302" s="32"/>
      <c r="AE302" s="31"/>
      <c r="AF302" s="41" t="str">
        <f aca="false">IF(OR($R302="",$S302=""),"",$S302-$R302)</f>
        <v/>
      </c>
      <c r="AG302" s="41" t="str">
        <f aca="false">IF(OR($S302="",$T302=""),"",$T302-$S302)</f>
        <v/>
      </c>
      <c r="AH302" s="41" t="str">
        <f aca="false">IF(OR($T302="",$U302=""),"",$U302-$T302)</f>
        <v/>
      </c>
      <c r="AI302" s="41" t="str">
        <f aca="false">IF(OR($R302="",$U302=""),"",$U302-$R302)</f>
        <v/>
      </c>
      <c r="AJ302" s="41" t="str">
        <f aca="false">IF(OR($U302="",$AB302=""),"",$AB302-$U302)</f>
        <v/>
      </c>
      <c r="AK302" s="41" t="str">
        <f aca="false">IF(OR($R302="",$AD302=""),"",$AD302-$R302)</f>
        <v/>
      </c>
      <c r="AL302" s="31"/>
      <c r="AM302" s="32"/>
      <c r="AN302" s="31"/>
    </row>
    <row r="303" customFormat="false" ht="15" hidden="false" customHeight="true" outlineLevel="0" collapsed="false">
      <c r="A303" s="38" t="str">
        <f aca="false">IF($B303="","",ROW()-3)</f>
        <v/>
      </c>
      <c r="B303" s="31"/>
      <c r="C303" s="31"/>
      <c r="D303" s="31"/>
      <c r="E303" s="31"/>
      <c r="F303" s="32"/>
      <c r="G303" s="32"/>
      <c r="H303" s="31"/>
      <c r="I303" s="31"/>
      <c r="J303" s="33"/>
      <c r="K303" s="34"/>
      <c r="L303" s="34"/>
      <c r="M303" s="34"/>
      <c r="N303" s="39" t="str">
        <f aca="false">IF($K303="","",$K303-N($L303)-N($M303))</f>
        <v/>
      </c>
      <c r="O303" s="31"/>
      <c r="P303" s="31"/>
      <c r="Q303" s="31"/>
      <c r="R303" s="32"/>
      <c r="S303" s="32"/>
      <c r="T303" s="32"/>
      <c r="U303" s="32"/>
      <c r="V303" s="31"/>
      <c r="W303" s="40" t="str">
        <f aca="false">IF(OR($F303="",$J303=""),"",$F303+$J303)</f>
        <v/>
      </c>
      <c r="X303" s="32"/>
      <c r="Y303" s="34"/>
      <c r="Z303" s="31"/>
      <c r="AA303" s="31"/>
      <c r="AB303" s="32"/>
      <c r="AC303" s="31"/>
      <c r="AD303" s="32"/>
      <c r="AE303" s="31"/>
      <c r="AF303" s="41" t="str">
        <f aca="false">IF(OR($R303="",$S303=""),"",$S303-$R303)</f>
        <v/>
      </c>
      <c r="AG303" s="41" t="str">
        <f aca="false">IF(OR($S303="",$T303=""),"",$T303-$S303)</f>
        <v/>
      </c>
      <c r="AH303" s="41" t="str">
        <f aca="false">IF(OR($T303="",$U303=""),"",$U303-$T303)</f>
        <v/>
      </c>
      <c r="AI303" s="41" t="str">
        <f aca="false">IF(OR($R303="",$U303=""),"",$U303-$R303)</f>
        <v/>
      </c>
      <c r="AJ303" s="41" t="str">
        <f aca="false">IF(OR($U303="",$AB303=""),"",$AB303-$U303)</f>
        <v/>
      </c>
      <c r="AK303" s="41" t="str">
        <f aca="false">IF(OR($R303="",$AD303=""),"",$AD303-$R303)</f>
        <v/>
      </c>
      <c r="AL303" s="31"/>
      <c r="AM303" s="32"/>
      <c r="AN303" s="31"/>
    </row>
    <row r="304" customFormat="false" ht="15" hidden="false" customHeight="true" outlineLevel="0" collapsed="false">
      <c r="A304" s="38" t="str">
        <f aca="false">IF($B304="","",ROW()-3)</f>
        <v/>
      </c>
      <c r="B304" s="31"/>
      <c r="C304" s="31"/>
      <c r="D304" s="31"/>
      <c r="E304" s="31"/>
      <c r="F304" s="32"/>
      <c r="G304" s="32"/>
      <c r="H304" s="31"/>
      <c r="I304" s="31"/>
      <c r="J304" s="33"/>
      <c r="K304" s="34"/>
      <c r="L304" s="34"/>
      <c r="M304" s="34"/>
      <c r="N304" s="39" t="str">
        <f aca="false">IF($K304="","",$K304-N($L304)-N($M304))</f>
        <v/>
      </c>
      <c r="O304" s="31"/>
      <c r="P304" s="31"/>
      <c r="Q304" s="31"/>
      <c r="R304" s="32"/>
      <c r="S304" s="32"/>
      <c r="T304" s="32"/>
      <c r="U304" s="32"/>
      <c r="V304" s="31"/>
      <c r="W304" s="40" t="str">
        <f aca="false">IF(OR($F304="",$J304=""),"",$F304+$J304)</f>
        <v/>
      </c>
      <c r="X304" s="32"/>
      <c r="Y304" s="34"/>
      <c r="Z304" s="31"/>
      <c r="AA304" s="31"/>
      <c r="AB304" s="32"/>
      <c r="AC304" s="31"/>
      <c r="AD304" s="32"/>
      <c r="AE304" s="31"/>
      <c r="AF304" s="41" t="str">
        <f aca="false">IF(OR($R304="",$S304=""),"",$S304-$R304)</f>
        <v/>
      </c>
      <c r="AG304" s="41" t="str">
        <f aca="false">IF(OR($S304="",$T304=""),"",$T304-$S304)</f>
        <v/>
      </c>
      <c r="AH304" s="41" t="str">
        <f aca="false">IF(OR($T304="",$U304=""),"",$U304-$T304)</f>
        <v/>
      </c>
      <c r="AI304" s="41" t="str">
        <f aca="false">IF(OR($R304="",$U304=""),"",$U304-$R304)</f>
        <v/>
      </c>
      <c r="AJ304" s="41" t="str">
        <f aca="false">IF(OR($U304="",$AB304=""),"",$AB304-$U304)</f>
        <v/>
      </c>
      <c r="AK304" s="41" t="str">
        <f aca="false">IF(OR($R304="",$AD304=""),"",$AD304-$R304)</f>
        <v/>
      </c>
      <c r="AL304" s="31"/>
      <c r="AM304" s="32"/>
      <c r="AN304" s="31"/>
    </row>
    <row r="305" customFormat="false" ht="15" hidden="false" customHeight="true" outlineLevel="0" collapsed="false">
      <c r="A305" s="38" t="str">
        <f aca="false">IF($B305="","",ROW()-3)</f>
        <v/>
      </c>
      <c r="B305" s="31"/>
      <c r="C305" s="31"/>
      <c r="D305" s="31"/>
      <c r="E305" s="31"/>
      <c r="F305" s="32"/>
      <c r="G305" s="32"/>
      <c r="H305" s="31"/>
      <c r="I305" s="31"/>
      <c r="J305" s="33"/>
      <c r="K305" s="34"/>
      <c r="L305" s="34"/>
      <c r="M305" s="34"/>
      <c r="N305" s="39" t="str">
        <f aca="false">IF($K305="","",$K305-N($L305)-N($M305))</f>
        <v/>
      </c>
      <c r="O305" s="31"/>
      <c r="P305" s="31"/>
      <c r="Q305" s="31"/>
      <c r="R305" s="32"/>
      <c r="S305" s="32"/>
      <c r="T305" s="32"/>
      <c r="U305" s="32"/>
      <c r="V305" s="31"/>
      <c r="W305" s="40" t="str">
        <f aca="false">IF(OR($F305="",$J305=""),"",$F305+$J305)</f>
        <v/>
      </c>
      <c r="X305" s="32"/>
      <c r="Y305" s="34"/>
      <c r="Z305" s="31"/>
      <c r="AA305" s="31"/>
      <c r="AB305" s="32"/>
      <c r="AC305" s="31"/>
      <c r="AD305" s="32"/>
      <c r="AE305" s="31"/>
      <c r="AF305" s="41" t="str">
        <f aca="false">IF(OR($R305="",$S305=""),"",$S305-$R305)</f>
        <v/>
      </c>
      <c r="AG305" s="41" t="str">
        <f aca="false">IF(OR($S305="",$T305=""),"",$T305-$S305)</f>
        <v/>
      </c>
      <c r="AH305" s="41" t="str">
        <f aca="false">IF(OR($T305="",$U305=""),"",$U305-$T305)</f>
        <v/>
      </c>
      <c r="AI305" s="41" t="str">
        <f aca="false">IF(OR($R305="",$U305=""),"",$U305-$R305)</f>
        <v/>
      </c>
      <c r="AJ305" s="41" t="str">
        <f aca="false">IF(OR($U305="",$AB305=""),"",$AB305-$U305)</f>
        <v/>
      </c>
      <c r="AK305" s="41" t="str">
        <f aca="false">IF(OR($R305="",$AD305=""),"",$AD305-$R305)</f>
        <v/>
      </c>
      <c r="AL305" s="31"/>
      <c r="AM305" s="32"/>
      <c r="AN305" s="31"/>
    </row>
    <row r="306" customFormat="false" ht="15" hidden="false" customHeight="true" outlineLevel="0" collapsed="false">
      <c r="A306" s="38" t="str">
        <f aca="false">IF($B306="","",ROW()-3)</f>
        <v/>
      </c>
      <c r="B306" s="31"/>
      <c r="C306" s="31"/>
      <c r="D306" s="31"/>
      <c r="E306" s="31"/>
      <c r="F306" s="32"/>
      <c r="G306" s="32"/>
      <c r="H306" s="31"/>
      <c r="I306" s="31"/>
      <c r="J306" s="33"/>
      <c r="K306" s="34"/>
      <c r="L306" s="34"/>
      <c r="M306" s="34"/>
      <c r="N306" s="39" t="str">
        <f aca="false">IF($K306="","",$K306-N($L306)-N($M306))</f>
        <v/>
      </c>
      <c r="O306" s="31"/>
      <c r="P306" s="31"/>
      <c r="Q306" s="31"/>
      <c r="R306" s="32"/>
      <c r="S306" s="32"/>
      <c r="T306" s="32"/>
      <c r="U306" s="32"/>
      <c r="V306" s="31"/>
      <c r="W306" s="40" t="str">
        <f aca="false">IF(OR($F306="",$J306=""),"",$F306+$J306)</f>
        <v/>
      </c>
      <c r="X306" s="32"/>
      <c r="Y306" s="34"/>
      <c r="Z306" s="31"/>
      <c r="AA306" s="31"/>
      <c r="AB306" s="32"/>
      <c r="AC306" s="31"/>
      <c r="AD306" s="32"/>
      <c r="AE306" s="31"/>
      <c r="AF306" s="41" t="str">
        <f aca="false">IF(OR($R306="",$S306=""),"",$S306-$R306)</f>
        <v/>
      </c>
      <c r="AG306" s="41" t="str">
        <f aca="false">IF(OR($S306="",$T306=""),"",$T306-$S306)</f>
        <v/>
      </c>
      <c r="AH306" s="41" t="str">
        <f aca="false">IF(OR($T306="",$U306=""),"",$U306-$T306)</f>
        <v/>
      </c>
      <c r="AI306" s="41" t="str">
        <f aca="false">IF(OR($R306="",$U306=""),"",$U306-$R306)</f>
        <v/>
      </c>
      <c r="AJ306" s="41" t="str">
        <f aca="false">IF(OR($U306="",$AB306=""),"",$AB306-$U306)</f>
        <v/>
      </c>
      <c r="AK306" s="41" t="str">
        <f aca="false">IF(OR($R306="",$AD306=""),"",$AD306-$R306)</f>
        <v/>
      </c>
      <c r="AL306" s="31"/>
      <c r="AM306" s="32"/>
      <c r="AN306" s="31"/>
    </row>
    <row r="307" customFormat="false" ht="15" hidden="false" customHeight="true" outlineLevel="0" collapsed="false">
      <c r="A307" s="38" t="str">
        <f aca="false">IF($B307="","",ROW()-3)</f>
        <v/>
      </c>
      <c r="B307" s="31"/>
      <c r="C307" s="31"/>
      <c r="D307" s="31"/>
      <c r="E307" s="31"/>
      <c r="F307" s="32"/>
      <c r="G307" s="32"/>
      <c r="H307" s="31"/>
      <c r="I307" s="31"/>
      <c r="J307" s="33"/>
      <c r="K307" s="34"/>
      <c r="L307" s="34"/>
      <c r="M307" s="34"/>
      <c r="N307" s="39" t="str">
        <f aca="false">IF($K307="","",$K307-N($L307)-N($M307))</f>
        <v/>
      </c>
      <c r="O307" s="31"/>
      <c r="P307" s="31"/>
      <c r="Q307" s="31"/>
      <c r="R307" s="32"/>
      <c r="S307" s="32"/>
      <c r="T307" s="32"/>
      <c r="U307" s="32"/>
      <c r="V307" s="31"/>
      <c r="W307" s="40" t="str">
        <f aca="false">IF(OR($F307="",$J307=""),"",$F307+$J307)</f>
        <v/>
      </c>
      <c r="X307" s="32"/>
      <c r="Y307" s="34"/>
      <c r="Z307" s="31"/>
      <c r="AA307" s="31"/>
      <c r="AB307" s="32"/>
      <c r="AC307" s="31"/>
      <c r="AD307" s="32"/>
      <c r="AE307" s="31"/>
      <c r="AF307" s="41" t="str">
        <f aca="false">IF(OR($R307="",$S307=""),"",$S307-$R307)</f>
        <v/>
      </c>
      <c r="AG307" s="41" t="str">
        <f aca="false">IF(OR($S307="",$T307=""),"",$T307-$S307)</f>
        <v/>
      </c>
      <c r="AH307" s="41" t="str">
        <f aca="false">IF(OR($T307="",$U307=""),"",$U307-$T307)</f>
        <v/>
      </c>
      <c r="AI307" s="41" t="str">
        <f aca="false">IF(OR($R307="",$U307=""),"",$U307-$R307)</f>
        <v/>
      </c>
      <c r="AJ307" s="41" t="str">
        <f aca="false">IF(OR($U307="",$AB307=""),"",$AB307-$U307)</f>
        <v/>
      </c>
      <c r="AK307" s="41" t="str">
        <f aca="false">IF(OR($R307="",$AD307=""),"",$AD307-$R307)</f>
        <v/>
      </c>
      <c r="AL307" s="31"/>
      <c r="AM307" s="32"/>
      <c r="AN307" s="31"/>
    </row>
    <row r="308" customFormat="false" ht="15" hidden="false" customHeight="true" outlineLevel="0" collapsed="false">
      <c r="A308" s="38" t="str">
        <f aca="false">IF($B308="","",ROW()-3)</f>
        <v/>
      </c>
      <c r="B308" s="31"/>
      <c r="C308" s="31"/>
      <c r="D308" s="31"/>
      <c r="E308" s="31"/>
      <c r="F308" s="32"/>
      <c r="G308" s="32"/>
      <c r="H308" s="31"/>
      <c r="I308" s="31"/>
      <c r="J308" s="33"/>
      <c r="K308" s="34"/>
      <c r="L308" s="34"/>
      <c r="M308" s="34"/>
      <c r="N308" s="39" t="str">
        <f aca="false">IF($K308="","",$K308-N($L308)-N($M308))</f>
        <v/>
      </c>
      <c r="O308" s="31"/>
      <c r="P308" s="31"/>
      <c r="Q308" s="31"/>
      <c r="R308" s="32"/>
      <c r="S308" s="32"/>
      <c r="T308" s="32"/>
      <c r="U308" s="32"/>
      <c r="V308" s="31"/>
      <c r="W308" s="40" t="str">
        <f aca="false">IF(OR($F308="",$J308=""),"",$F308+$J308)</f>
        <v/>
      </c>
      <c r="X308" s="32"/>
      <c r="Y308" s="34"/>
      <c r="Z308" s="31"/>
      <c r="AA308" s="31"/>
      <c r="AB308" s="32"/>
      <c r="AC308" s="31"/>
      <c r="AD308" s="32"/>
      <c r="AE308" s="31"/>
      <c r="AF308" s="41" t="str">
        <f aca="false">IF(OR($R308="",$S308=""),"",$S308-$R308)</f>
        <v/>
      </c>
      <c r="AG308" s="41" t="str">
        <f aca="false">IF(OR($S308="",$T308=""),"",$T308-$S308)</f>
        <v/>
      </c>
      <c r="AH308" s="41" t="str">
        <f aca="false">IF(OR($T308="",$U308=""),"",$U308-$T308)</f>
        <v/>
      </c>
      <c r="AI308" s="41" t="str">
        <f aca="false">IF(OR($R308="",$U308=""),"",$U308-$R308)</f>
        <v/>
      </c>
      <c r="AJ308" s="41" t="str">
        <f aca="false">IF(OR($U308="",$AB308=""),"",$AB308-$U308)</f>
        <v/>
      </c>
      <c r="AK308" s="41" t="str">
        <f aca="false">IF(OR($R308="",$AD308=""),"",$AD308-$R308)</f>
        <v/>
      </c>
      <c r="AL308" s="31"/>
      <c r="AM308" s="32"/>
      <c r="AN308" s="31"/>
    </row>
    <row r="309" customFormat="false" ht="15" hidden="false" customHeight="true" outlineLevel="0" collapsed="false">
      <c r="A309" s="38" t="str">
        <f aca="false">IF($B309="","",ROW()-3)</f>
        <v/>
      </c>
      <c r="B309" s="31"/>
      <c r="C309" s="31"/>
      <c r="D309" s="31"/>
      <c r="E309" s="31"/>
      <c r="F309" s="32"/>
      <c r="G309" s="32"/>
      <c r="H309" s="31"/>
      <c r="I309" s="31"/>
      <c r="J309" s="33"/>
      <c r="K309" s="34"/>
      <c r="L309" s="34"/>
      <c r="M309" s="34"/>
      <c r="N309" s="39" t="str">
        <f aca="false">IF($K309="","",$K309-N($L309)-N($M309))</f>
        <v/>
      </c>
      <c r="O309" s="31"/>
      <c r="P309" s="31"/>
      <c r="Q309" s="31"/>
      <c r="R309" s="32"/>
      <c r="S309" s="32"/>
      <c r="T309" s="32"/>
      <c r="U309" s="32"/>
      <c r="V309" s="31"/>
      <c r="W309" s="40" t="str">
        <f aca="false">IF(OR($F309="",$J309=""),"",$F309+$J309)</f>
        <v/>
      </c>
      <c r="X309" s="32"/>
      <c r="Y309" s="34"/>
      <c r="Z309" s="31"/>
      <c r="AA309" s="31"/>
      <c r="AB309" s="32"/>
      <c r="AC309" s="31"/>
      <c r="AD309" s="32"/>
      <c r="AE309" s="31"/>
      <c r="AF309" s="41" t="str">
        <f aca="false">IF(OR($R309="",$S309=""),"",$S309-$R309)</f>
        <v/>
      </c>
      <c r="AG309" s="41" t="str">
        <f aca="false">IF(OR($S309="",$T309=""),"",$T309-$S309)</f>
        <v/>
      </c>
      <c r="AH309" s="41" t="str">
        <f aca="false">IF(OR($T309="",$U309=""),"",$U309-$T309)</f>
        <v/>
      </c>
      <c r="AI309" s="41" t="str">
        <f aca="false">IF(OR($R309="",$U309=""),"",$U309-$R309)</f>
        <v/>
      </c>
      <c r="AJ309" s="41" t="str">
        <f aca="false">IF(OR($U309="",$AB309=""),"",$AB309-$U309)</f>
        <v/>
      </c>
      <c r="AK309" s="41" t="str">
        <f aca="false">IF(OR($R309="",$AD309=""),"",$AD309-$R309)</f>
        <v/>
      </c>
      <c r="AL309" s="31"/>
      <c r="AM309" s="32"/>
      <c r="AN309" s="31"/>
    </row>
    <row r="310" customFormat="false" ht="15" hidden="false" customHeight="true" outlineLevel="0" collapsed="false">
      <c r="A310" s="38" t="str">
        <f aca="false">IF($B310="","",ROW()-3)</f>
        <v/>
      </c>
      <c r="B310" s="31"/>
      <c r="C310" s="31"/>
      <c r="D310" s="31"/>
      <c r="E310" s="31"/>
      <c r="F310" s="32"/>
      <c r="G310" s="32"/>
      <c r="H310" s="31"/>
      <c r="I310" s="31"/>
      <c r="J310" s="33"/>
      <c r="K310" s="34"/>
      <c r="L310" s="34"/>
      <c r="M310" s="34"/>
      <c r="N310" s="39" t="str">
        <f aca="false">IF($K310="","",$K310-N($L310)-N($M310))</f>
        <v/>
      </c>
      <c r="O310" s="31"/>
      <c r="P310" s="31"/>
      <c r="Q310" s="31"/>
      <c r="R310" s="32"/>
      <c r="S310" s="32"/>
      <c r="T310" s="32"/>
      <c r="U310" s="32"/>
      <c r="V310" s="31"/>
      <c r="W310" s="40" t="str">
        <f aca="false">IF(OR($F310="",$J310=""),"",$F310+$J310)</f>
        <v/>
      </c>
      <c r="X310" s="32"/>
      <c r="Y310" s="34"/>
      <c r="Z310" s="31"/>
      <c r="AA310" s="31"/>
      <c r="AB310" s="32"/>
      <c r="AC310" s="31"/>
      <c r="AD310" s="32"/>
      <c r="AE310" s="31"/>
      <c r="AF310" s="41" t="str">
        <f aca="false">IF(OR($R310="",$S310=""),"",$S310-$R310)</f>
        <v/>
      </c>
      <c r="AG310" s="41" t="str">
        <f aca="false">IF(OR($S310="",$T310=""),"",$T310-$S310)</f>
        <v/>
      </c>
      <c r="AH310" s="41" t="str">
        <f aca="false">IF(OR($T310="",$U310=""),"",$U310-$T310)</f>
        <v/>
      </c>
      <c r="AI310" s="41" t="str">
        <f aca="false">IF(OR($R310="",$U310=""),"",$U310-$R310)</f>
        <v/>
      </c>
      <c r="AJ310" s="41" t="str">
        <f aca="false">IF(OR($U310="",$AB310=""),"",$AB310-$U310)</f>
        <v/>
      </c>
      <c r="AK310" s="41" t="str">
        <f aca="false">IF(OR($R310="",$AD310=""),"",$AD310-$R310)</f>
        <v/>
      </c>
      <c r="AL310" s="31"/>
      <c r="AM310" s="32"/>
      <c r="AN310" s="31"/>
    </row>
    <row r="311" customFormat="false" ht="15" hidden="false" customHeight="true" outlineLevel="0" collapsed="false">
      <c r="A311" s="38" t="str">
        <f aca="false">IF($B311="","",ROW()-3)</f>
        <v/>
      </c>
      <c r="B311" s="31"/>
      <c r="C311" s="31"/>
      <c r="D311" s="31"/>
      <c r="E311" s="31"/>
      <c r="F311" s="32"/>
      <c r="G311" s="32"/>
      <c r="H311" s="31"/>
      <c r="I311" s="31"/>
      <c r="J311" s="33"/>
      <c r="K311" s="34"/>
      <c r="L311" s="34"/>
      <c r="M311" s="34"/>
      <c r="N311" s="39" t="str">
        <f aca="false">IF($K311="","",$K311-N($L311)-N($M311))</f>
        <v/>
      </c>
      <c r="O311" s="31"/>
      <c r="P311" s="31"/>
      <c r="Q311" s="31"/>
      <c r="R311" s="32"/>
      <c r="S311" s="32"/>
      <c r="T311" s="32"/>
      <c r="U311" s="32"/>
      <c r="V311" s="31"/>
      <c r="W311" s="40" t="str">
        <f aca="false">IF(OR($F311="",$J311=""),"",$F311+$J311)</f>
        <v/>
      </c>
      <c r="X311" s="32"/>
      <c r="Y311" s="34"/>
      <c r="Z311" s="31"/>
      <c r="AA311" s="31"/>
      <c r="AB311" s="32"/>
      <c r="AC311" s="31"/>
      <c r="AD311" s="32"/>
      <c r="AE311" s="31"/>
      <c r="AF311" s="41" t="str">
        <f aca="false">IF(OR($R311="",$S311=""),"",$S311-$R311)</f>
        <v/>
      </c>
      <c r="AG311" s="41" t="str">
        <f aca="false">IF(OR($S311="",$T311=""),"",$T311-$S311)</f>
        <v/>
      </c>
      <c r="AH311" s="41" t="str">
        <f aca="false">IF(OR($T311="",$U311=""),"",$U311-$T311)</f>
        <v/>
      </c>
      <c r="AI311" s="41" t="str">
        <f aca="false">IF(OR($R311="",$U311=""),"",$U311-$R311)</f>
        <v/>
      </c>
      <c r="AJ311" s="41" t="str">
        <f aca="false">IF(OR($U311="",$AB311=""),"",$AB311-$U311)</f>
        <v/>
      </c>
      <c r="AK311" s="41" t="str">
        <f aca="false">IF(OR($R311="",$AD311=""),"",$AD311-$R311)</f>
        <v/>
      </c>
      <c r="AL311" s="31"/>
      <c r="AM311" s="32"/>
      <c r="AN311" s="31"/>
    </row>
    <row r="312" customFormat="false" ht="15" hidden="false" customHeight="true" outlineLevel="0" collapsed="false">
      <c r="A312" s="38" t="str">
        <f aca="false">IF($B312="","",ROW()-3)</f>
        <v/>
      </c>
      <c r="B312" s="31"/>
      <c r="C312" s="31"/>
      <c r="D312" s="31"/>
      <c r="E312" s="31"/>
      <c r="F312" s="32"/>
      <c r="G312" s="32"/>
      <c r="H312" s="31"/>
      <c r="I312" s="31"/>
      <c r="J312" s="33"/>
      <c r="K312" s="34"/>
      <c r="L312" s="34"/>
      <c r="M312" s="34"/>
      <c r="N312" s="39" t="str">
        <f aca="false">IF($K312="","",$K312-N($L312)-N($M312))</f>
        <v/>
      </c>
      <c r="O312" s="31"/>
      <c r="P312" s="31"/>
      <c r="Q312" s="31"/>
      <c r="R312" s="32"/>
      <c r="S312" s="32"/>
      <c r="T312" s="32"/>
      <c r="U312" s="32"/>
      <c r="V312" s="31"/>
      <c r="W312" s="40" t="str">
        <f aca="false">IF(OR($F312="",$J312=""),"",$F312+$J312)</f>
        <v/>
      </c>
      <c r="X312" s="32"/>
      <c r="Y312" s="34"/>
      <c r="Z312" s="31"/>
      <c r="AA312" s="31"/>
      <c r="AB312" s="32"/>
      <c r="AC312" s="31"/>
      <c r="AD312" s="32"/>
      <c r="AE312" s="31"/>
      <c r="AF312" s="41" t="str">
        <f aca="false">IF(OR($R312="",$S312=""),"",$S312-$R312)</f>
        <v/>
      </c>
      <c r="AG312" s="41" t="str">
        <f aca="false">IF(OR($S312="",$T312=""),"",$T312-$S312)</f>
        <v/>
      </c>
      <c r="AH312" s="41" t="str">
        <f aca="false">IF(OR($T312="",$U312=""),"",$U312-$T312)</f>
        <v/>
      </c>
      <c r="AI312" s="41" t="str">
        <f aca="false">IF(OR($R312="",$U312=""),"",$U312-$R312)</f>
        <v/>
      </c>
      <c r="AJ312" s="41" t="str">
        <f aca="false">IF(OR($U312="",$AB312=""),"",$AB312-$U312)</f>
        <v/>
      </c>
      <c r="AK312" s="41" t="str">
        <f aca="false">IF(OR($R312="",$AD312=""),"",$AD312-$R312)</f>
        <v/>
      </c>
      <c r="AL312" s="31"/>
      <c r="AM312" s="32"/>
      <c r="AN312" s="31"/>
    </row>
    <row r="313" customFormat="false" ht="15" hidden="false" customHeight="true" outlineLevel="0" collapsed="false">
      <c r="A313" s="38" t="str">
        <f aca="false">IF($B313="","",ROW()-3)</f>
        <v/>
      </c>
      <c r="B313" s="31"/>
      <c r="C313" s="31"/>
      <c r="D313" s="31"/>
      <c r="E313" s="31"/>
      <c r="F313" s="32"/>
      <c r="G313" s="32"/>
      <c r="H313" s="31"/>
      <c r="I313" s="31"/>
      <c r="J313" s="33"/>
      <c r="K313" s="34"/>
      <c r="L313" s="34"/>
      <c r="M313" s="34"/>
      <c r="N313" s="39" t="str">
        <f aca="false">IF($K313="","",$K313-N($L313)-N($M313))</f>
        <v/>
      </c>
      <c r="O313" s="31"/>
      <c r="P313" s="31"/>
      <c r="Q313" s="31"/>
      <c r="R313" s="32"/>
      <c r="S313" s="32"/>
      <c r="T313" s="32"/>
      <c r="U313" s="32"/>
      <c r="V313" s="31"/>
      <c r="W313" s="40" t="str">
        <f aca="false">IF(OR($F313="",$J313=""),"",$F313+$J313)</f>
        <v/>
      </c>
      <c r="X313" s="32"/>
      <c r="Y313" s="34"/>
      <c r="Z313" s="31"/>
      <c r="AA313" s="31"/>
      <c r="AB313" s="32"/>
      <c r="AC313" s="31"/>
      <c r="AD313" s="32"/>
      <c r="AE313" s="31"/>
      <c r="AF313" s="41" t="str">
        <f aca="false">IF(OR($R313="",$S313=""),"",$S313-$R313)</f>
        <v/>
      </c>
      <c r="AG313" s="41" t="str">
        <f aca="false">IF(OR($S313="",$T313=""),"",$T313-$S313)</f>
        <v/>
      </c>
      <c r="AH313" s="41" t="str">
        <f aca="false">IF(OR($T313="",$U313=""),"",$U313-$T313)</f>
        <v/>
      </c>
      <c r="AI313" s="41" t="str">
        <f aca="false">IF(OR($R313="",$U313=""),"",$U313-$R313)</f>
        <v/>
      </c>
      <c r="AJ313" s="41" t="str">
        <f aca="false">IF(OR($U313="",$AB313=""),"",$AB313-$U313)</f>
        <v/>
      </c>
      <c r="AK313" s="41" t="str">
        <f aca="false">IF(OR($R313="",$AD313=""),"",$AD313-$R313)</f>
        <v/>
      </c>
      <c r="AL313" s="31"/>
      <c r="AM313" s="32"/>
      <c r="AN313" s="31"/>
    </row>
    <row r="314" customFormat="false" ht="15" hidden="false" customHeight="true" outlineLevel="0" collapsed="false">
      <c r="A314" s="38" t="str">
        <f aca="false">IF($B314="","",ROW()-3)</f>
        <v/>
      </c>
      <c r="B314" s="31"/>
      <c r="C314" s="31"/>
      <c r="D314" s="31"/>
      <c r="E314" s="31"/>
      <c r="F314" s="32"/>
      <c r="G314" s="32"/>
      <c r="H314" s="31"/>
      <c r="I314" s="31"/>
      <c r="J314" s="33"/>
      <c r="K314" s="34"/>
      <c r="L314" s="34"/>
      <c r="M314" s="34"/>
      <c r="N314" s="39" t="str">
        <f aca="false">IF($K314="","",$K314-N($L314)-N($M314))</f>
        <v/>
      </c>
      <c r="O314" s="31"/>
      <c r="P314" s="31"/>
      <c r="Q314" s="31"/>
      <c r="R314" s="32"/>
      <c r="S314" s="32"/>
      <c r="T314" s="32"/>
      <c r="U314" s="32"/>
      <c r="V314" s="31"/>
      <c r="W314" s="40" t="str">
        <f aca="false">IF(OR($F314="",$J314=""),"",$F314+$J314)</f>
        <v/>
      </c>
      <c r="X314" s="32"/>
      <c r="Y314" s="34"/>
      <c r="Z314" s="31"/>
      <c r="AA314" s="31"/>
      <c r="AB314" s="32"/>
      <c r="AC314" s="31"/>
      <c r="AD314" s="32"/>
      <c r="AE314" s="31"/>
      <c r="AF314" s="41" t="str">
        <f aca="false">IF(OR($R314="",$S314=""),"",$S314-$R314)</f>
        <v/>
      </c>
      <c r="AG314" s="41" t="str">
        <f aca="false">IF(OR($S314="",$T314=""),"",$T314-$S314)</f>
        <v/>
      </c>
      <c r="AH314" s="41" t="str">
        <f aca="false">IF(OR($T314="",$U314=""),"",$U314-$T314)</f>
        <v/>
      </c>
      <c r="AI314" s="41" t="str">
        <f aca="false">IF(OR($R314="",$U314=""),"",$U314-$R314)</f>
        <v/>
      </c>
      <c r="AJ314" s="41" t="str">
        <f aca="false">IF(OR($U314="",$AB314=""),"",$AB314-$U314)</f>
        <v/>
      </c>
      <c r="AK314" s="41" t="str">
        <f aca="false">IF(OR($R314="",$AD314=""),"",$AD314-$R314)</f>
        <v/>
      </c>
      <c r="AL314" s="31"/>
      <c r="AM314" s="32"/>
      <c r="AN314" s="31"/>
    </row>
    <row r="315" customFormat="false" ht="15" hidden="false" customHeight="true" outlineLevel="0" collapsed="false">
      <c r="A315" s="38" t="str">
        <f aca="false">IF($B315="","",ROW()-3)</f>
        <v/>
      </c>
      <c r="B315" s="31"/>
      <c r="C315" s="31"/>
      <c r="D315" s="31"/>
      <c r="E315" s="31"/>
      <c r="F315" s="32"/>
      <c r="G315" s="32"/>
      <c r="H315" s="31"/>
      <c r="I315" s="31"/>
      <c r="J315" s="33"/>
      <c r="K315" s="34"/>
      <c r="L315" s="34"/>
      <c r="M315" s="34"/>
      <c r="N315" s="39" t="str">
        <f aca="false">IF($K315="","",$K315-N($L315)-N($M315))</f>
        <v/>
      </c>
      <c r="O315" s="31"/>
      <c r="P315" s="31"/>
      <c r="Q315" s="31"/>
      <c r="R315" s="32"/>
      <c r="S315" s="32"/>
      <c r="T315" s="32"/>
      <c r="U315" s="32"/>
      <c r="V315" s="31"/>
      <c r="W315" s="40" t="str">
        <f aca="false">IF(OR($F315="",$J315=""),"",$F315+$J315)</f>
        <v/>
      </c>
      <c r="X315" s="32"/>
      <c r="Y315" s="34"/>
      <c r="Z315" s="31"/>
      <c r="AA315" s="31"/>
      <c r="AB315" s="32"/>
      <c r="AC315" s="31"/>
      <c r="AD315" s="32"/>
      <c r="AE315" s="31"/>
      <c r="AF315" s="41" t="str">
        <f aca="false">IF(OR($R315="",$S315=""),"",$S315-$R315)</f>
        <v/>
      </c>
      <c r="AG315" s="41" t="str">
        <f aca="false">IF(OR($S315="",$T315=""),"",$T315-$S315)</f>
        <v/>
      </c>
      <c r="AH315" s="41" t="str">
        <f aca="false">IF(OR($T315="",$U315=""),"",$U315-$T315)</f>
        <v/>
      </c>
      <c r="AI315" s="41" t="str">
        <f aca="false">IF(OR($R315="",$U315=""),"",$U315-$R315)</f>
        <v/>
      </c>
      <c r="AJ315" s="41" t="str">
        <f aca="false">IF(OR($U315="",$AB315=""),"",$AB315-$U315)</f>
        <v/>
      </c>
      <c r="AK315" s="41" t="str">
        <f aca="false">IF(OR($R315="",$AD315=""),"",$AD315-$R315)</f>
        <v/>
      </c>
      <c r="AL315" s="31"/>
      <c r="AM315" s="32"/>
      <c r="AN315" s="31"/>
    </row>
    <row r="316" customFormat="false" ht="15" hidden="false" customHeight="true" outlineLevel="0" collapsed="false">
      <c r="A316" s="38" t="str">
        <f aca="false">IF($B316="","",ROW()-3)</f>
        <v/>
      </c>
      <c r="B316" s="31"/>
      <c r="C316" s="31"/>
      <c r="D316" s="31"/>
      <c r="E316" s="31"/>
      <c r="F316" s="32"/>
      <c r="G316" s="32"/>
      <c r="H316" s="31"/>
      <c r="I316" s="31"/>
      <c r="J316" s="33"/>
      <c r="K316" s="34"/>
      <c r="L316" s="34"/>
      <c r="M316" s="34"/>
      <c r="N316" s="39" t="str">
        <f aca="false">IF($K316="","",$K316-N($L316)-N($M316))</f>
        <v/>
      </c>
      <c r="O316" s="31"/>
      <c r="P316" s="31"/>
      <c r="Q316" s="31"/>
      <c r="R316" s="32"/>
      <c r="S316" s="32"/>
      <c r="T316" s="32"/>
      <c r="U316" s="32"/>
      <c r="V316" s="31"/>
      <c r="W316" s="40" t="str">
        <f aca="false">IF(OR($F316="",$J316=""),"",$F316+$J316)</f>
        <v/>
      </c>
      <c r="X316" s="32"/>
      <c r="Y316" s="34"/>
      <c r="Z316" s="31"/>
      <c r="AA316" s="31"/>
      <c r="AB316" s="32"/>
      <c r="AC316" s="31"/>
      <c r="AD316" s="32"/>
      <c r="AE316" s="31"/>
      <c r="AF316" s="41" t="str">
        <f aca="false">IF(OR($R316="",$S316=""),"",$S316-$R316)</f>
        <v/>
      </c>
      <c r="AG316" s="41" t="str">
        <f aca="false">IF(OR($S316="",$T316=""),"",$T316-$S316)</f>
        <v/>
      </c>
      <c r="AH316" s="41" t="str">
        <f aca="false">IF(OR($T316="",$U316=""),"",$U316-$T316)</f>
        <v/>
      </c>
      <c r="AI316" s="41" t="str">
        <f aca="false">IF(OR($R316="",$U316=""),"",$U316-$R316)</f>
        <v/>
      </c>
      <c r="AJ316" s="41" t="str">
        <f aca="false">IF(OR($U316="",$AB316=""),"",$AB316-$U316)</f>
        <v/>
      </c>
      <c r="AK316" s="41" t="str">
        <f aca="false">IF(OR($R316="",$AD316=""),"",$AD316-$R316)</f>
        <v/>
      </c>
      <c r="AL316" s="31"/>
      <c r="AM316" s="32"/>
      <c r="AN316" s="31"/>
    </row>
    <row r="317" customFormat="false" ht="15" hidden="false" customHeight="true" outlineLevel="0" collapsed="false">
      <c r="A317" s="38" t="str">
        <f aca="false">IF($B317="","",ROW()-3)</f>
        <v/>
      </c>
      <c r="B317" s="31"/>
      <c r="C317" s="31"/>
      <c r="D317" s="31"/>
      <c r="E317" s="31"/>
      <c r="F317" s="32"/>
      <c r="G317" s="32"/>
      <c r="H317" s="31"/>
      <c r="I317" s="31"/>
      <c r="J317" s="33"/>
      <c r="K317" s="34"/>
      <c r="L317" s="34"/>
      <c r="M317" s="34"/>
      <c r="N317" s="39" t="str">
        <f aca="false">IF($K317="","",$K317-N($L317)-N($M317))</f>
        <v/>
      </c>
      <c r="O317" s="31"/>
      <c r="P317" s="31"/>
      <c r="Q317" s="31"/>
      <c r="R317" s="32"/>
      <c r="S317" s="32"/>
      <c r="T317" s="32"/>
      <c r="U317" s="32"/>
      <c r="V317" s="31"/>
      <c r="W317" s="40" t="str">
        <f aca="false">IF(OR($F317="",$J317=""),"",$F317+$J317)</f>
        <v/>
      </c>
      <c r="X317" s="32"/>
      <c r="Y317" s="34"/>
      <c r="Z317" s="31"/>
      <c r="AA317" s="31"/>
      <c r="AB317" s="32"/>
      <c r="AC317" s="31"/>
      <c r="AD317" s="32"/>
      <c r="AE317" s="31"/>
      <c r="AF317" s="41" t="str">
        <f aca="false">IF(OR($R317="",$S317=""),"",$S317-$R317)</f>
        <v/>
      </c>
      <c r="AG317" s="41" t="str">
        <f aca="false">IF(OR($S317="",$T317=""),"",$T317-$S317)</f>
        <v/>
      </c>
      <c r="AH317" s="41" t="str">
        <f aca="false">IF(OR($T317="",$U317=""),"",$U317-$T317)</f>
        <v/>
      </c>
      <c r="AI317" s="41" t="str">
        <f aca="false">IF(OR($R317="",$U317=""),"",$U317-$R317)</f>
        <v/>
      </c>
      <c r="AJ317" s="41" t="str">
        <f aca="false">IF(OR($U317="",$AB317=""),"",$AB317-$U317)</f>
        <v/>
      </c>
      <c r="AK317" s="41" t="str">
        <f aca="false">IF(OR($R317="",$AD317=""),"",$AD317-$R317)</f>
        <v/>
      </c>
      <c r="AL317" s="31"/>
      <c r="AM317" s="32"/>
      <c r="AN317" s="31"/>
    </row>
    <row r="318" customFormat="false" ht="15" hidden="false" customHeight="true" outlineLevel="0" collapsed="false">
      <c r="A318" s="38" t="str">
        <f aca="false">IF($B318="","",ROW()-3)</f>
        <v/>
      </c>
      <c r="B318" s="31"/>
      <c r="C318" s="31"/>
      <c r="D318" s="31"/>
      <c r="E318" s="31"/>
      <c r="F318" s="32"/>
      <c r="G318" s="32"/>
      <c r="H318" s="31"/>
      <c r="I318" s="31"/>
      <c r="J318" s="33"/>
      <c r="K318" s="34"/>
      <c r="L318" s="34"/>
      <c r="M318" s="34"/>
      <c r="N318" s="39" t="str">
        <f aca="false">IF($K318="","",$K318-N($L318)-N($M318))</f>
        <v/>
      </c>
      <c r="O318" s="31"/>
      <c r="P318" s="31"/>
      <c r="Q318" s="31"/>
      <c r="R318" s="32"/>
      <c r="S318" s="32"/>
      <c r="T318" s="32"/>
      <c r="U318" s="32"/>
      <c r="V318" s="31"/>
      <c r="W318" s="40" t="str">
        <f aca="false">IF(OR($F318="",$J318=""),"",$F318+$J318)</f>
        <v/>
      </c>
      <c r="X318" s="32"/>
      <c r="Y318" s="34"/>
      <c r="Z318" s="31"/>
      <c r="AA318" s="31"/>
      <c r="AB318" s="32"/>
      <c r="AC318" s="31"/>
      <c r="AD318" s="32"/>
      <c r="AE318" s="31"/>
      <c r="AF318" s="41" t="str">
        <f aca="false">IF(OR($R318="",$S318=""),"",$S318-$R318)</f>
        <v/>
      </c>
      <c r="AG318" s="41" t="str">
        <f aca="false">IF(OR($S318="",$T318=""),"",$T318-$S318)</f>
        <v/>
      </c>
      <c r="AH318" s="41" t="str">
        <f aca="false">IF(OR($T318="",$U318=""),"",$U318-$T318)</f>
        <v/>
      </c>
      <c r="AI318" s="41" t="str">
        <f aca="false">IF(OR($R318="",$U318=""),"",$U318-$R318)</f>
        <v/>
      </c>
      <c r="AJ318" s="41" t="str">
        <f aca="false">IF(OR($U318="",$AB318=""),"",$AB318-$U318)</f>
        <v/>
      </c>
      <c r="AK318" s="41" t="str">
        <f aca="false">IF(OR($R318="",$AD318=""),"",$AD318-$R318)</f>
        <v/>
      </c>
      <c r="AL318" s="31"/>
      <c r="AM318" s="32"/>
      <c r="AN318" s="31"/>
    </row>
    <row r="319" customFormat="false" ht="15" hidden="false" customHeight="true" outlineLevel="0" collapsed="false">
      <c r="A319" s="38" t="str">
        <f aca="false">IF($B319="","",ROW()-3)</f>
        <v/>
      </c>
      <c r="B319" s="31"/>
      <c r="C319" s="31"/>
      <c r="D319" s="31"/>
      <c r="E319" s="31"/>
      <c r="F319" s="32"/>
      <c r="G319" s="32"/>
      <c r="H319" s="31"/>
      <c r="I319" s="31"/>
      <c r="J319" s="33"/>
      <c r="K319" s="34"/>
      <c r="L319" s="34"/>
      <c r="M319" s="34"/>
      <c r="N319" s="39" t="str">
        <f aca="false">IF($K319="","",$K319-N($L319)-N($M319))</f>
        <v/>
      </c>
      <c r="O319" s="31"/>
      <c r="P319" s="31"/>
      <c r="Q319" s="31"/>
      <c r="R319" s="32"/>
      <c r="S319" s="32"/>
      <c r="T319" s="32"/>
      <c r="U319" s="32"/>
      <c r="V319" s="31"/>
      <c r="W319" s="40" t="str">
        <f aca="false">IF(OR($F319="",$J319=""),"",$F319+$J319)</f>
        <v/>
      </c>
      <c r="X319" s="32"/>
      <c r="Y319" s="34"/>
      <c r="Z319" s="31"/>
      <c r="AA319" s="31"/>
      <c r="AB319" s="32"/>
      <c r="AC319" s="31"/>
      <c r="AD319" s="32"/>
      <c r="AE319" s="31"/>
      <c r="AF319" s="41" t="str">
        <f aca="false">IF(OR($R319="",$S319=""),"",$S319-$R319)</f>
        <v/>
      </c>
      <c r="AG319" s="41" t="str">
        <f aca="false">IF(OR($S319="",$T319=""),"",$T319-$S319)</f>
        <v/>
      </c>
      <c r="AH319" s="41" t="str">
        <f aca="false">IF(OR($T319="",$U319=""),"",$U319-$T319)</f>
        <v/>
      </c>
      <c r="AI319" s="41" t="str">
        <f aca="false">IF(OR($R319="",$U319=""),"",$U319-$R319)</f>
        <v/>
      </c>
      <c r="AJ319" s="41" t="str">
        <f aca="false">IF(OR($U319="",$AB319=""),"",$AB319-$U319)</f>
        <v/>
      </c>
      <c r="AK319" s="41" t="str">
        <f aca="false">IF(OR($R319="",$AD319=""),"",$AD319-$R319)</f>
        <v/>
      </c>
      <c r="AL319" s="31"/>
      <c r="AM319" s="32"/>
      <c r="AN319" s="31"/>
    </row>
    <row r="320" customFormat="false" ht="15" hidden="false" customHeight="true" outlineLevel="0" collapsed="false">
      <c r="A320" s="38" t="str">
        <f aca="false">IF($B320="","",ROW()-3)</f>
        <v/>
      </c>
      <c r="B320" s="31"/>
      <c r="C320" s="31"/>
      <c r="D320" s="31"/>
      <c r="E320" s="31"/>
      <c r="F320" s="32"/>
      <c r="G320" s="32"/>
      <c r="H320" s="31"/>
      <c r="I320" s="31"/>
      <c r="J320" s="33"/>
      <c r="K320" s="34"/>
      <c r="L320" s="34"/>
      <c r="M320" s="34"/>
      <c r="N320" s="39" t="str">
        <f aca="false">IF($K320="","",$K320-N($L320)-N($M320))</f>
        <v/>
      </c>
      <c r="O320" s="31"/>
      <c r="P320" s="31"/>
      <c r="Q320" s="31"/>
      <c r="R320" s="32"/>
      <c r="S320" s="32"/>
      <c r="T320" s="32"/>
      <c r="U320" s="32"/>
      <c r="V320" s="31"/>
      <c r="W320" s="40" t="str">
        <f aca="false">IF(OR($F320="",$J320=""),"",$F320+$J320)</f>
        <v/>
      </c>
      <c r="X320" s="32"/>
      <c r="Y320" s="34"/>
      <c r="Z320" s="31"/>
      <c r="AA320" s="31"/>
      <c r="AB320" s="32"/>
      <c r="AC320" s="31"/>
      <c r="AD320" s="32"/>
      <c r="AE320" s="31"/>
      <c r="AF320" s="41" t="str">
        <f aca="false">IF(OR($R320="",$S320=""),"",$S320-$R320)</f>
        <v/>
      </c>
      <c r="AG320" s="41" t="str">
        <f aca="false">IF(OR($S320="",$T320=""),"",$T320-$S320)</f>
        <v/>
      </c>
      <c r="AH320" s="41" t="str">
        <f aca="false">IF(OR($T320="",$U320=""),"",$U320-$T320)</f>
        <v/>
      </c>
      <c r="AI320" s="41" t="str">
        <f aca="false">IF(OR($R320="",$U320=""),"",$U320-$R320)</f>
        <v/>
      </c>
      <c r="AJ320" s="41" t="str">
        <f aca="false">IF(OR($U320="",$AB320=""),"",$AB320-$U320)</f>
        <v/>
      </c>
      <c r="AK320" s="41" t="str">
        <f aca="false">IF(OR($R320="",$AD320=""),"",$AD320-$R320)</f>
        <v/>
      </c>
      <c r="AL320" s="31"/>
      <c r="AM320" s="32"/>
      <c r="AN320" s="31"/>
    </row>
    <row r="321" customFormat="false" ht="15" hidden="false" customHeight="true" outlineLevel="0" collapsed="false">
      <c r="A321" s="38" t="str">
        <f aca="false">IF($B321="","",ROW()-3)</f>
        <v/>
      </c>
      <c r="B321" s="31"/>
      <c r="C321" s="31"/>
      <c r="D321" s="31"/>
      <c r="E321" s="31"/>
      <c r="F321" s="32"/>
      <c r="G321" s="32"/>
      <c r="H321" s="31"/>
      <c r="I321" s="31"/>
      <c r="J321" s="33"/>
      <c r="K321" s="34"/>
      <c r="L321" s="34"/>
      <c r="M321" s="34"/>
      <c r="N321" s="39" t="str">
        <f aca="false">IF($K321="","",$K321-N($L321)-N($M321))</f>
        <v/>
      </c>
      <c r="O321" s="31"/>
      <c r="P321" s="31"/>
      <c r="Q321" s="31"/>
      <c r="R321" s="32"/>
      <c r="S321" s="32"/>
      <c r="T321" s="32"/>
      <c r="U321" s="32"/>
      <c r="V321" s="31"/>
      <c r="W321" s="40" t="str">
        <f aca="false">IF(OR($F321="",$J321=""),"",$F321+$J321)</f>
        <v/>
      </c>
      <c r="X321" s="32"/>
      <c r="Y321" s="34"/>
      <c r="Z321" s="31"/>
      <c r="AA321" s="31"/>
      <c r="AB321" s="32"/>
      <c r="AC321" s="31"/>
      <c r="AD321" s="32"/>
      <c r="AE321" s="31"/>
      <c r="AF321" s="41" t="str">
        <f aca="false">IF(OR($R321="",$S321=""),"",$S321-$R321)</f>
        <v/>
      </c>
      <c r="AG321" s="41" t="str">
        <f aca="false">IF(OR($S321="",$T321=""),"",$T321-$S321)</f>
        <v/>
      </c>
      <c r="AH321" s="41" t="str">
        <f aca="false">IF(OR($T321="",$U321=""),"",$U321-$T321)</f>
        <v/>
      </c>
      <c r="AI321" s="41" t="str">
        <f aca="false">IF(OR($R321="",$U321=""),"",$U321-$R321)</f>
        <v/>
      </c>
      <c r="AJ321" s="41" t="str">
        <f aca="false">IF(OR($U321="",$AB321=""),"",$AB321-$U321)</f>
        <v/>
      </c>
      <c r="AK321" s="41" t="str">
        <f aca="false">IF(OR($R321="",$AD321=""),"",$AD321-$R321)</f>
        <v/>
      </c>
      <c r="AL321" s="31"/>
      <c r="AM321" s="32"/>
      <c r="AN321" s="31"/>
    </row>
    <row r="322" customFormat="false" ht="15" hidden="false" customHeight="true" outlineLevel="0" collapsed="false">
      <c r="A322" s="38" t="str">
        <f aca="false">IF($B322="","",ROW()-3)</f>
        <v/>
      </c>
      <c r="B322" s="31"/>
      <c r="C322" s="31"/>
      <c r="D322" s="31"/>
      <c r="E322" s="31"/>
      <c r="F322" s="32"/>
      <c r="G322" s="32"/>
      <c r="H322" s="31"/>
      <c r="I322" s="31"/>
      <c r="J322" s="33"/>
      <c r="K322" s="34"/>
      <c r="L322" s="34"/>
      <c r="M322" s="34"/>
      <c r="N322" s="39" t="str">
        <f aca="false">IF($K322="","",$K322-N($L322)-N($M322))</f>
        <v/>
      </c>
      <c r="O322" s="31"/>
      <c r="P322" s="31"/>
      <c r="Q322" s="31"/>
      <c r="R322" s="32"/>
      <c r="S322" s="32"/>
      <c r="T322" s="32"/>
      <c r="U322" s="32"/>
      <c r="V322" s="31"/>
      <c r="W322" s="40" t="str">
        <f aca="false">IF(OR($F322="",$J322=""),"",$F322+$J322)</f>
        <v/>
      </c>
      <c r="X322" s="32"/>
      <c r="Y322" s="34"/>
      <c r="Z322" s="31"/>
      <c r="AA322" s="31"/>
      <c r="AB322" s="32"/>
      <c r="AC322" s="31"/>
      <c r="AD322" s="32"/>
      <c r="AE322" s="31"/>
      <c r="AF322" s="41" t="str">
        <f aca="false">IF(OR($R322="",$S322=""),"",$S322-$R322)</f>
        <v/>
      </c>
      <c r="AG322" s="41" t="str">
        <f aca="false">IF(OR($S322="",$T322=""),"",$T322-$S322)</f>
        <v/>
      </c>
      <c r="AH322" s="41" t="str">
        <f aca="false">IF(OR($T322="",$U322=""),"",$U322-$T322)</f>
        <v/>
      </c>
      <c r="AI322" s="41" t="str">
        <f aca="false">IF(OR($R322="",$U322=""),"",$U322-$R322)</f>
        <v/>
      </c>
      <c r="AJ322" s="41" t="str">
        <f aca="false">IF(OR($U322="",$AB322=""),"",$AB322-$U322)</f>
        <v/>
      </c>
      <c r="AK322" s="41" t="str">
        <f aca="false">IF(OR($R322="",$AD322=""),"",$AD322-$R322)</f>
        <v/>
      </c>
      <c r="AL322" s="31"/>
      <c r="AM322" s="32"/>
      <c r="AN322" s="31"/>
    </row>
    <row r="323" customFormat="false" ht="15" hidden="false" customHeight="true" outlineLevel="0" collapsed="false">
      <c r="A323" s="38" t="str">
        <f aca="false">IF($B323="","",ROW()-3)</f>
        <v/>
      </c>
      <c r="B323" s="31"/>
      <c r="C323" s="31"/>
      <c r="D323" s="31"/>
      <c r="E323" s="31"/>
      <c r="F323" s="32"/>
      <c r="G323" s="32"/>
      <c r="H323" s="31"/>
      <c r="I323" s="31"/>
      <c r="J323" s="33"/>
      <c r="K323" s="34"/>
      <c r="L323" s="34"/>
      <c r="M323" s="34"/>
      <c r="N323" s="39" t="str">
        <f aca="false">IF($K323="","",$K323-N($L323)-N($M323))</f>
        <v/>
      </c>
      <c r="O323" s="31"/>
      <c r="P323" s="31"/>
      <c r="Q323" s="31"/>
      <c r="R323" s="32"/>
      <c r="S323" s="32"/>
      <c r="T323" s="32"/>
      <c r="U323" s="32"/>
      <c r="V323" s="31"/>
      <c r="W323" s="40" t="str">
        <f aca="false">IF(OR($F323="",$J323=""),"",$F323+$J323)</f>
        <v/>
      </c>
      <c r="X323" s="32"/>
      <c r="Y323" s="34"/>
      <c r="Z323" s="31"/>
      <c r="AA323" s="31"/>
      <c r="AB323" s="32"/>
      <c r="AC323" s="31"/>
      <c r="AD323" s="32"/>
      <c r="AE323" s="31"/>
      <c r="AF323" s="41" t="str">
        <f aca="false">IF(OR($R323="",$S323=""),"",$S323-$R323)</f>
        <v/>
      </c>
      <c r="AG323" s="41" t="str">
        <f aca="false">IF(OR($S323="",$T323=""),"",$T323-$S323)</f>
        <v/>
      </c>
      <c r="AH323" s="41" t="str">
        <f aca="false">IF(OR($T323="",$U323=""),"",$U323-$T323)</f>
        <v/>
      </c>
      <c r="AI323" s="41" t="str">
        <f aca="false">IF(OR($R323="",$U323=""),"",$U323-$R323)</f>
        <v/>
      </c>
      <c r="AJ323" s="41" t="str">
        <f aca="false">IF(OR($U323="",$AB323=""),"",$AB323-$U323)</f>
        <v/>
      </c>
      <c r="AK323" s="41" t="str">
        <f aca="false">IF(OR($R323="",$AD323=""),"",$AD323-$R323)</f>
        <v/>
      </c>
      <c r="AL323" s="31"/>
      <c r="AM323" s="32"/>
      <c r="AN323" s="31"/>
    </row>
    <row r="324" customFormat="false" ht="15" hidden="false" customHeight="true" outlineLevel="0" collapsed="false">
      <c r="A324" s="38" t="str">
        <f aca="false">IF($B324="","",ROW()-3)</f>
        <v/>
      </c>
      <c r="B324" s="31"/>
      <c r="C324" s="31"/>
      <c r="D324" s="31"/>
      <c r="E324" s="31"/>
      <c r="F324" s="32"/>
      <c r="G324" s="32"/>
      <c r="H324" s="31"/>
      <c r="I324" s="31"/>
      <c r="J324" s="33"/>
      <c r="K324" s="34"/>
      <c r="L324" s="34"/>
      <c r="M324" s="34"/>
      <c r="N324" s="39" t="str">
        <f aca="false">IF($K324="","",$K324-N($L324)-N($M324))</f>
        <v/>
      </c>
      <c r="O324" s="31"/>
      <c r="P324" s="31"/>
      <c r="Q324" s="31"/>
      <c r="R324" s="32"/>
      <c r="S324" s="32"/>
      <c r="T324" s="32"/>
      <c r="U324" s="32"/>
      <c r="V324" s="31"/>
      <c r="W324" s="40" t="str">
        <f aca="false">IF(OR($F324="",$J324=""),"",$F324+$J324)</f>
        <v/>
      </c>
      <c r="X324" s="32"/>
      <c r="Y324" s="34"/>
      <c r="Z324" s="31"/>
      <c r="AA324" s="31"/>
      <c r="AB324" s="32"/>
      <c r="AC324" s="31"/>
      <c r="AD324" s="32"/>
      <c r="AE324" s="31"/>
      <c r="AF324" s="41" t="str">
        <f aca="false">IF(OR($R324="",$S324=""),"",$S324-$R324)</f>
        <v/>
      </c>
      <c r="AG324" s="41" t="str">
        <f aca="false">IF(OR($S324="",$T324=""),"",$T324-$S324)</f>
        <v/>
      </c>
      <c r="AH324" s="41" t="str">
        <f aca="false">IF(OR($T324="",$U324=""),"",$U324-$T324)</f>
        <v/>
      </c>
      <c r="AI324" s="41" t="str">
        <f aca="false">IF(OR($R324="",$U324=""),"",$U324-$R324)</f>
        <v/>
      </c>
      <c r="AJ324" s="41" t="str">
        <f aca="false">IF(OR($U324="",$AB324=""),"",$AB324-$U324)</f>
        <v/>
      </c>
      <c r="AK324" s="41" t="str">
        <f aca="false">IF(OR($R324="",$AD324=""),"",$AD324-$R324)</f>
        <v/>
      </c>
      <c r="AL324" s="31"/>
      <c r="AM324" s="32"/>
      <c r="AN324" s="31"/>
    </row>
    <row r="325" customFormat="false" ht="15" hidden="false" customHeight="true" outlineLevel="0" collapsed="false">
      <c r="A325" s="38" t="str">
        <f aca="false">IF($B325="","",ROW()-3)</f>
        <v/>
      </c>
      <c r="B325" s="31"/>
      <c r="C325" s="31"/>
      <c r="D325" s="31"/>
      <c r="E325" s="31"/>
      <c r="F325" s="32"/>
      <c r="G325" s="32"/>
      <c r="H325" s="31"/>
      <c r="I325" s="31"/>
      <c r="J325" s="33"/>
      <c r="K325" s="34"/>
      <c r="L325" s="34"/>
      <c r="M325" s="34"/>
      <c r="N325" s="39" t="str">
        <f aca="false">IF($K325="","",$K325-N($L325)-N($M325))</f>
        <v/>
      </c>
      <c r="O325" s="31"/>
      <c r="P325" s="31"/>
      <c r="Q325" s="31"/>
      <c r="R325" s="32"/>
      <c r="S325" s="32"/>
      <c r="T325" s="32"/>
      <c r="U325" s="32"/>
      <c r="V325" s="31"/>
      <c r="W325" s="40" t="str">
        <f aca="false">IF(OR($F325="",$J325=""),"",$F325+$J325)</f>
        <v/>
      </c>
      <c r="X325" s="32"/>
      <c r="Y325" s="34"/>
      <c r="Z325" s="31"/>
      <c r="AA325" s="31"/>
      <c r="AB325" s="32"/>
      <c r="AC325" s="31"/>
      <c r="AD325" s="32"/>
      <c r="AE325" s="31"/>
      <c r="AF325" s="41" t="str">
        <f aca="false">IF(OR($R325="",$S325=""),"",$S325-$R325)</f>
        <v/>
      </c>
      <c r="AG325" s="41" t="str">
        <f aca="false">IF(OR($S325="",$T325=""),"",$T325-$S325)</f>
        <v/>
      </c>
      <c r="AH325" s="41" t="str">
        <f aca="false">IF(OR($T325="",$U325=""),"",$U325-$T325)</f>
        <v/>
      </c>
      <c r="AI325" s="41" t="str">
        <f aca="false">IF(OR($R325="",$U325=""),"",$U325-$R325)</f>
        <v/>
      </c>
      <c r="AJ325" s="41" t="str">
        <f aca="false">IF(OR($U325="",$AB325=""),"",$AB325-$U325)</f>
        <v/>
      </c>
      <c r="AK325" s="41" t="str">
        <f aca="false">IF(OR($R325="",$AD325=""),"",$AD325-$R325)</f>
        <v/>
      </c>
      <c r="AL325" s="31"/>
      <c r="AM325" s="32"/>
      <c r="AN325" s="31"/>
    </row>
    <row r="326" customFormat="false" ht="15" hidden="false" customHeight="true" outlineLevel="0" collapsed="false">
      <c r="A326" s="38" t="str">
        <f aca="false">IF($B326="","",ROW()-3)</f>
        <v/>
      </c>
      <c r="B326" s="31"/>
      <c r="C326" s="31"/>
      <c r="D326" s="31"/>
      <c r="E326" s="31"/>
      <c r="F326" s="32"/>
      <c r="G326" s="32"/>
      <c r="H326" s="31"/>
      <c r="I326" s="31"/>
      <c r="J326" s="33"/>
      <c r="K326" s="34"/>
      <c r="L326" s="34"/>
      <c r="M326" s="34"/>
      <c r="N326" s="39" t="str">
        <f aca="false">IF($K326="","",$K326-N($L326)-N($M326))</f>
        <v/>
      </c>
      <c r="O326" s="31"/>
      <c r="P326" s="31"/>
      <c r="Q326" s="31"/>
      <c r="R326" s="32"/>
      <c r="S326" s="32"/>
      <c r="T326" s="32"/>
      <c r="U326" s="32"/>
      <c r="V326" s="31"/>
      <c r="W326" s="40" t="str">
        <f aca="false">IF(OR($F326="",$J326=""),"",$F326+$J326)</f>
        <v/>
      </c>
      <c r="X326" s="32"/>
      <c r="Y326" s="34"/>
      <c r="Z326" s="31"/>
      <c r="AA326" s="31"/>
      <c r="AB326" s="32"/>
      <c r="AC326" s="31"/>
      <c r="AD326" s="32"/>
      <c r="AE326" s="31"/>
      <c r="AF326" s="41" t="str">
        <f aca="false">IF(OR($R326="",$S326=""),"",$S326-$R326)</f>
        <v/>
      </c>
      <c r="AG326" s="41" t="str">
        <f aca="false">IF(OR($S326="",$T326=""),"",$T326-$S326)</f>
        <v/>
      </c>
      <c r="AH326" s="41" t="str">
        <f aca="false">IF(OR($T326="",$U326=""),"",$U326-$T326)</f>
        <v/>
      </c>
      <c r="AI326" s="41" t="str">
        <f aca="false">IF(OR($R326="",$U326=""),"",$U326-$R326)</f>
        <v/>
      </c>
      <c r="AJ326" s="41" t="str">
        <f aca="false">IF(OR($U326="",$AB326=""),"",$AB326-$U326)</f>
        <v/>
      </c>
      <c r="AK326" s="41" t="str">
        <f aca="false">IF(OR($R326="",$AD326=""),"",$AD326-$R326)</f>
        <v/>
      </c>
      <c r="AL326" s="31"/>
      <c r="AM326" s="32"/>
      <c r="AN326" s="31"/>
    </row>
    <row r="327" customFormat="false" ht="15" hidden="false" customHeight="true" outlineLevel="0" collapsed="false">
      <c r="A327" s="38" t="str">
        <f aca="false">IF($B327="","",ROW()-3)</f>
        <v/>
      </c>
      <c r="B327" s="31"/>
      <c r="C327" s="31"/>
      <c r="D327" s="31"/>
      <c r="E327" s="31"/>
      <c r="F327" s="32"/>
      <c r="G327" s="32"/>
      <c r="H327" s="31"/>
      <c r="I327" s="31"/>
      <c r="J327" s="33"/>
      <c r="K327" s="34"/>
      <c r="L327" s="34"/>
      <c r="M327" s="34"/>
      <c r="N327" s="39" t="str">
        <f aca="false">IF($K327="","",$K327-N($L327)-N($M327))</f>
        <v/>
      </c>
      <c r="O327" s="31"/>
      <c r="P327" s="31"/>
      <c r="Q327" s="31"/>
      <c r="R327" s="32"/>
      <c r="S327" s="32"/>
      <c r="T327" s="32"/>
      <c r="U327" s="32"/>
      <c r="V327" s="31"/>
      <c r="W327" s="40" t="str">
        <f aca="false">IF(OR($F327="",$J327=""),"",$F327+$J327)</f>
        <v/>
      </c>
      <c r="X327" s="32"/>
      <c r="Y327" s="34"/>
      <c r="Z327" s="31"/>
      <c r="AA327" s="31"/>
      <c r="AB327" s="32"/>
      <c r="AC327" s="31"/>
      <c r="AD327" s="32"/>
      <c r="AE327" s="31"/>
      <c r="AF327" s="41" t="str">
        <f aca="false">IF(OR($R327="",$S327=""),"",$S327-$R327)</f>
        <v/>
      </c>
      <c r="AG327" s="41" t="str">
        <f aca="false">IF(OR($S327="",$T327=""),"",$T327-$S327)</f>
        <v/>
      </c>
      <c r="AH327" s="41" t="str">
        <f aca="false">IF(OR($T327="",$U327=""),"",$U327-$T327)</f>
        <v/>
      </c>
      <c r="AI327" s="41" t="str">
        <f aca="false">IF(OR($R327="",$U327=""),"",$U327-$R327)</f>
        <v/>
      </c>
      <c r="AJ327" s="41" t="str">
        <f aca="false">IF(OR($U327="",$AB327=""),"",$AB327-$U327)</f>
        <v/>
      </c>
      <c r="AK327" s="41" t="str">
        <f aca="false">IF(OR($R327="",$AD327=""),"",$AD327-$R327)</f>
        <v/>
      </c>
      <c r="AL327" s="31"/>
      <c r="AM327" s="32"/>
      <c r="AN327" s="31"/>
    </row>
    <row r="328" customFormat="false" ht="15" hidden="false" customHeight="true" outlineLevel="0" collapsed="false">
      <c r="A328" s="38" t="str">
        <f aca="false">IF($B328="","",ROW()-3)</f>
        <v/>
      </c>
      <c r="B328" s="31"/>
      <c r="C328" s="31"/>
      <c r="D328" s="31"/>
      <c r="E328" s="31"/>
      <c r="F328" s="32"/>
      <c r="G328" s="32"/>
      <c r="H328" s="31"/>
      <c r="I328" s="31"/>
      <c r="J328" s="33"/>
      <c r="K328" s="34"/>
      <c r="L328" s="34"/>
      <c r="M328" s="34"/>
      <c r="N328" s="39" t="str">
        <f aca="false">IF($K328="","",$K328-N($L328)-N($M328))</f>
        <v/>
      </c>
      <c r="O328" s="31"/>
      <c r="P328" s="31"/>
      <c r="Q328" s="31"/>
      <c r="R328" s="32"/>
      <c r="S328" s="32"/>
      <c r="T328" s="32"/>
      <c r="U328" s="32"/>
      <c r="V328" s="31"/>
      <c r="W328" s="40" t="str">
        <f aca="false">IF(OR($F328="",$J328=""),"",$F328+$J328)</f>
        <v/>
      </c>
      <c r="X328" s="32"/>
      <c r="Y328" s="34"/>
      <c r="Z328" s="31"/>
      <c r="AA328" s="31"/>
      <c r="AB328" s="32"/>
      <c r="AC328" s="31"/>
      <c r="AD328" s="32"/>
      <c r="AE328" s="31"/>
      <c r="AF328" s="41" t="str">
        <f aca="false">IF(OR($R328="",$S328=""),"",$S328-$R328)</f>
        <v/>
      </c>
      <c r="AG328" s="41" t="str">
        <f aca="false">IF(OR($S328="",$T328=""),"",$T328-$S328)</f>
        <v/>
      </c>
      <c r="AH328" s="41" t="str">
        <f aca="false">IF(OR($T328="",$U328=""),"",$U328-$T328)</f>
        <v/>
      </c>
      <c r="AI328" s="41" t="str">
        <f aca="false">IF(OR($R328="",$U328=""),"",$U328-$R328)</f>
        <v/>
      </c>
      <c r="AJ328" s="41" t="str">
        <f aca="false">IF(OR($U328="",$AB328=""),"",$AB328-$U328)</f>
        <v/>
      </c>
      <c r="AK328" s="41" t="str">
        <f aca="false">IF(OR($R328="",$AD328=""),"",$AD328-$R328)</f>
        <v/>
      </c>
      <c r="AL328" s="31"/>
      <c r="AM328" s="32"/>
      <c r="AN328" s="31"/>
    </row>
    <row r="329" customFormat="false" ht="15" hidden="false" customHeight="true" outlineLevel="0" collapsed="false">
      <c r="A329" s="38" t="str">
        <f aca="false">IF($B329="","",ROW()-3)</f>
        <v/>
      </c>
      <c r="B329" s="31"/>
      <c r="C329" s="31"/>
      <c r="D329" s="31"/>
      <c r="E329" s="31"/>
      <c r="F329" s="32"/>
      <c r="G329" s="32"/>
      <c r="H329" s="31"/>
      <c r="I329" s="31"/>
      <c r="J329" s="33"/>
      <c r="K329" s="34"/>
      <c r="L329" s="34"/>
      <c r="M329" s="34"/>
      <c r="N329" s="39" t="str">
        <f aca="false">IF($K329="","",$K329-N($L329)-N($M329))</f>
        <v/>
      </c>
      <c r="O329" s="31"/>
      <c r="P329" s="31"/>
      <c r="Q329" s="31"/>
      <c r="R329" s="32"/>
      <c r="S329" s="32"/>
      <c r="T329" s="32"/>
      <c r="U329" s="32"/>
      <c r="V329" s="31"/>
      <c r="W329" s="40" t="str">
        <f aca="false">IF(OR($F329="",$J329=""),"",$F329+$J329)</f>
        <v/>
      </c>
      <c r="X329" s="32"/>
      <c r="Y329" s="34"/>
      <c r="Z329" s="31"/>
      <c r="AA329" s="31"/>
      <c r="AB329" s="32"/>
      <c r="AC329" s="31"/>
      <c r="AD329" s="32"/>
      <c r="AE329" s="31"/>
      <c r="AF329" s="41" t="str">
        <f aca="false">IF(OR($R329="",$S329=""),"",$S329-$R329)</f>
        <v/>
      </c>
      <c r="AG329" s="41" t="str">
        <f aca="false">IF(OR($S329="",$T329=""),"",$T329-$S329)</f>
        <v/>
      </c>
      <c r="AH329" s="41" t="str">
        <f aca="false">IF(OR($T329="",$U329=""),"",$U329-$T329)</f>
        <v/>
      </c>
      <c r="AI329" s="41" t="str">
        <f aca="false">IF(OR($R329="",$U329=""),"",$U329-$R329)</f>
        <v/>
      </c>
      <c r="AJ329" s="41" t="str">
        <f aca="false">IF(OR($U329="",$AB329=""),"",$AB329-$U329)</f>
        <v/>
      </c>
      <c r="AK329" s="41" t="str">
        <f aca="false">IF(OR($R329="",$AD329=""),"",$AD329-$R329)</f>
        <v/>
      </c>
      <c r="AL329" s="31"/>
      <c r="AM329" s="32"/>
      <c r="AN329" s="31"/>
    </row>
    <row r="330" customFormat="false" ht="15" hidden="false" customHeight="true" outlineLevel="0" collapsed="false">
      <c r="A330" s="38" t="str">
        <f aca="false">IF($B330="","",ROW()-3)</f>
        <v/>
      </c>
      <c r="B330" s="31"/>
      <c r="C330" s="31"/>
      <c r="D330" s="31"/>
      <c r="E330" s="31"/>
      <c r="F330" s="32"/>
      <c r="G330" s="32"/>
      <c r="H330" s="31"/>
      <c r="I330" s="31"/>
      <c r="J330" s="33"/>
      <c r="K330" s="34"/>
      <c r="L330" s="34"/>
      <c r="M330" s="34"/>
      <c r="N330" s="39" t="str">
        <f aca="false">IF($K330="","",$K330-N($L330)-N($M330))</f>
        <v/>
      </c>
      <c r="O330" s="31"/>
      <c r="P330" s="31"/>
      <c r="Q330" s="31"/>
      <c r="R330" s="32"/>
      <c r="S330" s="32"/>
      <c r="T330" s="32"/>
      <c r="U330" s="32"/>
      <c r="V330" s="31"/>
      <c r="W330" s="40" t="str">
        <f aca="false">IF(OR($F330="",$J330=""),"",$F330+$J330)</f>
        <v/>
      </c>
      <c r="X330" s="32"/>
      <c r="Y330" s="34"/>
      <c r="Z330" s="31"/>
      <c r="AA330" s="31"/>
      <c r="AB330" s="32"/>
      <c r="AC330" s="31"/>
      <c r="AD330" s="32"/>
      <c r="AE330" s="31"/>
      <c r="AF330" s="41" t="str">
        <f aca="false">IF(OR($R330="",$S330=""),"",$S330-$R330)</f>
        <v/>
      </c>
      <c r="AG330" s="41" t="str">
        <f aca="false">IF(OR($S330="",$T330=""),"",$T330-$S330)</f>
        <v/>
      </c>
      <c r="AH330" s="41" t="str">
        <f aca="false">IF(OR($T330="",$U330=""),"",$U330-$T330)</f>
        <v/>
      </c>
      <c r="AI330" s="41" t="str">
        <f aca="false">IF(OR($R330="",$U330=""),"",$U330-$R330)</f>
        <v/>
      </c>
      <c r="AJ330" s="41" t="str">
        <f aca="false">IF(OR($U330="",$AB330=""),"",$AB330-$U330)</f>
        <v/>
      </c>
      <c r="AK330" s="41" t="str">
        <f aca="false">IF(OR($R330="",$AD330=""),"",$AD330-$R330)</f>
        <v/>
      </c>
      <c r="AL330" s="31"/>
      <c r="AM330" s="32"/>
      <c r="AN330" s="31"/>
    </row>
    <row r="331" customFormat="false" ht="15" hidden="false" customHeight="true" outlineLevel="0" collapsed="false">
      <c r="A331" s="38" t="str">
        <f aca="false">IF($B331="","",ROW()-3)</f>
        <v/>
      </c>
      <c r="B331" s="31"/>
      <c r="C331" s="31"/>
      <c r="D331" s="31"/>
      <c r="E331" s="31"/>
      <c r="F331" s="32"/>
      <c r="G331" s="32"/>
      <c r="H331" s="31"/>
      <c r="I331" s="31"/>
      <c r="J331" s="33"/>
      <c r="K331" s="34"/>
      <c r="L331" s="34"/>
      <c r="M331" s="34"/>
      <c r="N331" s="39" t="str">
        <f aca="false">IF($K331="","",$K331-N($L331)-N($M331))</f>
        <v/>
      </c>
      <c r="O331" s="31"/>
      <c r="P331" s="31"/>
      <c r="Q331" s="31"/>
      <c r="R331" s="32"/>
      <c r="S331" s="32"/>
      <c r="T331" s="32"/>
      <c r="U331" s="32"/>
      <c r="V331" s="31"/>
      <c r="W331" s="40" t="str">
        <f aca="false">IF(OR($F331="",$J331=""),"",$F331+$J331)</f>
        <v/>
      </c>
      <c r="X331" s="32"/>
      <c r="Y331" s="34"/>
      <c r="Z331" s="31"/>
      <c r="AA331" s="31"/>
      <c r="AB331" s="32"/>
      <c r="AC331" s="31"/>
      <c r="AD331" s="32"/>
      <c r="AE331" s="31"/>
      <c r="AF331" s="41" t="str">
        <f aca="false">IF(OR($R331="",$S331=""),"",$S331-$R331)</f>
        <v/>
      </c>
      <c r="AG331" s="41" t="str">
        <f aca="false">IF(OR($S331="",$T331=""),"",$T331-$S331)</f>
        <v/>
      </c>
      <c r="AH331" s="41" t="str">
        <f aca="false">IF(OR($T331="",$U331=""),"",$U331-$T331)</f>
        <v/>
      </c>
      <c r="AI331" s="41" t="str">
        <f aca="false">IF(OR($R331="",$U331=""),"",$U331-$R331)</f>
        <v/>
      </c>
      <c r="AJ331" s="41" t="str">
        <f aca="false">IF(OR($U331="",$AB331=""),"",$AB331-$U331)</f>
        <v/>
      </c>
      <c r="AK331" s="41" t="str">
        <f aca="false">IF(OR($R331="",$AD331=""),"",$AD331-$R331)</f>
        <v/>
      </c>
      <c r="AL331" s="31"/>
      <c r="AM331" s="32"/>
      <c r="AN331" s="31"/>
    </row>
    <row r="332" customFormat="false" ht="15" hidden="false" customHeight="true" outlineLevel="0" collapsed="false">
      <c r="A332" s="38" t="str">
        <f aca="false">IF($B332="","",ROW()-3)</f>
        <v/>
      </c>
      <c r="B332" s="31"/>
      <c r="C332" s="31"/>
      <c r="D332" s="31"/>
      <c r="E332" s="31"/>
      <c r="F332" s="32"/>
      <c r="G332" s="32"/>
      <c r="H332" s="31"/>
      <c r="I332" s="31"/>
      <c r="J332" s="33"/>
      <c r="K332" s="34"/>
      <c r="L332" s="34"/>
      <c r="M332" s="34"/>
      <c r="N332" s="39" t="str">
        <f aca="false">IF($K332="","",$K332-N($L332)-N($M332))</f>
        <v/>
      </c>
      <c r="O332" s="31"/>
      <c r="P332" s="31"/>
      <c r="Q332" s="31"/>
      <c r="R332" s="32"/>
      <c r="S332" s="32"/>
      <c r="T332" s="32"/>
      <c r="U332" s="32"/>
      <c r="V332" s="31"/>
      <c r="W332" s="40" t="str">
        <f aca="false">IF(OR($F332="",$J332=""),"",$F332+$J332)</f>
        <v/>
      </c>
      <c r="X332" s="32"/>
      <c r="Y332" s="34"/>
      <c r="Z332" s="31"/>
      <c r="AA332" s="31"/>
      <c r="AB332" s="32"/>
      <c r="AC332" s="31"/>
      <c r="AD332" s="32"/>
      <c r="AE332" s="31"/>
      <c r="AF332" s="41" t="str">
        <f aca="false">IF(OR($R332="",$S332=""),"",$S332-$R332)</f>
        <v/>
      </c>
      <c r="AG332" s="41" t="str">
        <f aca="false">IF(OR($S332="",$T332=""),"",$T332-$S332)</f>
        <v/>
      </c>
      <c r="AH332" s="41" t="str">
        <f aca="false">IF(OR($T332="",$U332=""),"",$U332-$T332)</f>
        <v/>
      </c>
      <c r="AI332" s="41" t="str">
        <f aca="false">IF(OR($R332="",$U332=""),"",$U332-$R332)</f>
        <v/>
      </c>
      <c r="AJ332" s="41" t="str">
        <f aca="false">IF(OR($U332="",$AB332=""),"",$AB332-$U332)</f>
        <v/>
      </c>
      <c r="AK332" s="41" t="str">
        <f aca="false">IF(OR($R332="",$AD332=""),"",$AD332-$R332)</f>
        <v/>
      </c>
      <c r="AL332" s="31"/>
      <c r="AM332" s="32"/>
      <c r="AN332" s="31"/>
    </row>
    <row r="333" customFormat="false" ht="15" hidden="false" customHeight="true" outlineLevel="0" collapsed="false">
      <c r="A333" s="38" t="str">
        <f aca="false">IF($B333="","",ROW()-3)</f>
        <v/>
      </c>
      <c r="B333" s="31"/>
      <c r="C333" s="31"/>
      <c r="D333" s="31"/>
      <c r="E333" s="31"/>
      <c r="F333" s="32"/>
      <c r="G333" s="32"/>
      <c r="H333" s="31"/>
      <c r="I333" s="31"/>
      <c r="J333" s="33"/>
      <c r="K333" s="34"/>
      <c r="L333" s="34"/>
      <c r="M333" s="34"/>
      <c r="N333" s="39" t="str">
        <f aca="false">IF($K333="","",$K333-N($L333)-N($M333))</f>
        <v/>
      </c>
      <c r="O333" s="31"/>
      <c r="P333" s="31"/>
      <c r="Q333" s="31"/>
      <c r="R333" s="32"/>
      <c r="S333" s="32"/>
      <c r="T333" s="32"/>
      <c r="U333" s="32"/>
      <c r="V333" s="31"/>
      <c r="W333" s="40" t="str">
        <f aca="false">IF(OR($F333="",$J333=""),"",$F333+$J333)</f>
        <v/>
      </c>
      <c r="X333" s="32"/>
      <c r="Y333" s="34"/>
      <c r="Z333" s="31"/>
      <c r="AA333" s="31"/>
      <c r="AB333" s="32"/>
      <c r="AC333" s="31"/>
      <c r="AD333" s="32"/>
      <c r="AE333" s="31"/>
      <c r="AF333" s="41" t="str">
        <f aca="false">IF(OR($R333="",$S333=""),"",$S333-$R333)</f>
        <v/>
      </c>
      <c r="AG333" s="41" t="str">
        <f aca="false">IF(OR($S333="",$T333=""),"",$T333-$S333)</f>
        <v/>
      </c>
      <c r="AH333" s="41" t="str">
        <f aca="false">IF(OR($T333="",$U333=""),"",$U333-$T333)</f>
        <v/>
      </c>
      <c r="AI333" s="41" t="str">
        <f aca="false">IF(OR($R333="",$U333=""),"",$U333-$R333)</f>
        <v/>
      </c>
      <c r="AJ333" s="41" t="str">
        <f aca="false">IF(OR($U333="",$AB333=""),"",$AB333-$U333)</f>
        <v/>
      </c>
      <c r="AK333" s="41" t="str">
        <f aca="false">IF(OR($R333="",$AD333=""),"",$AD333-$R333)</f>
        <v/>
      </c>
      <c r="AL333" s="31"/>
      <c r="AM333" s="32"/>
      <c r="AN333" s="31"/>
    </row>
    <row r="334" customFormat="false" ht="15" hidden="false" customHeight="true" outlineLevel="0" collapsed="false">
      <c r="A334" s="38" t="str">
        <f aca="false">IF($B334="","",ROW()-3)</f>
        <v/>
      </c>
      <c r="B334" s="31"/>
      <c r="C334" s="31"/>
      <c r="D334" s="31"/>
      <c r="E334" s="31"/>
      <c r="F334" s="32"/>
      <c r="G334" s="32"/>
      <c r="H334" s="31"/>
      <c r="I334" s="31"/>
      <c r="J334" s="33"/>
      <c r="K334" s="34"/>
      <c r="L334" s="34"/>
      <c r="M334" s="34"/>
      <c r="N334" s="39" t="str">
        <f aca="false">IF($K334="","",$K334-N($L334)-N($M334))</f>
        <v/>
      </c>
      <c r="O334" s="31"/>
      <c r="P334" s="31"/>
      <c r="Q334" s="31"/>
      <c r="R334" s="32"/>
      <c r="S334" s="32"/>
      <c r="T334" s="32"/>
      <c r="U334" s="32"/>
      <c r="V334" s="31"/>
      <c r="W334" s="40" t="str">
        <f aca="false">IF(OR($F334="",$J334=""),"",$F334+$J334)</f>
        <v/>
      </c>
      <c r="X334" s="32"/>
      <c r="Y334" s="34"/>
      <c r="Z334" s="31"/>
      <c r="AA334" s="31"/>
      <c r="AB334" s="32"/>
      <c r="AC334" s="31"/>
      <c r="AD334" s="32"/>
      <c r="AE334" s="31"/>
      <c r="AF334" s="41" t="str">
        <f aca="false">IF(OR($R334="",$S334=""),"",$S334-$R334)</f>
        <v/>
      </c>
      <c r="AG334" s="41" t="str">
        <f aca="false">IF(OR($S334="",$T334=""),"",$T334-$S334)</f>
        <v/>
      </c>
      <c r="AH334" s="41" t="str">
        <f aca="false">IF(OR($T334="",$U334=""),"",$U334-$T334)</f>
        <v/>
      </c>
      <c r="AI334" s="41" t="str">
        <f aca="false">IF(OR($R334="",$U334=""),"",$U334-$R334)</f>
        <v/>
      </c>
      <c r="AJ334" s="41" t="str">
        <f aca="false">IF(OR($U334="",$AB334=""),"",$AB334-$U334)</f>
        <v/>
      </c>
      <c r="AK334" s="41" t="str">
        <f aca="false">IF(OR($R334="",$AD334=""),"",$AD334-$R334)</f>
        <v/>
      </c>
      <c r="AL334" s="31"/>
      <c r="AM334" s="32"/>
      <c r="AN334" s="31"/>
    </row>
    <row r="335" customFormat="false" ht="15" hidden="false" customHeight="true" outlineLevel="0" collapsed="false">
      <c r="A335" s="38" t="str">
        <f aca="false">IF($B335="","",ROW()-3)</f>
        <v/>
      </c>
      <c r="B335" s="31"/>
      <c r="C335" s="31"/>
      <c r="D335" s="31"/>
      <c r="E335" s="31"/>
      <c r="F335" s="32"/>
      <c r="G335" s="32"/>
      <c r="H335" s="31"/>
      <c r="I335" s="31"/>
      <c r="J335" s="33"/>
      <c r="K335" s="34"/>
      <c r="L335" s="34"/>
      <c r="M335" s="34"/>
      <c r="N335" s="39" t="str">
        <f aca="false">IF($K335="","",$K335-N($L335)-N($M335))</f>
        <v/>
      </c>
      <c r="O335" s="31"/>
      <c r="P335" s="31"/>
      <c r="Q335" s="31"/>
      <c r="R335" s="32"/>
      <c r="S335" s="32"/>
      <c r="T335" s="32"/>
      <c r="U335" s="32"/>
      <c r="V335" s="31"/>
      <c r="W335" s="40" t="str">
        <f aca="false">IF(OR($F335="",$J335=""),"",$F335+$J335)</f>
        <v/>
      </c>
      <c r="X335" s="32"/>
      <c r="Y335" s="34"/>
      <c r="Z335" s="31"/>
      <c r="AA335" s="31"/>
      <c r="AB335" s="32"/>
      <c r="AC335" s="31"/>
      <c r="AD335" s="32"/>
      <c r="AE335" s="31"/>
      <c r="AF335" s="41" t="str">
        <f aca="false">IF(OR($R335="",$S335=""),"",$S335-$R335)</f>
        <v/>
      </c>
      <c r="AG335" s="41" t="str">
        <f aca="false">IF(OR($S335="",$T335=""),"",$T335-$S335)</f>
        <v/>
      </c>
      <c r="AH335" s="41" t="str">
        <f aca="false">IF(OR($T335="",$U335=""),"",$U335-$T335)</f>
        <v/>
      </c>
      <c r="AI335" s="41" t="str">
        <f aca="false">IF(OR($R335="",$U335=""),"",$U335-$R335)</f>
        <v/>
      </c>
      <c r="AJ335" s="41" t="str">
        <f aca="false">IF(OR($U335="",$AB335=""),"",$AB335-$U335)</f>
        <v/>
      </c>
      <c r="AK335" s="41" t="str">
        <f aca="false">IF(OR($R335="",$AD335=""),"",$AD335-$R335)</f>
        <v/>
      </c>
      <c r="AL335" s="31"/>
      <c r="AM335" s="32"/>
      <c r="AN335" s="31"/>
    </row>
    <row r="336" customFormat="false" ht="15" hidden="false" customHeight="true" outlineLevel="0" collapsed="false">
      <c r="A336" s="38" t="str">
        <f aca="false">IF($B336="","",ROW()-3)</f>
        <v/>
      </c>
      <c r="B336" s="31"/>
      <c r="C336" s="31"/>
      <c r="D336" s="31"/>
      <c r="E336" s="31"/>
      <c r="F336" s="32"/>
      <c r="G336" s="32"/>
      <c r="H336" s="31"/>
      <c r="I336" s="31"/>
      <c r="J336" s="33"/>
      <c r="K336" s="34"/>
      <c r="L336" s="34"/>
      <c r="M336" s="34"/>
      <c r="N336" s="39" t="str">
        <f aca="false">IF($K336="","",$K336-N($L336)-N($M336))</f>
        <v/>
      </c>
      <c r="O336" s="31"/>
      <c r="P336" s="31"/>
      <c r="Q336" s="31"/>
      <c r="R336" s="32"/>
      <c r="S336" s="32"/>
      <c r="T336" s="32"/>
      <c r="U336" s="32"/>
      <c r="V336" s="31"/>
      <c r="W336" s="40" t="str">
        <f aca="false">IF(OR($F336="",$J336=""),"",$F336+$J336)</f>
        <v/>
      </c>
      <c r="X336" s="32"/>
      <c r="Y336" s="34"/>
      <c r="Z336" s="31"/>
      <c r="AA336" s="31"/>
      <c r="AB336" s="32"/>
      <c r="AC336" s="31"/>
      <c r="AD336" s="32"/>
      <c r="AE336" s="31"/>
      <c r="AF336" s="41" t="str">
        <f aca="false">IF(OR($R336="",$S336=""),"",$S336-$R336)</f>
        <v/>
      </c>
      <c r="AG336" s="41" t="str">
        <f aca="false">IF(OR($S336="",$T336=""),"",$T336-$S336)</f>
        <v/>
      </c>
      <c r="AH336" s="41" t="str">
        <f aca="false">IF(OR($T336="",$U336=""),"",$U336-$T336)</f>
        <v/>
      </c>
      <c r="AI336" s="41" t="str">
        <f aca="false">IF(OR($R336="",$U336=""),"",$U336-$R336)</f>
        <v/>
      </c>
      <c r="AJ336" s="41" t="str">
        <f aca="false">IF(OR($U336="",$AB336=""),"",$AB336-$U336)</f>
        <v/>
      </c>
      <c r="AK336" s="41" t="str">
        <f aca="false">IF(OR($R336="",$AD336=""),"",$AD336-$R336)</f>
        <v/>
      </c>
      <c r="AL336" s="31"/>
      <c r="AM336" s="32"/>
      <c r="AN336" s="31"/>
    </row>
    <row r="337" customFormat="false" ht="15" hidden="false" customHeight="true" outlineLevel="0" collapsed="false">
      <c r="A337" s="38" t="str">
        <f aca="false">IF($B337="","",ROW()-3)</f>
        <v/>
      </c>
      <c r="B337" s="31"/>
      <c r="C337" s="31"/>
      <c r="D337" s="31"/>
      <c r="E337" s="31"/>
      <c r="F337" s="32"/>
      <c r="G337" s="32"/>
      <c r="H337" s="31"/>
      <c r="I337" s="31"/>
      <c r="J337" s="33"/>
      <c r="K337" s="34"/>
      <c r="L337" s="34"/>
      <c r="M337" s="34"/>
      <c r="N337" s="39" t="str">
        <f aca="false">IF($K337="","",$K337-N($L337)-N($M337))</f>
        <v/>
      </c>
      <c r="O337" s="31"/>
      <c r="P337" s="31"/>
      <c r="Q337" s="31"/>
      <c r="R337" s="32"/>
      <c r="S337" s="32"/>
      <c r="T337" s="32"/>
      <c r="U337" s="32"/>
      <c r="V337" s="31"/>
      <c r="W337" s="40" t="str">
        <f aca="false">IF(OR($F337="",$J337=""),"",$F337+$J337)</f>
        <v/>
      </c>
      <c r="X337" s="32"/>
      <c r="Y337" s="34"/>
      <c r="Z337" s="31"/>
      <c r="AA337" s="31"/>
      <c r="AB337" s="32"/>
      <c r="AC337" s="31"/>
      <c r="AD337" s="32"/>
      <c r="AE337" s="31"/>
      <c r="AF337" s="41" t="str">
        <f aca="false">IF(OR($R337="",$S337=""),"",$S337-$R337)</f>
        <v/>
      </c>
      <c r="AG337" s="41" t="str">
        <f aca="false">IF(OR($S337="",$T337=""),"",$T337-$S337)</f>
        <v/>
      </c>
      <c r="AH337" s="41" t="str">
        <f aca="false">IF(OR($T337="",$U337=""),"",$U337-$T337)</f>
        <v/>
      </c>
      <c r="AI337" s="41" t="str">
        <f aca="false">IF(OR($R337="",$U337=""),"",$U337-$R337)</f>
        <v/>
      </c>
      <c r="AJ337" s="41" t="str">
        <f aca="false">IF(OR($U337="",$AB337=""),"",$AB337-$U337)</f>
        <v/>
      </c>
      <c r="AK337" s="41" t="str">
        <f aca="false">IF(OR($R337="",$AD337=""),"",$AD337-$R337)</f>
        <v/>
      </c>
      <c r="AL337" s="31"/>
      <c r="AM337" s="32"/>
      <c r="AN337" s="31"/>
    </row>
    <row r="338" customFormat="false" ht="15" hidden="false" customHeight="true" outlineLevel="0" collapsed="false">
      <c r="A338" s="38" t="str">
        <f aca="false">IF($B338="","",ROW()-3)</f>
        <v/>
      </c>
      <c r="B338" s="31"/>
      <c r="C338" s="31"/>
      <c r="D338" s="31"/>
      <c r="E338" s="31"/>
      <c r="F338" s="32"/>
      <c r="G338" s="32"/>
      <c r="H338" s="31"/>
      <c r="I338" s="31"/>
      <c r="J338" s="33"/>
      <c r="K338" s="34"/>
      <c r="L338" s="34"/>
      <c r="M338" s="34"/>
      <c r="N338" s="39" t="str">
        <f aca="false">IF($K338="","",$K338-N($L338)-N($M338))</f>
        <v/>
      </c>
      <c r="O338" s="31"/>
      <c r="P338" s="31"/>
      <c r="Q338" s="31"/>
      <c r="R338" s="32"/>
      <c r="S338" s="32"/>
      <c r="T338" s="32"/>
      <c r="U338" s="32"/>
      <c r="V338" s="31"/>
      <c r="W338" s="40" t="str">
        <f aca="false">IF(OR($F338="",$J338=""),"",$F338+$J338)</f>
        <v/>
      </c>
      <c r="X338" s="32"/>
      <c r="Y338" s="34"/>
      <c r="Z338" s="31"/>
      <c r="AA338" s="31"/>
      <c r="AB338" s="32"/>
      <c r="AC338" s="31"/>
      <c r="AD338" s="32"/>
      <c r="AE338" s="31"/>
      <c r="AF338" s="41" t="str">
        <f aca="false">IF(OR($R338="",$S338=""),"",$S338-$R338)</f>
        <v/>
      </c>
      <c r="AG338" s="41" t="str">
        <f aca="false">IF(OR($S338="",$T338=""),"",$T338-$S338)</f>
        <v/>
      </c>
      <c r="AH338" s="41" t="str">
        <f aca="false">IF(OR($T338="",$U338=""),"",$U338-$T338)</f>
        <v/>
      </c>
      <c r="AI338" s="41" t="str">
        <f aca="false">IF(OR($R338="",$U338=""),"",$U338-$R338)</f>
        <v/>
      </c>
      <c r="AJ338" s="41" t="str">
        <f aca="false">IF(OR($U338="",$AB338=""),"",$AB338-$U338)</f>
        <v/>
      </c>
      <c r="AK338" s="41" t="str">
        <f aca="false">IF(OR($R338="",$AD338=""),"",$AD338-$R338)</f>
        <v/>
      </c>
      <c r="AL338" s="31"/>
      <c r="AM338" s="32"/>
      <c r="AN338" s="31"/>
    </row>
    <row r="339" customFormat="false" ht="15" hidden="false" customHeight="true" outlineLevel="0" collapsed="false">
      <c r="A339" s="38" t="str">
        <f aca="false">IF($B339="","",ROW()-3)</f>
        <v/>
      </c>
      <c r="B339" s="31"/>
      <c r="C339" s="31"/>
      <c r="D339" s="31"/>
      <c r="E339" s="31"/>
      <c r="F339" s="32"/>
      <c r="G339" s="32"/>
      <c r="H339" s="31"/>
      <c r="I339" s="31"/>
      <c r="J339" s="33"/>
      <c r="K339" s="34"/>
      <c r="L339" s="34"/>
      <c r="M339" s="34"/>
      <c r="N339" s="39" t="str">
        <f aca="false">IF($K339="","",$K339-N($L339)-N($M339))</f>
        <v/>
      </c>
      <c r="O339" s="31"/>
      <c r="P339" s="31"/>
      <c r="Q339" s="31"/>
      <c r="R339" s="32"/>
      <c r="S339" s="32"/>
      <c r="T339" s="32"/>
      <c r="U339" s="32"/>
      <c r="V339" s="31"/>
      <c r="W339" s="40" t="str">
        <f aca="false">IF(OR($F339="",$J339=""),"",$F339+$J339)</f>
        <v/>
      </c>
      <c r="X339" s="32"/>
      <c r="Y339" s="34"/>
      <c r="Z339" s="31"/>
      <c r="AA339" s="31"/>
      <c r="AB339" s="32"/>
      <c r="AC339" s="31"/>
      <c r="AD339" s="32"/>
      <c r="AE339" s="31"/>
      <c r="AF339" s="41" t="str">
        <f aca="false">IF(OR($R339="",$S339=""),"",$S339-$R339)</f>
        <v/>
      </c>
      <c r="AG339" s="41" t="str">
        <f aca="false">IF(OR($S339="",$T339=""),"",$T339-$S339)</f>
        <v/>
      </c>
      <c r="AH339" s="41" t="str">
        <f aca="false">IF(OR($T339="",$U339=""),"",$U339-$T339)</f>
        <v/>
      </c>
      <c r="AI339" s="41" t="str">
        <f aca="false">IF(OR($R339="",$U339=""),"",$U339-$R339)</f>
        <v/>
      </c>
      <c r="AJ339" s="41" t="str">
        <f aca="false">IF(OR($U339="",$AB339=""),"",$AB339-$U339)</f>
        <v/>
      </c>
      <c r="AK339" s="41" t="str">
        <f aca="false">IF(OR($R339="",$AD339=""),"",$AD339-$R339)</f>
        <v/>
      </c>
      <c r="AL339" s="31"/>
      <c r="AM339" s="32"/>
      <c r="AN339" s="31"/>
    </row>
    <row r="340" customFormat="false" ht="15" hidden="false" customHeight="true" outlineLevel="0" collapsed="false">
      <c r="A340" s="38" t="str">
        <f aca="false">IF($B340="","",ROW()-3)</f>
        <v/>
      </c>
      <c r="B340" s="31"/>
      <c r="C340" s="31"/>
      <c r="D340" s="31"/>
      <c r="E340" s="31"/>
      <c r="F340" s="32"/>
      <c r="G340" s="32"/>
      <c r="H340" s="31"/>
      <c r="I340" s="31"/>
      <c r="J340" s="33"/>
      <c r="K340" s="34"/>
      <c r="L340" s="34"/>
      <c r="M340" s="34"/>
      <c r="N340" s="39" t="str">
        <f aca="false">IF($K340="","",$K340-N($L340)-N($M340))</f>
        <v/>
      </c>
      <c r="O340" s="31"/>
      <c r="P340" s="31"/>
      <c r="Q340" s="31"/>
      <c r="R340" s="32"/>
      <c r="S340" s="32"/>
      <c r="T340" s="32"/>
      <c r="U340" s="32"/>
      <c r="V340" s="31"/>
      <c r="W340" s="40" t="str">
        <f aca="false">IF(OR($F340="",$J340=""),"",$F340+$J340)</f>
        <v/>
      </c>
      <c r="X340" s="32"/>
      <c r="Y340" s="34"/>
      <c r="Z340" s="31"/>
      <c r="AA340" s="31"/>
      <c r="AB340" s="32"/>
      <c r="AC340" s="31"/>
      <c r="AD340" s="32"/>
      <c r="AE340" s="31"/>
      <c r="AF340" s="41" t="str">
        <f aca="false">IF(OR($R340="",$S340=""),"",$S340-$R340)</f>
        <v/>
      </c>
      <c r="AG340" s="41" t="str">
        <f aca="false">IF(OR($S340="",$T340=""),"",$T340-$S340)</f>
        <v/>
      </c>
      <c r="AH340" s="41" t="str">
        <f aca="false">IF(OR($T340="",$U340=""),"",$U340-$T340)</f>
        <v/>
      </c>
      <c r="AI340" s="41" t="str">
        <f aca="false">IF(OR($R340="",$U340=""),"",$U340-$R340)</f>
        <v/>
      </c>
      <c r="AJ340" s="41" t="str">
        <f aca="false">IF(OR($U340="",$AB340=""),"",$AB340-$U340)</f>
        <v/>
      </c>
      <c r="AK340" s="41" t="str">
        <f aca="false">IF(OR($R340="",$AD340=""),"",$AD340-$R340)</f>
        <v/>
      </c>
      <c r="AL340" s="31"/>
      <c r="AM340" s="32"/>
      <c r="AN340" s="31"/>
    </row>
    <row r="341" customFormat="false" ht="15" hidden="false" customHeight="true" outlineLevel="0" collapsed="false">
      <c r="A341" s="38" t="str">
        <f aca="false">IF($B341="","",ROW()-3)</f>
        <v/>
      </c>
      <c r="B341" s="31"/>
      <c r="C341" s="31"/>
      <c r="D341" s="31"/>
      <c r="E341" s="31"/>
      <c r="F341" s="32"/>
      <c r="G341" s="32"/>
      <c r="H341" s="31"/>
      <c r="I341" s="31"/>
      <c r="J341" s="33"/>
      <c r="K341" s="34"/>
      <c r="L341" s="34"/>
      <c r="M341" s="34"/>
      <c r="N341" s="39" t="str">
        <f aca="false">IF($K341="","",$K341-N($L341)-N($M341))</f>
        <v/>
      </c>
      <c r="O341" s="31"/>
      <c r="P341" s="31"/>
      <c r="Q341" s="31"/>
      <c r="R341" s="32"/>
      <c r="S341" s="32"/>
      <c r="T341" s="32"/>
      <c r="U341" s="32"/>
      <c r="V341" s="31"/>
      <c r="W341" s="40" t="str">
        <f aca="false">IF(OR($F341="",$J341=""),"",$F341+$J341)</f>
        <v/>
      </c>
      <c r="X341" s="32"/>
      <c r="Y341" s="34"/>
      <c r="Z341" s="31"/>
      <c r="AA341" s="31"/>
      <c r="AB341" s="32"/>
      <c r="AC341" s="31"/>
      <c r="AD341" s="32"/>
      <c r="AE341" s="31"/>
      <c r="AF341" s="41" t="str">
        <f aca="false">IF(OR($R341="",$S341=""),"",$S341-$R341)</f>
        <v/>
      </c>
      <c r="AG341" s="41" t="str">
        <f aca="false">IF(OR($S341="",$T341=""),"",$T341-$S341)</f>
        <v/>
      </c>
      <c r="AH341" s="41" t="str">
        <f aca="false">IF(OR($T341="",$U341=""),"",$U341-$T341)</f>
        <v/>
      </c>
      <c r="AI341" s="41" t="str">
        <f aca="false">IF(OR($R341="",$U341=""),"",$U341-$R341)</f>
        <v/>
      </c>
      <c r="AJ341" s="41" t="str">
        <f aca="false">IF(OR($U341="",$AB341=""),"",$AB341-$U341)</f>
        <v/>
      </c>
      <c r="AK341" s="41" t="str">
        <f aca="false">IF(OR($R341="",$AD341=""),"",$AD341-$R341)</f>
        <v/>
      </c>
      <c r="AL341" s="31"/>
      <c r="AM341" s="32"/>
      <c r="AN341" s="31"/>
    </row>
    <row r="342" customFormat="false" ht="15" hidden="false" customHeight="true" outlineLevel="0" collapsed="false">
      <c r="A342" s="38" t="str">
        <f aca="false">IF($B342="","",ROW()-3)</f>
        <v/>
      </c>
      <c r="B342" s="31"/>
      <c r="C342" s="31"/>
      <c r="D342" s="31"/>
      <c r="E342" s="31"/>
      <c r="F342" s="32"/>
      <c r="G342" s="32"/>
      <c r="H342" s="31"/>
      <c r="I342" s="31"/>
      <c r="J342" s="33"/>
      <c r="K342" s="34"/>
      <c r="L342" s="34"/>
      <c r="M342" s="34"/>
      <c r="N342" s="39" t="str">
        <f aca="false">IF($K342="","",$K342-N($L342)-N($M342))</f>
        <v/>
      </c>
      <c r="O342" s="31"/>
      <c r="P342" s="31"/>
      <c r="Q342" s="31"/>
      <c r="R342" s="32"/>
      <c r="S342" s="32"/>
      <c r="T342" s="32"/>
      <c r="U342" s="32"/>
      <c r="V342" s="31"/>
      <c r="W342" s="40" t="str">
        <f aca="false">IF(OR($F342="",$J342=""),"",$F342+$J342)</f>
        <v/>
      </c>
      <c r="X342" s="32"/>
      <c r="Y342" s="34"/>
      <c r="Z342" s="31"/>
      <c r="AA342" s="31"/>
      <c r="AB342" s="32"/>
      <c r="AC342" s="31"/>
      <c r="AD342" s="32"/>
      <c r="AE342" s="31"/>
      <c r="AF342" s="41" t="str">
        <f aca="false">IF(OR($R342="",$S342=""),"",$S342-$R342)</f>
        <v/>
      </c>
      <c r="AG342" s="41" t="str">
        <f aca="false">IF(OR($S342="",$T342=""),"",$T342-$S342)</f>
        <v/>
      </c>
      <c r="AH342" s="41" t="str">
        <f aca="false">IF(OR($T342="",$U342=""),"",$U342-$T342)</f>
        <v/>
      </c>
      <c r="AI342" s="41" t="str">
        <f aca="false">IF(OR($R342="",$U342=""),"",$U342-$R342)</f>
        <v/>
      </c>
      <c r="AJ342" s="41" t="str">
        <f aca="false">IF(OR($U342="",$AB342=""),"",$AB342-$U342)</f>
        <v/>
      </c>
      <c r="AK342" s="41" t="str">
        <f aca="false">IF(OR($R342="",$AD342=""),"",$AD342-$R342)</f>
        <v/>
      </c>
      <c r="AL342" s="31"/>
      <c r="AM342" s="32"/>
      <c r="AN342" s="31"/>
    </row>
    <row r="343" customFormat="false" ht="15" hidden="false" customHeight="true" outlineLevel="0" collapsed="false">
      <c r="A343" s="38" t="str">
        <f aca="false">IF($B343="","",ROW()-3)</f>
        <v/>
      </c>
      <c r="B343" s="31"/>
      <c r="C343" s="31"/>
      <c r="D343" s="31"/>
      <c r="E343" s="31"/>
      <c r="F343" s="32"/>
      <c r="G343" s="32"/>
      <c r="H343" s="31"/>
      <c r="I343" s="31"/>
      <c r="J343" s="33"/>
      <c r="K343" s="34"/>
      <c r="L343" s="34"/>
      <c r="M343" s="34"/>
      <c r="N343" s="39" t="str">
        <f aca="false">IF($K343="","",$K343-N($L343)-N($M343))</f>
        <v/>
      </c>
      <c r="O343" s="31"/>
      <c r="P343" s="31"/>
      <c r="Q343" s="31"/>
      <c r="R343" s="32"/>
      <c r="S343" s="32"/>
      <c r="T343" s="32"/>
      <c r="U343" s="32"/>
      <c r="V343" s="31"/>
      <c r="W343" s="40" t="str">
        <f aca="false">IF(OR($F343="",$J343=""),"",$F343+$J343)</f>
        <v/>
      </c>
      <c r="X343" s="32"/>
      <c r="Y343" s="34"/>
      <c r="Z343" s="31"/>
      <c r="AA343" s="31"/>
      <c r="AB343" s="32"/>
      <c r="AC343" s="31"/>
      <c r="AD343" s="32"/>
      <c r="AE343" s="31"/>
      <c r="AF343" s="41" t="str">
        <f aca="false">IF(OR($R343="",$S343=""),"",$S343-$R343)</f>
        <v/>
      </c>
      <c r="AG343" s="41" t="str">
        <f aca="false">IF(OR($S343="",$T343=""),"",$T343-$S343)</f>
        <v/>
      </c>
      <c r="AH343" s="41" t="str">
        <f aca="false">IF(OR($T343="",$U343=""),"",$U343-$T343)</f>
        <v/>
      </c>
      <c r="AI343" s="41" t="str">
        <f aca="false">IF(OR($R343="",$U343=""),"",$U343-$R343)</f>
        <v/>
      </c>
      <c r="AJ343" s="41" t="str">
        <f aca="false">IF(OR($U343="",$AB343=""),"",$AB343-$U343)</f>
        <v/>
      </c>
      <c r="AK343" s="41" t="str">
        <f aca="false">IF(OR($R343="",$AD343=""),"",$AD343-$R343)</f>
        <v/>
      </c>
      <c r="AL343" s="31"/>
      <c r="AM343" s="32"/>
      <c r="AN343" s="31"/>
    </row>
    <row r="344" customFormat="false" ht="15" hidden="false" customHeight="true" outlineLevel="0" collapsed="false">
      <c r="A344" s="38" t="str">
        <f aca="false">IF($B344="","",ROW()-3)</f>
        <v/>
      </c>
      <c r="B344" s="31"/>
      <c r="C344" s="31"/>
      <c r="D344" s="31"/>
      <c r="E344" s="31"/>
      <c r="F344" s="32"/>
      <c r="G344" s="32"/>
      <c r="H344" s="31"/>
      <c r="I344" s="31"/>
      <c r="J344" s="33"/>
      <c r="K344" s="34"/>
      <c r="L344" s="34"/>
      <c r="M344" s="34"/>
      <c r="N344" s="39" t="str">
        <f aca="false">IF($K344="","",$K344-N($L344)-N($M344))</f>
        <v/>
      </c>
      <c r="O344" s="31"/>
      <c r="P344" s="31"/>
      <c r="Q344" s="31"/>
      <c r="R344" s="32"/>
      <c r="S344" s="32"/>
      <c r="T344" s="32"/>
      <c r="U344" s="32"/>
      <c r="V344" s="31"/>
      <c r="W344" s="40" t="str">
        <f aca="false">IF(OR($F344="",$J344=""),"",$F344+$J344)</f>
        <v/>
      </c>
      <c r="X344" s="32"/>
      <c r="Y344" s="34"/>
      <c r="Z344" s="31"/>
      <c r="AA344" s="31"/>
      <c r="AB344" s="32"/>
      <c r="AC344" s="31"/>
      <c r="AD344" s="32"/>
      <c r="AE344" s="31"/>
      <c r="AF344" s="41" t="str">
        <f aca="false">IF(OR($R344="",$S344=""),"",$S344-$R344)</f>
        <v/>
      </c>
      <c r="AG344" s="41" t="str">
        <f aca="false">IF(OR($S344="",$T344=""),"",$T344-$S344)</f>
        <v/>
      </c>
      <c r="AH344" s="41" t="str">
        <f aca="false">IF(OR($T344="",$U344=""),"",$U344-$T344)</f>
        <v/>
      </c>
      <c r="AI344" s="41" t="str">
        <f aca="false">IF(OR($R344="",$U344=""),"",$U344-$R344)</f>
        <v/>
      </c>
      <c r="AJ344" s="41" t="str">
        <f aca="false">IF(OR($U344="",$AB344=""),"",$AB344-$U344)</f>
        <v/>
      </c>
      <c r="AK344" s="41" t="str">
        <f aca="false">IF(OR($R344="",$AD344=""),"",$AD344-$R344)</f>
        <v/>
      </c>
      <c r="AL344" s="31"/>
      <c r="AM344" s="32"/>
      <c r="AN344" s="31"/>
    </row>
    <row r="345" customFormat="false" ht="15" hidden="false" customHeight="true" outlineLevel="0" collapsed="false">
      <c r="A345" s="38" t="str">
        <f aca="false">IF($B345="","",ROW()-3)</f>
        <v/>
      </c>
      <c r="B345" s="31"/>
      <c r="C345" s="31"/>
      <c r="D345" s="31"/>
      <c r="E345" s="31"/>
      <c r="F345" s="32"/>
      <c r="G345" s="32"/>
      <c r="H345" s="31"/>
      <c r="I345" s="31"/>
      <c r="J345" s="33"/>
      <c r="K345" s="34"/>
      <c r="L345" s="34"/>
      <c r="M345" s="34"/>
      <c r="N345" s="39" t="str">
        <f aca="false">IF($K345="","",$K345-N($L345)-N($M345))</f>
        <v/>
      </c>
      <c r="O345" s="31"/>
      <c r="P345" s="31"/>
      <c r="Q345" s="31"/>
      <c r="R345" s="32"/>
      <c r="S345" s="32"/>
      <c r="T345" s="32"/>
      <c r="U345" s="32"/>
      <c r="V345" s="31"/>
      <c r="W345" s="40" t="str">
        <f aca="false">IF(OR($F345="",$J345=""),"",$F345+$J345)</f>
        <v/>
      </c>
      <c r="X345" s="32"/>
      <c r="Y345" s="34"/>
      <c r="Z345" s="31"/>
      <c r="AA345" s="31"/>
      <c r="AB345" s="32"/>
      <c r="AC345" s="31"/>
      <c r="AD345" s="32"/>
      <c r="AE345" s="31"/>
      <c r="AF345" s="41" t="str">
        <f aca="false">IF(OR($R345="",$S345=""),"",$S345-$R345)</f>
        <v/>
      </c>
      <c r="AG345" s="41" t="str">
        <f aca="false">IF(OR($S345="",$T345=""),"",$T345-$S345)</f>
        <v/>
      </c>
      <c r="AH345" s="41" t="str">
        <f aca="false">IF(OR($T345="",$U345=""),"",$U345-$T345)</f>
        <v/>
      </c>
      <c r="AI345" s="41" t="str">
        <f aca="false">IF(OR($R345="",$U345=""),"",$U345-$R345)</f>
        <v/>
      </c>
      <c r="AJ345" s="41" t="str">
        <f aca="false">IF(OR($U345="",$AB345=""),"",$AB345-$U345)</f>
        <v/>
      </c>
      <c r="AK345" s="41" t="str">
        <f aca="false">IF(OR($R345="",$AD345=""),"",$AD345-$R345)</f>
        <v/>
      </c>
      <c r="AL345" s="31"/>
      <c r="AM345" s="32"/>
      <c r="AN345" s="31"/>
    </row>
    <row r="346" customFormat="false" ht="15" hidden="false" customHeight="true" outlineLevel="0" collapsed="false">
      <c r="A346" s="38" t="str">
        <f aca="false">IF($B346="","",ROW()-3)</f>
        <v/>
      </c>
      <c r="B346" s="31"/>
      <c r="C346" s="31"/>
      <c r="D346" s="31"/>
      <c r="E346" s="31"/>
      <c r="F346" s="32"/>
      <c r="G346" s="32"/>
      <c r="H346" s="31"/>
      <c r="I346" s="31"/>
      <c r="J346" s="33"/>
      <c r="K346" s="34"/>
      <c r="L346" s="34"/>
      <c r="M346" s="34"/>
      <c r="N346" s="39" t="str">
        <f aca="false">IF($K346="","",$K346-N($L346)-N($M346))</f>
        <v/>
      </c>
      <c r="O346" s="31"/>
      <c r="P346" s="31"/>
      <c r="Q346" s="31"/>
      <c r="R346" s="32"/>
      <c r="S346" s="32"/>
      <c r="T346" s="32"/>
      <c r="U346" s="32"/>
      <c r="V346" s="31"/>
      <c r="W346" s="40" t="str">
        <f aca="false">IF(OR($F346="",$J346=""),"",$F346+$J346)</f>
        <v/>
      </c>
      <c r="X346" s="32"/>
      <c r="Y346" s="34"/>
      <c r="Z346" s="31"/>
      <c r="AA346" s="31"/>
      <c r="AB346" s="32"/>
      <c r="AC346" s="31"/>
      <c r="AD346" s="32"/>
      <c r="AE346" s="31"/>
      <c r="AF346" s="41" t="str">
        <f aca="false">IF(OR($R346="",$S346=""),"",$S346-$R346)</f>
        <v/>
      </c>
      <c r="AG346" s="41" t="str">
        <f aca="false">IF(OR($S346="",$T346=""),"",$T346-$S346)</f>
        <v/>
      </c>
      <c r="AH346" s="41" t="str">
        <f aca="false">IF(OR($T346="",$U346=""),"",$U346-$T346)</f>
        <v/>
      </c>
      <c r="AI346" s="41" t="str">
        <f aca="false">IF(OR($R346="",$U346=""),"",$U346-$R346)</f>
        <v/>
      </c>
      <c r="AJ346" s="41" t="str">
        <f aca="false">IF(OR($U346="",$AB346=""),"",$AB346-$U346)</f>
        <v/>
      </c>
      <c r="AK346" s="41" t="str">
        <f aca="false">IF(OR($R346="",$AD346=""),"",$AD346-$R346)</f>
        <v/>
      </c>
      <c r="AL346" s="31"/>
      <c r="AM346" s="32"/>
      <c r="AN346" s="31"/>
    </row>
    <row r="347" customFormat="false" ht="15" hidden="false" customHeight="true" outlineLevel="0" collapsed="false">
      <c r="A347" s="38" t="str">
        <f aca="false">IF($B347="","",ROW()-3)</f>
        <v/>
      </c>
      <c r="B347" s="31"/>
      <c r="C347" s="31"/>
      <c r="D347" s="31"/>
      <c r="E347" s="31"/>
      <c r="F347" s="32"/>
      <c r="G347" s="32"/>
      <c r="H347" s="31"/>
      <c r="I347" s="31"/>
      <c r="J347" s="33"/>
      <c r="K347" s="34"/>
      <c r="L347" s="34"/>
      <c r="M347" s="34"/>
      <c r="N347" s="39" t="str">
        <f aca="false">IF($K347="","",$K347-N($L347)-N($M347))</f>
        <v/>
      </c>
      <c r="O347" s="31"/>
      <c r="P347" s="31"/>
      <c r="Q347" s="31"/>
      <c r="R347" s="32"/>
      <c r="S347" s="32"/>
      <c r="T347" s="32"/>
      <c r="U347" s="32"/>
      <c r="V347" s="31"/>
      <c r="W347" s="40" t="str">
        <f aca="false">IF(OR($F347="",$J347=""),"",$F347+$J347)</f>
        <v/>
      </c>
      <c r="X347" s="32"/>
      <c r="Y347" s="34"/>
      <c r="Z347" s="31"/>
      <c r="AA347" s="31"/>
      <c r="AB347" s="32"/>
      <c r="AC347" s="31"/>
      <c r="AD347" s="32"/>
      <c r="AE347" s="31"/>
      <c r="AF347" s="41" t="str">
        <f aca="false">IF(OR($R347="",$S347=""),"",$S347-$R347)</f>
        <v/>
      </c>
      <c r="AG347" s="41" t="str">
        <f aca="false">IF(OR($S347="",$T347=""),"",$T347-$S347)</f>
        <v/>
      </c>
      <c r="AH347" s="41" t="str">
        <f aca="false">IF(OR($T347="",$U347=""),"",$U347-$T347)</f>
        <v/>
      </c>
      <c r="AI347" s="41" t="str">
        <f aca="false">IF(OR($R347="",$U347=""),"",$U347-$R347)</f>
        <v/>
      </c>
      <c r="AJ347" s="41" t="str">
        <f aca="false">IF(OR($U347="",$AB347=""),"",$AB347-$U347)</f>
        <v/>
      </c>
      <c r="AK347" s="41" t="str">
        <f aca="false">IF(OR($R347="",$AD347=""),"",$AD347-$R347)</f>
        <v/>
      </c>
      <c r="AL347" s="31"/>
      <c r="AM347" s="32"/>
      <c r="AN347" s="31"/>
    </row>
    <row r="348" customFormat="false" ht="15" hidden="false" customHeight="true" outlineLevel="0" collapsed="false">
      <c r="A348" s="38" t="str">
        <f aca="false">IF($B348="","",ROW()-3)</f>
        <v/>
      </c>
      <c r="B348" s="31"/>
      <c r="C348" s="31"/>
      <c r="D348" s="31"/>
      <c r="E348" s="31"/>
      <c r="F348" s="32"/>
      <c r="G348" s="32"/>
      <c r="H348" s="31"/>
      <c r="I348" s="31"/>
      <c r="J348" s="33"/>
      <c r="K348" s="34"/>
      <c r="L348" s="34"/>
      <c r="M348" s="34"/>
      <c r="N348" s="39" t="str">
        <f aca="false">IF($K348="","",$K348-N($L348)-N($M348))</f>
        <v/>
      </c>
      <c r="O348" s="31"/>
      <c r="P348" s="31"/>
      <c r="Q348" s="31"/>
      <c r="R348" s="32"/>
      <c r="S348" s="32"/>
      <c r="T348" s="32"/>
      <c r="U348" s="32"/>
      <c r="V348" s="31"/>
      <c r="W348" s="40" t="str">
        <f aca="false">IF(OR($F348="",$J348=""),"",$F348+$J348)</f>
        <v/>
      </c>
      <c r="X348" s="32"/>
      <c r="Y348" s="34"/>
      <c r="Z348" s="31"/>
      <c r="AA348" s="31"/>
      <c r="AB348" s="32"/>
      <c r="AC348" s="31"/>
      <c r="AD348" s="32"/>
      <c r="AE348" s="31"/>
      <c r="AF348" s="41" t="str">
        <f aca="false">IF(OR($R348="",$S348=""),"",$S348-$R348)</f>
        <v/>
      </c>
      <c r="AG348" s="41" t="str">
        <f aca="false">IF(OR($S348="",$T348=""),"",$T348-$S348)</f>
        <v/>
      </c>
      <c r="AH348" s="41" t="str">
        <f aca="false">IF(OR($T348="",$U348=""),"",$U348-$T348)</f>
        <v/>
      </c>
      <c r="AI348" s="41" t="str">
        <f aca="false">IF(OR($R348="",$U348=""),"",$U348-$R348)</f>
        <v/>
      </c>
      <c r="AJ348" s="41" t="str">
        <f aca="false">IF(OR($U348="",$AB348=""),"",$AB348-$U348)</f>
        <v/>
      </c>
      <c r="AK348" s="41" t="str">
        <f aca="false">IF(OR($R348="",$AD348=""),"",$AD348-$R348)</f>
        <v/>
      </c>
      <c r="AL348" s="31"/>
      <c r="AM348" s="32"/>
      <c r="AN348" s="31"/>
    </row>
    <row r="349" customFormat="false" ht="15" hidden="false" customHeight="true" outlineLevel="0" collapsed="false">
      <c r="A349" s="38" t="str">
        <f aca="false">IF($B349="","",ROW()-3)</f>
        <v/>
      </c>
      <c r="B349" s="31"/>
      <c r="C349" s="31"/>
      <c r="D349" s="31"/>
      <c r="E349" s="31"/>
      <c r="F349" s="32"/>
      <c r="G349" s="32"/>
      <c r="H349" s="31"/>
      <c r="I349" s="31"/>
      <c r="J349" s="33"/>
      <c r="K349" s="34"/>
      <c r="L349" s="34"/>
      <c r="M349" s="34"/>
      <c r="N349" s="39" t="str">
        <f aca="false">IF($K349="","",$K349-N($L349)-N($M349))</f>
        <v/>
      </c>
      <c r="O349" s="31"/>
      <c r="P349" s="31"/>
      <c r="Q349" s="31"/>
      <c r="R349" s="32"/>
      <c r="S349" s="32"/>
      <c r="T349" s="32"/>
      <c r="U349" s="32"/>
      <c r="V349" s="31"/>
      <c r="W349" s="40" t="str">
        <f aca="false">IF(OR($F349="",$J349=""),"",$F349+$J349)</f>
        <v/>
      </c>
      <c r="X349" s="32"/>
      <c r="Y349" s="34"/>
      <c r="Z349" s="31"/>
      <c r="AA349" s="31"/>
      <c r="AB349" s="32"/>
      <c r="AC349" s="31"/>
      <c r="AD349" s="32"/>
      <c r="AE349" s="31"/>
      <c r="AF349" s="41" t="str">
        <f aca="false">IF(OR($R349="",$S349=""),"",$S349-$R349)</f>
        <v/>
      </c>
      <c r="AG349" s="41" t="str">
        <f aca="false">IF(OR($S349="",$T349=""),"",$T349-$S349)</f>
        <v/>
      </c>
      <c r="AH349" s="41" t="str">
        <f aca="false">IF(OR($T349="",$U349=""),"",$U349-$T349)</f>
        <v/>
      </c>
      <c r="AI349" s="41" t="str">
        <f aca="false">IF(OR($R349="",$U349=""),"",$U349-$R349)</f>
        <v/>
      </c>
      <c r="AJ349" s="41" t="str">
        <f aca="false">IF(OR($U349="",$AB349=""),"",$AB349-$U349)</f>
        <v/>
      </c>
      <c r="AK349" s="41" t="str">
        <f aca="false">IF(OR($R349="",$AD349=""),"",$AD349-$R349)</f>
        <v/>
      </c>
      <c r="AL349" s="31"/>
      <c r="AM349" s="32"/>
      <c r="AN349" s="31"/>
    </row>
    <row r="350" customFormat="false" ht="15" hidden="false" customHeight="true" outlineLevel="0" collapsed="false">
      <c r="A350" s="38" t="str">
        <f aca="false">IF($B350="","",ROW()-3)</f>
        <v/>
      </c>
      <c r="B350" s="31"/>
      <c r="C350" s="31"/>
      <c r="D350" s="31"/>
      <c r="E350" s="31"/>
      <c r="F350" s="32"/>
      <c r="G350" s="32"/>
      <c r="H350" s="31"/>
      <c r="I350" s="31"/>
      <c r="J350" s="33"/>
      <c r="K350" s="34"/>
      <c r="L350" s="34"/>
      <c r="M350" s="34"/>
      <c r="N350" s="39" t="str">
        <f aca="false">IF($K350="","",$K350-N($L350)-N($M350))</f>
        <v/>
      </c>
      <c r="O350" s="31"/>
      <c r="P350" s="31"/>
      <c r="Q350" s="31"/>
      <c r="R350" s="32"/>
      <c r="S350" s="32"/>
      <c r="T350" s="32"/>
      <c r="U350" s="32"/>
      <c r="V350" s="31"/>
      <c r="W350" s="40" t="str">
        <f aca="false">IF(OR($F350="",$J350=""),"",$F350+$J350)</f>
        <v/>
      </c>
      <c r="X350" s="32"/>
      <c r="Y350" s="34"/>
      <c r="Z350" s="31"/>
      <c r="AA350" s="31"/>
      <c r="AB350" s="32"/>
      <c r="AC350" s="31"/>
      <c r="AD350" s="32"/>
      <c r="AE350" s="31"/>
      <c r="AF350" s="41" t="str">
        <f aca="false">IF(OR($R350="",$S350=""),"",$S350-$R350)</f>
        <v/>
      </c>
      <c r="AG350" s="41" t="str">
        <f aca="false">IF(OR($S350="",$T350=""),"",$T350-$S350)</f>
        <v/>
      </c>
      <c r="AH350" s="41" t="str">
        <f aca="false">IF(OR($T350="",$U350=""),"",$U350-$T350)</f>
        <v/>
      </c>
      <c r="AI350" s="41" t="str">
        <f aca="false">IF(OR($R350="",$U350=""),"",$U350-$R350)</f>
        <v/>
      </c>
      <c r="AJ350" s="41" t="str">
        <f aca="false">IF(OR($U350="",$AB350=""),"",$AB350-$U350)</f>
        <v/>
      </c>
      <c r="AK350" s="41" t="str">
        <f aca="false">IF(OR($R350="",$AD350=""),"",$AD350-$R350)</f>
        <v/>
      </c>
      <c r="AL350" s="31"/>
      <c r="AM350" s="32"/>
      <c r="AN350" s="31"/>
    </row>
    <row r="351" customFormat="false" ht="15" hidden="false" customHeight="true" outlineLevel="0" collapsed="false">
      <c r="A351" s="38" t="str">
        <f aca="false">IF($B351="","",ROW()-3)</f>
        <v/>
      </c>
      <c r="B351" s="31"/>
      <c r="C351" s="31"/>
      <c r="D351" s="31"/>
      <c r="E351" s="31"/>
      <c r="F351" s="32"/>
      <c r="G351" s="32"/>
      <c r="H351" s="31"/>
      <c r="I351" s="31"/>
      <c r="J351" s="33"/>
      <c r="K351" s="34"/>
      <c r="L351" s="34"/>
      <c r="M351" s="34"/>
      <c r="N351" s="39" t="str">
        <f aca="false">IF($K351="","",$K351-N($L351)-N($M351))</f>
        <v/>
      </c>
      <c r="O351" s="31"/>
      <c r="P351" s="31"/>
      <c r="Q351" s="31"/>
      <c r="R351" s="32"/>
      <c r="S351" s="32"/>
      <c r="T351" s="32"/>
      <c r="U351" s="32"/>
      <c r="V351" s="31"/>
      <c r="W351" s="40" t="str">
        <f aca="false">IF(OR($F351="",$J351=""),"",$F351+$J351)</f>
        <v/>
      </c>
      <c r="X351" s="32"/>
      <c r="Y351" s="34"/>
      <c r="Z351" s="31"/>
      <c r="AA351" s="31"/>
      <c r="AB351" s="32"/>
      <c r="AC351" s="31"/>
      <c r="AD351" s="32"/>
      <c r="AE351" s="31"/>
      <c r="AF351" s="41" t="str">
        <f aca="false">IF(OR($R351="",$S351=""),"",$S351-$R351)</f>
        <v/>
      </c>
      <c r="AG351" s="41" t="str">
        <f aca="false">IF(OR($S351="",$T351=""),"",$T351-$S351)</f>
        <v/>
      </c>
      <c r="AH351" s="41" t="str">
        <f aca="false">IF(OR($T351="",$U351=""),"",$U351-$T351)</f>
        <v/>
      </c>
      <c r="AI351" s="41" t="str">
        <f aca="false">IF(OR($R351="",$U351=""),"",$U351-$R351)</f>
        <v/>
      </c>
      <c r="AJ351" s="41" t="str">
        <f aca="false">IF(OR($U351="",$AB351=""),"",$AB351-$U351)</f>
        <v/>
      </c>
      <c r="AK351" s="41" t="str">
        <f aca="false">IF(OR($R351="",$AD351=""),"",$AD351-$R351)</f>
        <v/>
      </c>
      <c r="AL351" s="31"/>
      <c r="AM351" s="32"/>
      <c r="AN351" s="31"/>
    </row>
    <row r="352" customFormat="false" ht="15" hidden="false" customHeight="true" outlineLevel="0" collapsed="false">
      <c r="A352" s="38" t="str">
        <f aca="false">IF($B352="","",ROW()-3)</f>
        <v/>
      </c>
      <c r="B352" s="31"/>
      <c r="C352" s="31"/>
      <c r="D352" s="31"/>
      <c r="E352" s="31"/>
      <c r="F352" s="32"/>
      <c r="G352" s="32"/>
      <c r="H352" s="31"/>
      <c r="I352" s="31"/>
      <c r="J352" s="33"/>
      <c r="K352" s="34"/>
      <c r="L352" s="34"/>
      <c r="M352" s="34"/>
      <c r="N352" s="39" t="str">
        <f aca="false">IF($K352="","",$K352-N($L352)-N($M352))</f>
        <v/>
      </c>
      <c r="O352" s="31"/>
      <c r="P352" s="31"/>
      <c r="Q352" s="31"/>
      <c r="R352" s="32"/>
      <c r="S352" s="32"/>
      <c r="T352" s="32"/>
      <c r="U352" s="32"/>
      <c r="V352" s="31"/>
      <c r="W352" s="40" t="str">
        <f aca="false">IF(OR($F352="",$J352=""),"",$F352+$J352)</f>
        <v/>
      </c>
      <c r="X352" s="32"/>
      <c r="Y352" s="34"/>
      <c r="Z352" s="31"/>
      <c r="AA352" s="31"/>
      <c r="AB352" s="32"/>
      <c r="AC352" s="31"/>
      <c r="AD352" s="32"/>
      <c r="AE352" s="31"/>
      <c r="AF352" s="41" t="str">
        <f aca="false">IF(OR($R352="",$S352=""),"",$S352-$R352)</f>
        <v/>
      </c>
      <c r="AG352" s="41" t="str">
        <f aca="false">IF(OR($S352="",$T352=""),"",$T352-$S352)</f>
        <v/>
      </c>
      <c r="AH352" s="41" t="str">
        <f aca="false">IF(OR($T352="",$U352=""),"",$U352-$T352)</f>
        <v/>
      </c>
      <c r="AI352" s="41" t="str">
        <f aca="false">IF(OR($R352="",$U352=""),"",$U352-$R352)</f>
        <v/>
      </c>
      <c r="AJ352" s="41" t="str">
        <f aca="false">IF(OR($U352="",$AB352=""),"",$AB352-$U352)</f>
        <v/>
      </c>
      <c r="AK352" s="41" t="str">
        <f aca="false">IF(OR($R352="",$AD352=""),"",$AD352-$R352)</f>
        <v/>
      </c>
      <c r="AL352" s="31"/>
      <c r="AM352" s="32"/>
      <c r="AN352" s="31"/>
    </row>
    <row r="353" customFormat="false" ht="15" hidden="false" customHeight="true" outlineLevel="0" collapsed="false">
      <c r="A353" s="38" t="str">
        <f aca="false">IF($B353="","",ROW()-3)</f>
        <v/>
      </c>
      <c r="B353" s="31"/>
      <c r="C353" s="31"/>
      <c r="D353" s="31"/>
      <c r="E353" s="31"/>
      <c r="F353" s="32"/>
      <c r="G353" s="32"/>
      <c r="H353" s="31"/>
      <c r="I353" s="31"/>
      <c r="J353" s="33"/>
      <c r="K353" s="34"/>
      <c r="L353" s="34"/>
      <c r="M353" s="34"/>
      <c r="N353" s="39" t="str">
        <f aca="false">IF($K353="","",$K353-N($L353)-N($M353))</f>
        <v/>
      </c>
      <c r="O353" s="31"/>
      <c r="P353" s="31"/>
      <c r="Q353" s="31"/>
      <c r="R353" s="32"/>
      <c r="S353" s="32"/>
      <c r="T353" s="32"/>
      <c r="U353" s="32"/>
      <c r="V353" s="31"/>
      <c r="W353" s="40" t="str">
        <f aca="false">IF(OR($F353="",$J353=""),"",$F353+$J353)</f>
        <v/>
      </c>
      <c r="X353" s="32"/>
      <c r="Y353" s="34"/>
      <c r="Z353" s="31"/>
      <c r="AA353" s="31"/>
      <c r="AB353" s="32"/>
      <c r="AC353" s="31"/>
      <c r="AD353" s="32"/>
      <c r="AE353" s="31"/>
      <c r="AF353" s="41" t="str">
        <f aca="false">IF(OR($R353="",$S353=""),"",$S353-$R353)</f>
        <v/>
      </c>
      <c r="AG353" s="41" t="str">
        <f aca="false">IF(OR($S353="",$T353=""),"",$T353-$S353)</f>
        <v/>
      </c>
      <c r="AH353" s="41" t="str">
        <f aca="false">IF(OR($T353="",$U353=""),"",$U353-$T353)</f>
        <v/>
      </c>
      <c r="AI353" s="41" t="str">
        <f aca="false">IF(OR($R353="",$U353=""),"",$U353-$R353)</f>
        <v/>
      </c>
      <c r="AJ353" s="41" t="str">
        <f aca="false">IF(OR($U353="",$AB353=""),"",$AB353-$U353)</f>
        <v/>
      </c>
      <c r="AK353" s="41" t="str">
        <f aca="false">IF(OR($R353="",$AD353=""),"",$AD353-$R353)</f>
        <v/>
      </c>
      <c r="AL353" s="31"/>
      <c r="AM353" s="32"/>
      <c r="AN353" s="31"/>
    </row>
    <row r="354" customFormat="false" ht="15" hidden="false" customHeight="true" outlineLevel="0" collapsed="false">
      <c r="A354" s="38" t="str">
        <f aca="false">IF($B354="","",ROW()-3)</f>
        <v/>
      </c>
      <c r="B354" s="31"/>
      <c r="C354" s="31"/>
      <c r="D354" s="31"/>
      <c r="E354" s="31"/>
      <c r="F354" s="32"/>
      <c r="G354" s="32"/>
      <c r="H354" s="31"/>
      <c r="I354" s="31"/>
      <c r="J354" s="33"/>
      <c r="K354" s="34"/>
      <c r="L354" s="34"/>
      <c r="M354" s="34"/>
      <c r="N354" s="39" t="str">
        <f aca="false">IF($K354="","",$K354-N($L354)-N($M354))</f>
        <v/>
      </c>
      <c r="O354" s="31"/>
      <c r="P354" s="31"/>
      <c r="Q354" s="31"/>
      <c r="R354" s="32"/>
      <c r="S354" s="32"/>
      <c r="T354" s="32"/>
      <c r="U354" s="32"/>
      <c r="V354" s="31"/>
      <c r="W354" s="40" t="str">
        <f aca="false">IF(OR($F354="",$J354=""),"",$F354+$J354)</f>
        <v/>
      </c>
      <c r="X354" s="32"/>
      <c r="Y354" s="34"/>
      <c r="Z354" s="31"/>
      <c r="AA354" s="31"/>
      <c r="AB354" s="32"/>
      <c r="AC354" s="31"/>
      <c r="AD354" s="32"/>
      <c r="AE354" s="31"/>
      <c r="AF354" s="41" t="str">
        <f aca="false">IF(OR($R354="",$S354=""),"",$S354-$R354)</f>
        <v/>
      </c>
      <c r="AG354" s="41" t="str">
        <f aca="false">IF(OR($S354="",$T354=""),"",$T354-$S354)</f>
        <v/>
      </c>
      <c r="AH354" s="41" t="str">
        <f aca="false">IF(OR($T354="",$U354=""),"",$U354-$T354)</f>
        <v/>
      </c>
      <c r="AI354" s="41" t="str">
        <f aca="false">IF(OR($R354="",$U354=""),"",$U354-$R354)</f>
        <v/>
      </c>
      <c r="AJ354" s="41" t="str">
        <f aca="false">IF(OR($U354="",$AB354=""),"",$AB354-$U354)</f>
        <v/>
      </c>
      <c r="AK354" s="41" t="str">
        <f aca="false">IF(OR($R354="",$AD354=""),"",$AD354-$R354)</f>
        <v/>
      </c>
      <c r="AL354" s="31"/>
      <c r="AM354" s="32"/>
      <c r="AN354" s="31"/>
    </row>
    <row r="355" customFormat="false" ht="15" hidden="false" customHeight="true" outlineLevel="0" collapsed="false">
      <c r="A355" s="38" t="str">
        <f aca="false">IF($B355="","",ROW()-3)</f>
        <v/>
      </c>
      <c r="B355" s="31"/>
      <c r="C355" s="31"/>
      <c r="D355" s="31"/>
      <c r="E355" s="31"/>
      <c r="F355" s="32"/>
      <c r="G355" s="32"/>
      <c r="H355" s="31"/>
      <c r="I355" s="31"/>
      <c r="J355" s="33"/>
      <c r="K355" s="34"/>
      <c r="L355" s="34"/>
      <c r="M355" s="34"/>
      <c r="N355" s="39" t="str">
        <f aca="false">IF($K355="","",$K355-N($L355)-N($M355))</f>
        <v/>
      </c>
      <c r="O355" s="31"/>
      <c r="P355" s="31"/>
      <c r="Q355" s="31"/>
      <c r="R355" s="32"/>
      <c r="S355" s="32"/>
      <c r="T355" s="32"/>
      <c r="U355" s="32"/>
      <c r="V355" s="31"/>
      <c r="W355" s="40" t="str">
        <f aca="false">IF(OR($F355="",$J355=""),"",$F355+$J355)</f>
        <v/>
      </c>
      <c r="X355" s="32"/>
      <c r="Y355" s="34"/>
      <c r="Z355" s="31"/>
      <c r="AA355" s="31"/>
      <c r="AB355" s="32"/>
      <c r="AC355" s="31"/>
      <c r="AD355" s="32"/>
      <c r="AE355" s="31"/>
      <c r="AF355" s="41" t="str">
        <f aca="false">IF(OR($R355="",$S355=""),"",$S355-$R355)</f>
        <v/>
      </c>
      <c r="AG355" s="41" t="str">
        <f aca="false">IF(OR($S355="",$T355=""),"",$T355-$S355)</f>
        <v/>
      </c>
      <c r="AH355" s="41" t="str">
        <f aca="false">IF(OR($T355="",$U355=""),"",$U355-$T355)</f>
        <v/>
      </c>
      <c r="AI355" s="41" t="str">
        <f aca="false">IF(OR($R355="",$U355=""),"",$U355-$R355)</f>
        <v/>
      </c>
      <c r="AJ355" s="41" t="str">
        <f aca="false">IF(OR($U355="",$AB355=""),"",$AB355-$U355)</f>
        <v/>
      </c>
      <c r="AK355" s="41" t="str">
        <f aca="false">IF(OR($R355="",$AD355=""),"",$AD355-$R355)</f>
        <v/>
      </c>
      <c r="AL355" s="31"/>
      <c r="AM355" s="32"/>
      <c r="AN355" s="31"/>
    </row>
    <row r="356" customFormat="false" ht="15" hidden="false" customHeight="true" outlineLevel="0" collapsed="false">
      <c r="A356" s="38" t="str">
        <f aca="false">IF($B356="","",ROW()-3)</f>
        <v/>
      </c>
      <c r="B356" s="31"/>
      <c r="C356" s="31"/>
      <c r="D356" s="31"/>
      <c r="E356" s="31"/>
      <c r="F356" s="32"/>
      <c r="G356" s="32"/>
      <c r="H356" s="31"/>
      <c r="I356" s="31"/>
      <c r="J356" s="33"/>
      <c r="K356" s="34"/>
      <c r="L356" s="34"/>
      <c r="M356" s="34"/>
      <c r="N356" s="39" t="str">
        <f aca="false">IF($K356="","",$K356-N($L356)-N($M356))</f>
        <v/>
      </c>
      <c r="O356" s="31"/>
      <c r="P356" s="31"/>
      <c r="Q356" s="31"/>
      <c r="R356" s="32"/>
      <c r="S356" s="32"/>
      <c r="T356" s="32"/>
      <c r="U356" s="32"/>
      <c r="V356" s="31"/>
      <c r="W356" s="40" t="str">
        <f aca="false">IF(OR($F356="",$J356=""),"",$F356+$J356)</f>
        <v/>
      </c>
      <c r="X356" s="32"/>
      <c r="Y356" s="34"/>
      <c r="Z356" s="31"/>
      <c r="AA356" s="31"/>
      <c r="AB356" s="32"/>
      <c r="AC356" s="31"/>
      <c r="AD356" s="32"/>
      <c r="AE356" s="31"/>
      <c r="AF356" s="41" t="str">
        <f aca="false">IF(OR($R356="",$S356=""),"",$S356-$R356)</f>
        <v/>
      </c>
      <c r="AG356" s="41" t="str">
        <f aca="false">IF(OR($S356="",$T356=""),"",$T356-$S356)</f>
        <v/>
      </c>
      <c r="AH356" s="41" t="str">
        <f aca="false">IF(OR($T356="",$U356=""),"",$U356-$T356)</f>
        <v/>
      </c>
      <c r="AI356" s="41" t="str">
        <f aca="false">IF(OR($R356="",$U356=""),"",$U356-$R356)</f>
        <v/>
      </c>
      <c r="AJ356" s="41" t="str">
        <f aca="false">IF(OR($U356="",$AB356=""),"",$AB356-$U356)</f>
        <v/>
      </c>
      <c r="AK356" s="41" t="str">
        <f aca="false">IF(OR($R356="",$AD356=""),"",$AD356-$R356)</f>
        <v/>
      </c>
      <c r="AL356" s="31"/>
      <c r="AM356" s="32"/>
      <c r="AN356" s="31"/>
    </row>
    <row r="357" customFormat="false" ht="15" hidden="false" customHeight="true" outlineLevel="0" collapsed="false">
      <c r="A357" s="38" t="str">
        <f aca="false">IF($B357="","",ROW()-3)</f>
        <v/>
      </c>
      <c r="B357" s="31"/>
      <c r="C357" s="31"/>
      <c r="D357" s="31"/>
      <c r="E357" s="31"/>
      <c r="F357" s="32"/>
      <c r="G357" s="32"/>
      <c r="H357" s="31"/>
      <c r="I357" s="31"/>
      <c r="J357" s="33"/>
      <c r="K357" s="34"/>
      <c r="L357" s="34"/>
      <c r="M357" s="34"/>
      <c r="N357" s="39" t="str">
        <f aca="false">IF($K357="","",$K357-N($L357)-N($M357))</f>
        <v/>
      </c>
      <c r="O357" s="31"/>
      <c r="P357" s="31"/>
      <c r="Q357" s="31"/>
      <c r="R357" s="32"/>
      <c r="S357" s="32"/>
      <c r="T357" s="32"/>
      <c r="U357" s="32"/>
      <c r="V357" s="31"/>
      <c r="W357" s="40" t="str">
        <f aca="false">IF(OR($F357="",$J357=""),"",$F357+$J357)</f>
        <v/>
      </c>
      <c r="X357" s="32"/>
      <c r="Y357" s="34"/>
      <c r="Z357" s="31"/>
      <c r="AA357" s="31"/>
      <c r="AB357" s="32"/>
      <c r="AC357" s="31"/>
      <c r="AD357" s="32"/>
      <c r="AE357" s="31"/>
      <c r="AF357" s="41" t="str">
        <f aca="false">IF(OR($R357="",$S357=""),"",$S357-$R357)</f>
        <v/>
      </c>
      <c r="AG357" s="41" t="str">
        <f aca="false">IF(OR($S357="",$T357=""),"",$T357-$S357)</f>
        <v/>
      </c>
      <c r="AH357" s="41" t="str">
        <f aca="false">IF(OR($T357="",$U357=""),"",$U357-$T357)</f>
        <v/>
      </c>
      <c r="AI357" s="41" t="str">
        <f aca="false">IF(OR($R357="",$U357=""),"",$U357-$R357)</f>
        <v/>
      </c>
      <c r="AJ357" s="41" t="str">
        <f aca="false">IF(OR($U357="",$AB357=""),"",$AB357-$U357)</f>
        <v/>
      </c>
      <c r="AK357" s="41" t="str">
        <f aca="false">IF(OR($R357="",$AD357=""),"",$AD357-$R357)</f>
        <v/>
      </c>
      <c r="AL357" s="31"/>
      <c r="AM357" s="32"/>
      <c r="AN357" s="31"/>
    </row>
    <row r="358" customFormat="false" ht="15" hidden="false" customHeight="true" outlineLevel="0" collapsed="false">
      <c r="A358" s="38" t="str">
        <f aca="false">IF($B358="","",ROW()-3)</f>
        <v/>
      </c>
      <c r="B358" s="31"/>
      <c r="C358" s="31"/>
      <c r="D358" s="31"/>
      <c r="E358" s="31"/>
      <c r="F358" s="32"/>
      <c r="G358" s="32"/>
      <c r="H358" s="31"/>
      <c r="I358" s="31"/>
      <c r="J358" s="33"/>
      <c r="K358" s="34"/>
      <c r="L358" s="34"/>
      <c r="M358" s="34"/>
      <c r="N358" s="39" t="str">
        <f aca="false">IF($K358="","",$K358-N($L358)-N($M358))</f>
        <v/>
      </c>
      <c r="O358" s="31"/>
      <c r="P358" s="31"/>
      <c r="Q358" s="31"/>
      <c r="R358" s="32"/>
      <c r="S358" s="32"/>
      <c r="T358" s="32"/>
      <c r="U358" s="32"/>
      <c r="V358" s="31"/>
      <c r="W358" s="40" t="str">
        <f aca="false">IF(OR($F358="",$J358=""),"",$F358+$J358)</f>
        <v/>
      </c>
      <c r="X358" s="32"/>
      <c r="Y358" s="34"/>
      <c r="Z358" s="31"/>
      <c r="AA358" s="31"/>
      <c r="AB358" s="32"/>
      <c r="AC358" s="31"/>
      <c r="AD358" s="32"/>
      <c r="AE358" s="31"/>
      <c r="AF358" s="41" t="str">
        <f aca="false">IF(OR($R358="",$S358=""),"",$S358-$R358)</f>
        <v/>
      </c>
      <c r="AG358" s="41" t="str">
        <f aca="false">IF(OR($S358="",$T358=""),"",$T358-$S358)</f>
        <v/>
      </c>
      <c r="AH358" s="41" t="str">
        <f aca="false">IF(OR($T358="",$U358=""),"",$U358-$T358)</f>
        <v/>
      </c>
      <c r="AI358" s="41" t="str">
        <f aca="false">IF(OR($R358="",$U358=""),"",$U358-$R358)</f>
        <v/>
      </c>
      <c r="AJ358" s="41" t="str">
        <f aca="false">IF(OR($U358="",$AB358=""),"",$AB358-$U358)</f>
        <v/>
      </c>
      <c r="AK358" s="41" t="str">
        <f aca="false">IF(OR($R358="",$AD358=""),"",$AD358-$R358)</f>
        <v/>
      </c>
      <c r="AL358" s="31"/>
      <c r="AM358" s="32"/>
      <c r="AN358" s="31"/>
    </row>
    <row r="359" customFormat="false" ht="15" hidden="false" customHeight="true" outlineLevel="0" collapsed="false">
      <c r="A359" s="38" t="str">
        <f aca="false">IF($B359="","",ROW()-3)</f>
        <v/>
      </c>
      <c r="B359" s="31"/>
      <c r="C359" s="31"/>
      <c r="D359" s="31"/>
      <c r="E359" s="31"/>
      <c r="F359" s="32"/>
      <c r="G359" s="32"/>
      <c r="H359" s="31"/>
      <c r="I359" s="31"/>
      <c r="J359" s="33"/>
      <c r="K359" s="34"/>
      <c r="L359" s="34"/>
      <c r="M359" s="34"/>
      <c r="N359" s="39" t="str">
        <f aca="false">IF($K359="","",$K359-N($L359)-N($M359))</f>
        <v/>
      </c>
      <c r="O359" s="31"/>
      <c r="P359" s="31"/>
      <c r="Q359" s="31"/>
      <c r="R359" s="32"/>
      <c r="S359" s="32"/>
      <c r="T359" s="32"/>
      <c r="U359" s="32"/>
      <c r="V359" s="31"/>
      <c r="W359" s="40" t="str">
        <f aca="false">IF(OR($F359="",$J359=""),"",$F359+$J359)</f>
        <v/>
      </c>
      <c r="X359" s="32"/>
      <c r="Y359" s="34"/>
      <c r="Z359" s="31"/>
      <c r="AA359" s="31"/>
      <c r="AB359" s="32"/>
      <c r="AC359" s="31"/>
      <c r="AD359" s="32"/>
      <c r="AE359" s="31"/>
      <c r="AF359" s="41" t="str">
        <f aca="false">IF(OR($R359="",$S359=""),"",$S359-$R359)</f>
        <v/>
      </c>
      <c r="AG359" s="41" t="str">
        <f aca="false">IF(OR($S359="",$T359=""),"",$T359-$S359)</f>
        <v/>
      </c>
      <c r="AH359" s="41" t="str">
        <f aca="false">IF(OR($T359="",$U359=""),"",$U359-$T359)</f>
        <v/>
      </c>
      <c r="AI359" s="41" t="str">
        <f aca="false">IF(OR($R359="",$U359=""),"",$U359-$R359)</f>
        <v/>
      </c>
      <c r="AJ359" s="41" t="str">
        <f aca="false">IF(OR($U359="",$AB359=""),"",$AB359-$U359)</f>
        <v/>
      </c>
      <c r="AK359" s="41" t="str">
        <f aca="false">IF(OR($R359="",$AD359=""),"",$AD359-$R359)</f>
        <v/>
      </c>
      <c r="AL359" s="31"/>
      <c r="AM359" s="32"/>
      <c r="AN359" s="31"/>
    </row>
    <row r="360" customFormat="false" ht="15" hidden="false" customHeight="true" outlineLevel="0" collapsed="false">
      <c r="A360" s="38" t="str">
        <f aca="false">IF($B360="","",ROW()-3)</f>
        <v/>
      </c>
      <c r="B360" s="31"/>
      <c r="C360" s="31"/>
      <c r="D360" s="31"/>
      <c r="E360" s="31"/>
      <c r="F360" s="32"/>
      <c r="G360" s="32"/>
      <c r="H360" s="31"/>
      <c r="I360" s="31"/>
      <c r="J360" s="33"/>
      <c r="K360" s="34"/>
      <c r="L360" s="34"/>
      <c r="M360" s="34"/>
      <c r="N360" s="39" t="str">
        <f aca="false">IF($K360="","",$K360-N($L360)-N($M360))</f>
        <v/>
      </c>
      <c r="O360" s="31"/>
      <c r="P360" s="31"/>
      <c r="Q360" s="31"/>
      <c r="R360" s="32"/>
      <c r="S360" s="32"/>
      <c r="T360" s="32"/>
      <c r="U360" s="32"/>
      <c r="V360" s="31"/>
      <c r="W360" s="40" t="str">
        <f aca="false">IF(OR($F360="",$J360=""),"",$F360+$J360)</f>
        <v/>
      </c>
      <c r="X360" s="32"/>
      <c r="Y360" s="34"/>
      <c r="Z360" s="31"/>
      <c r="AA360" s="31"/>
      <c r="AB360" s="32"/>
      <c r="AC360" s="31"/>
      <c r="AD360" s="32"/>
      <c r="AE360" s="31"/>
      <c r="AF360" s="41" t="str">
        <f aca="false">IF(OR($R360="",$S360=""),"",$S360-$R360)</f>
        <v/>
      </c>
      <c r="AG360" s="41" t="str">
        <f aca="false">IF(OR($S360="",$T360=""),"",$T360-$S360)</f>
        <v/>
      </c>
      <c r="AH360" s="41" t="str">
        <f aca="false">IF(OR($T360="",$U360=""),"",$U360-$T360)</f>
        <v/>
      </c>
      <c r="AI360" s="41" t="str">
        <f aca="false">IF(OR($R360="",$U360=""),"",$U360-$R360)</f>
        <v/>
      </c>
      <c r="AJ360" s="41" t="str">
        <f aca="false">IF(OR($U360="",$AB360=""),"",$AB360-$U360)</f>
        <v/>
      </c>
      <c r="AK360" s="41" t="str">
        <f aca="false">IF(OR($R360="",$AD360=""),"",$AD360-$R360)</f>
        <v/>
      </c>
      <c r="AL360" s="31"/>
      <c r="AM360" s="32"/>
      <c r="AN360" s="31"/>
    </row>
    <row r="361" customFormat="false" ht="15" hidden="false" customHeight="true" outlineLevel="0" collapsed="false">
      <c r="A361" s="38" t="str">
        <f aca="false">IF($B361="","",ROW()-3)</f>
        <v/>
      </c>
      <c r="B361" s="31"/>
      <c r="C361" s="31"/>
      <c r="D361" s="31"/>
      <c r="E361" s="31"/>
      <c r="F361" s="32"/>
      <c r="G361" s="32"/>
      <c r="H361" s="31"/>
      <c r="I361" s="31"/>
      <c r="J361" s="33"/>
      <c r="K361" s="34"/>
      <c r="L361" s="34"/>
      <c r="M361" s="34"/>
      <c r="N361" s="39" t="str">
        <f aca="false">IF($K361="","",$K361-N($L361)-N($M361))</f>
        <v/>
      </c>
      <c r="O361" s="31"/>
      <c r="P361" s="31"/>
      <c r="Q361" s="31"/>
      <c r="R361" s="32"/>
      <c r="S361" s="32"/>
      <c r="T361" s="32"/>
      <c r="U361" s="32"/>
      <c r="V361" s="31"/>
      <c r="W361" s="40" t="str">
        <f aca="false">IF(OR($F361="",$J361=""),"",$F361+$J361)</f>
        <v/>
      </c>
      <c r="X361" s="32"/>
      <c r="Y361" s="34"/>
      <c r="Z361" s="31"/>
      <c r="AA361" s="31"/>
      <c r="AB361" s="32"/>
      <c r="AC361" s="31"/>
      <c r="AD361" s="32"/>
      <c r="AE361" s="31"/>
      <c r="AF361" s="41" t="str">
        <f aca="false">IF(OR($R361="",$S361=""),"",$S361-$R361)</f>
        <v/>
      </c>
      <c r="AG361" s="41" t="str">
        <f aca="false">IF(OR($S361="",$T361=""),"",$T361-$S361)</f>
        <v/>
      </c>
      <c r="AH361" s="41" t="str">
        <f aca="false">IF(OR($T361="",$U361=""),"",$U361-$T361)</f>
        <v/>
      </c>
      <c r="AI361" s="41" t="str">
        <f aca="false">IF(OR($R361="",$U361=""),"",$U361-$R361)</f>
        <v/>
      </c>
      <c r="AJ361" s="41" t="str">
        <f aca="false">IF(OR($U361="",$AB361=""),"",$AB361-$U361)</f>
        <v/>
      </c>
      <c r="AK361" s="41" t="str">
        <f aca="false">IF(OR($R361="",$AD361=""),"",$AD361-$R361)</f>
        <v/>
      </c>
      <c r="AL361" s="31"/>
      <c r="AM361" s="32"/>
      <c r="AN361" s="31"/>
    </row>
    <row r="362" customFormat="false" ht="15" hidden="false" customHeight="true" outlineLevel="0" collapsed="false">
      <c r="A362" s="38" t="str">
        <f aca="false">IF($B362="","",ROW()-3)</f>
        <v/>
      </c>
      <c r="B362" s="31"/>
      <c r="C362" s="31"/>
      <c r="D362" s="31"/>
      <c r="E362" s="31"/>
      <c r="F362" s="32"/>
      <c r="G362" s="32"/>
      <c r="H362" s="31"/>
      <c r="I362" s="31"/>
      <c r="J362" s="33"/>
      <c r="K362" s="34"/>
      <c r="L362" s="34"/>
      <c r="M362" s="34"/>
      <c r="N362" s="39" t="str">
        <f aca="false">IF($K362="","",$K362-N($L362)-N($M362))</f>
        <v/>
      </c>
      <c r="O362" s="31"/>
      <c r="P362" s="31"/>
      <c r="Q362" s="31"/>
      <c r="R362" s="32"/>
      <c r="S362" s="32"/>
      <c r="T362" s="32"/>
      <c r="U362" s="32"/>
      <c r="V362" s="31"/>
      <c r="W362" s="40" t="str">
        <f aca="false">IF(OR($F362="",$J362=""),"",$F362+$J362)</f>
        <v/>
      </c>
      <c r="X362" s="32"/>
      <c r="Y362" s="34"/>
      <c r="Z362" s="31"/>
      <c r="AA362" s="31"/>
      <c r="AB362" s="32"/>
      <c r="AC362" s="31"/>
      <c r="AD362" s="32"/>
      <c r="AE362" s="31"/>
      <c r="AF362" s="41" t="str">
        <f aca="false">IF(OR($R362="",$S362=""),"",$S362-$R362)</f>
        <v/>
      </c>
      <c r="AG362" s="41" t="str">
        <f aca="false">IF(OR($S362="",$T362=""),"",$T362-$S362)</f>
        <v/>
      </c>
      <c r="AH362" s="41" t="str">
        <f aca="false">IF(OR($T362="",$U362=""),"",$U362-$T362)</f>
        <v/>
      </c>
      <c r="AI362" s="41" t="str">
        <f aca="false">IF(OR($R362="",$U362=""),"",$U362-$R362)</f>
        <v/>
      </c>
      <c r="AJ362" s="41" t="str">
        <f aca="false">IF(OR($U362="",$AB362=""),"",$AB362-$U362)</f>
        <v/>
      </c>
      <c r="AK362" s="41" t="str">
        <f aca="false">IF(OR($R362="",$AD362=""),"",$AD362-$R362)</f>
        <v/>
      </c>
      <c r="AL362" s="31"/>
      <c r="AM362" s="32"/>
      <c r="AN362" s="31"/>
    </row>
    <row r="363" customFormat="false" ht="15" hidden="false" customHeight="true" outlineLevel="0" collapsed="false">
      <c r="A363" s="38" t="str">
        <f aca="false">IF($B363="","",ROW()-3)</f>
        <v/>
      </c>
      <c r="B363" s="31"/>
      <c r="C363" s="31"/>
      <c r="D363" s="31"/>
      <c r="E363" s="31"/>
      <c r="F363" s="32"/>
      <c r="G363" s="32"/>
      <c r="H363" s="31"/>
      <c r="I363" s="31"/>
      <c r="J363" s="33"/>
      <c r="K363" s="34"/>
      <c r="L363" s="34"/>
      <c r="M363" s="34"/>
      <c r="N363" s="39" t="str">
        <f aca="false">IF($K363="","",$K363-N($L363)-N($M363))</f>
        <v/>
      </c>
      <c r="O363" s="31"/>
      <c r="P363" s="31"/>
      <c r="Q363" s="31"/>
      <c r="R363" s="32"/>
      <c r="S363" s="32"/>
      <c r="T363" s="32"/>
      <c r="U363" s="32"/>
      <c r="V363" s="31"/>
      <c r="W363" s="40" t="str">
        <f aca="false">IF(OR($F363="",$J363=""),"",$F363+$J363)</f>
        <v/>
      </c>
      <c r="X363" s="32"/>
      <c r="Y363" s="34"/>
      <c r="Z363" s="31"/>
      <c r="AA363" s="31"/>
      <c r="AB363" s="32"/>
      <c r="AC363" s="31"/>
      <c r="AD363" s="32"/>
      <c r="AE363" s="31"/>
      <c r="AF363" s="41" t="str">
        <f aca="false">IF(OR($R363="",$S363=""),"",$S363-$R363)</f>
        <v/>
      </c>
      <c r="AG363" s="41" t="str">
        <f aca="false">IF(OR($S363="",$T363=""),"",$T363-$S363)</f>
        <v/>
      </c>
      <c r="AH363" s="41" t="str">
        <f aca="false">IF(OR($T363="",$U363=""),"",$U363-$T363)</f>
        <v/>
      </c>
      <c r="AI363" s="41" t="str">
        <f aca="false">IF(OR($R363="",$U363=""),"",$U363-$R363)</f>
        <v/>
      </c>
      <c r="AJ363" s="41" t="str">
        <f aca="false">IF(OR($U363="",$AB363=""),"",$AB363-$U363)</f>
        <v/>
      </c>
      <c r="AK363" s="41" t="str">
        <f aca="false">IF(OR($R363="",$AD363=""),"",$AD363-$R363)</f>
        <v/>
      </c>
      <c r="AL363" s="31"/>
      <c r="AM363" s="32"/>
      <c r="AN363" s="31"/>
    </row>
    <row r="364" customFormat="false" ht="15" hidden="false" customHeight="true" outlineLevel="0" collapsed="false">
      <c r="A364" s="38" t="str">
        <f aca="false">IF($B364="","",ROW()-3)</f>
        <v/>
      </c>
      <c r="B364" s="31"/>
      <c r="C364" s="31"/>
      <c r="D364" s="31"/>
      <c r="E364" s="31"/>
      <c r="F364" s="32"/>
      <c r="G364" s="32"/>
      <c r="H364" s="31"/>
      <c r="I364" s="31"/>
      <c r="J364" s="33"/>
      <c r="K364" s="34"/>
      <c r="L364" s="34"/>
      <c r="M364" s="34"/>
      <c r="N364" s="39" t="str">
        <f aca="false">IF($K364="","",$K364-N($L364)-N($M364))</f>
        <v/>
      </c>
      <c r="O364" s="31"/>
      <c r="P364" s="31"/>
      <c r="Q364" s="31"/>
      <c r="R364" s="32"/>
      <c r="S364" s="32"/>
      <c r="T364" s="32"/>
      <c r="U364" s="32"/>
      <c r="V364" s="31"/>
      <c r="W364" s="40" t="str">
        <f aca="false">IF(OR($F364="",$J364=""),"",$F364+$J364)</f>
        <v/>
      </c>
      <c r="X364" s="32"/>
      <c r="Y364" s="34"/>
      <c r="Z364" s="31"/>
      <c r="AA364" s="31"/>
      <c r="AB364" s="32"/>
      <c r="AC364" s="31"/>
      <c r="AD364" s="32"/>
      <c r="AE364" s="31"/>
      <c r="AF364" s="41" t="str">
        <f aca="false">IF(OR($R364="",$S364=""),"",$S364-$R364)</f>
        <v/>
      </c>
      <c r="AG364" s="41" t="str">
        <f aca="false">IF(OR($S364="",$T364=""),"",$T364-$S364)</f>
        <v/>
      </c>
      <c r="AH364" s="41" t="str">
        <f aca="false">IF(OR($T364="",$U364=""),"",$U364-$T364)</f>
        <v/>
      </c>
      <c r="AI364" s="41" t="str">
        <f aca="false">IF(OR($R364="",$U364=""),"",$U364-$R364)</f>
        <v/>
      </c>
      <c r="AJ364" s="41" t="str">
        <f aca="false">IF(OR($U364="",$AB364=""),"",$AB364-$U364)</f>
        <v/>
      </c>
      <c r="AK364" s="41" t="str">
        <f aca="false">IF(OR($R364="",$AD364=""),"",$AD364-$R364)</f>
        <v/>
      </c>
      <c r="AL364" s="31"/>
      <c r="AM364" s="32"/>
      <c r="AN364" s="31"/>
    </row>
    <row r="365" customFormat="false" ht="15" hidden="false" customHeight="true" outlineLevel="0" collapsed="false">
      <c r="A365" s="38" t="str">
        <f aca="false">IF($B365="","",ROW()-3)</f>
        <v/>
      </c>
      <c r="B365" s="31"/>
      <c r="C365" s="31"/>
      <c r="D365" s="31"/>
      <c r="E365" s="31"/>
      <c r="F365" s="32"/>
      <c r="G365" s="32"/>
      <c r="H365" s="31"/>
      <c r="I365" s="31"/>
      <c r="J365" s="33"/>
      <c r="K365" s="34"/>
      <c r="L365" s="34"/>
      <c r="M365" s="34"/>
      <c r="N365" s="39" t="str">
        <f aca="false">IF($K365="","",$K365-N($L365)-N($M365))</f>
        <v/>
      </c>
      <c r="O365" s="31"/>
      <c r="P365" s="31"/>
      <c r="Q365" s="31"/>
      <c r="R365" s="32"/>
      <c r="S365" s="32"/>
      <c r="T365" s="32"/>
      <c r="U365" s="32"/>
      <c r="V365" s="31"/>
      <c r="W365" s="40" t="str">
        <f aca="false">IF(OR($F365="",$J365=""),"",$F365+$J365)</f>
        <v/>
      </c>
      <c r="X365" s="32"/>
      <c r="Y365" s="34"/>
      <c r="Z365" s="31"/>
      <c r="AA365" s="31"/>
      <c r="AB365" s="32"/>
      <c r="AC365" s="31"/>
      <c r="AD365" s="32"/>
      <c r="AE365" s="31"/>
      <c r="AF365" s="41" t="str">
        <f aca="false">IF(OR($R365="",$S365=""),"",$S365-$R365)</f>
        <v/>
      </c>
      <c r="AG365" s="41" t="str">
        <f aca="false">IF(OR($S365="",$T365=""),"",$T365-$S365)</f>
        <v/>
      </c>
      <c r="AH365" s="41" t="str">
        <f aca="false">IF(OR($T365="",$U365=""),"",$U365-$T365)</f>
        <v/>
      </c>
      <c r="AI365" s="41" t="str">
        <f aca="false">IF(OR($R365="",$U365=""),"",$U365-$R365)</f>
        <v/>
      </c>
      <c r="AJ365" s="41" t="str">
        <f aca="false">IF(OR($U365="",$AB365=""),"",$AB365-$U365)</f>
        <v/>
      </c>
      <c r="AK365" s="41" t="str">
        <f aca="false">IF(OR($R365="",$AD365=""),"",$AD365-$R365)</f>
        <v/>
      </c>
      <c r="AL365" s="31"/>
      <c r="AM365" s="32"/>
      <c r="AN365" s="31"/>
    </row>
    <row r="366" customFormat="false" ht="15" hidden="false" customHeight="true" outlineLevel="0" collapsed="false">
      <c r="A366" s="38" t="str">
        <f aca="false">IF($B366="","",ROW()-3)</f>
        <v/>
      </c>
      <c r="B366" s="31"/>
      <c r="C366" s="31"/>
      <c r="D366" s="31"/>
      <c r="E366" s="31"/>
      <c r="F366" s="32"/>
      <c r="G366" s="32"/>
      <c r="H366" s="31"/>
      <c r="I366" s="31"/>
      <c r="J366" s="33"/>
      <c r="K366" s="34"/>
      <c r="L366" s="34"/>
      <c r="M366" s="34"/>
      <c r="N366" s="39" t="str">
        <f aca="false">IF($K366="","",$K366-N($L366)-N($M366))</f>
        <v/>
      </c>
      <c r="O366" s="31"/>
      <c r="P366" s="31"/>
      <c r="Q366" s="31"/>
      <c r="R366" s="32"/>
      <c r="S366" s="32"/>
      <c r="T366" s="32"/>
      <c r="U366" s="32"/>
      <c r="V366" s="31"/>
      <c r="W366" s="40" t="str">
        <f aca="false">IF(OR($F366="",$J366=""),"",$F366+$J366)</f>
        <v/>
      </c>
      <c r="X366" s="32"/>
      <c r="Y366" s="34"/>
      <c r="Z366" s="31"/>
      <c r="AA366" s="31"/>
      <c r="AB366" s="32"/>
      <c r="AC366" s="31"/>
      <c r="AD366" s="32"/>
      <c r="AE366" s="31"/>
      <c r="AF366" s="41" t="str">
        <f aca="false">IF(OR($R366="",$S366=""),"",$S366-$R366)</f>
        <v/>
      </c>
      <c r="AG366" s="41" t="str">
        <f aca="false">IF(OR($S366="",$T366=""),"",$T366-$S366)</f>
        <v/>
      </c>
      <c r="AH366" s="41" t="str">
        <f aca="false">IF(OR($T366="",$U366=""),"",$U366-$T366)</f>
        <v/>
      </c>
      <c r="AI366" s="41" t="str">
        <f aca="false">IF(OR($R366="",$U366=""),"",$U366-$R366)</f>
        <v/>
      </c>
      <c r="AJ366" s="41" t="str">
        <f aca="false">IF(OR($U366="",$AB366=""),"",$AB366-$U366)</f>
        <v/>
      </c>
      <c r="AK366" s="41" t="str">
        <f aca="false">IF(OR($R366="",$AD366=""),"",$AD366-$R366)</f>
        <v/>
      </c>
      <c r="AL366" s="31"/>
      <c r="AM366" s="32"/>
      <c r="AN366" s="31"/>
    </row>
    <row r="367" customFormat="false" ht="15" hidden="false" customHeight="true" outlineLevel="0" collapsed="false">
      <c r="A367" s="38" t="str">
        <f aca="false">IF($B367="","",ROW()-3)</f>
        <v/>
      </c>
      <c r="B367" s="31"/>
      <c r="C367" s="31"/>
      <c r="D367" s="31"/>
      <c r="E367" s="31"/>
      <c r="F367" s="32"/>
      <c r="G367" s="32"/>
      <c r="H367" s="31"/>
      <c r="I367" s="31"/>
      <c r="J367" s="33"/>
      <c r="K367" s="34"/>
      <c r="L367" s="34"/>
      <c r="M367" s="34"/>
      <c r="N367" s="39" t="str">
        <f aca="false">IF($K367="","",$K367-N($L367)-N($M367))</f>
        <v/>
      </c>
      <c r="O367" s="31"/>
      <c r="P367" s="31"/>
      <c r="Q367" s="31"/>
      <c r="R367" s="32"/>
      <c r="S367" s="32"/>
      <c r="T367" s="32"/>
      <c r="U367" s="32"/>
      <c r="V367" s="31"/>
      <c r="W367" s="40" t="str">
        <f aca="false">IF(OR($F367="",$J367=""),"",$F367+$J367)</f>
        <v/>
      </c>
      <c r="X367" s="32"/>
      <c r="Y367" s="34"/>
      <c r="Z367" s="31"/>
      <c r="AA367" s="31"/>
      <c r="AB367" s="32"/>
      <c r="AC367" s="31"/>
      <c r="AD367" s="32"/>
      <c r="AE367" s="31"/>
      <c r="AF367" s="41" t="str">
        <f aca="false">IF(OR($R367="",$S367=""),"",$S367-$R367)</f>
        <v/>
      </c>
      <c r="AG367" s="41" t="str">
        <f aca="false">IF(OR($S367="",$T367=""),"",$T367-$S367)</f>
        <v/>
      </c>
      <c r="AH367" s="41" t="str">
        <f aca="false">IF(OR($T367="",$U367=""),"",$U367-$T367)</f>
        <v/>
      </c>
      <c r="AI367" s="41" t="str">
        <f aca="false">IF(OR($R367="",$U367=""),"",$U367-$R367)</f>
        <v/>
      </c>
      <c r="AJ367" s="41" t="str">
        <f aca="false">IF(OR($U367="",$AB367=""),"",$AB367-$U367)</f>
        <v/>
      </c>
      <c r="AK367" s="41" t="str">
        <f aca="false">IF(OR($R367="",$AD367=""),"",$AD367-$R367)</f>
        <v/>
      </c>
      <c r="AL367" s="31"/>
      <c r="AM367" s="32"/>
      <c r="AN367" s="31"/>
    </row>
    <row r="368" customFormat="false" ht="15" hidden="false" customHeight="true" outlineLevel="0" collapsed="false">
      <c r="A368" s="38" t="str">
        <f aca="false">IF($B368="","",ROW()-3)</f>
        <v/>
      </c>
      <c r="B368" s="31"/>
      <c r="C368" s="31"/>
      <c r="D368" s="31"/>
      <c r="E368" s="31"/>
      <c r="F368" s="32"/>
      <c r="G368" s="32"/>
      <c r="H368" s="31"/>
      <c r="I368" s="31"/>
      <c r="J368" s="33"/>
      <c r="K368" s="34"/>
      <c r="L368" s="34"/>
      <c r="M368" s="34"/>
      <c r="N368" s="39" t="str">
        <f aca="false">IF($K368="","",$K368-N($L368)-N($M368))</f>
        <v/>
      </c>
      <c r="O368" s="31"/>
      <c r="P368" s="31"/>
      <c r="Q368" s="31"/>
      <c r="R368" s="32"/>
      <c r="S368" s="32"/>
      <c r="T368" s="32"/>
      <c r="U368" s="32"/>
      <c r="V368" s="31"/>
      <c r="W368" s="40" t="str">
        <f aca="false">IF(OR($F368="",$J368=""),"",$F368+$J368)</f>
        <v/>
      </c>
      <c r="X368" s="32"/>
      <c r="Y368" s="34"/>
      <c r="Z368" s="31"/>
      <c r="AA368" s="31"/>
      <c r="AB368" s="32"/>
      <c r="AC368" s="31"/>
      <c r="AD368" s="32"/>
      <c r="AE368" s="31"/>
      <c r="AF368" s="41" t="str">
        <f aca="false">IF(OR($R368="",$S368=""),"",$S368-$R368)</f>
        <v/>
      </c>
      <c r="AG368" s="41" t="str">
        <f aca="false">IF(OR($S368="",$T368=""),"",$T368-$S368)</f>
        <v/>
      </c>
      <c r="AH368" s="41" t="str">
        <f aca="false">IF(OR($T368="",$U368=""),"",$U368-$T368)</f>
        <v/>
      </c>
      <c r="AI368" s="41" t="str">
        <f aca="false">IF(OR($R368="",$U368=""),"",$U368-$R368)</f>
        <v/>
      </c>
      <c r="AJ368" s="41" t="str">
        <f aca="false">IF(OR($U368="",$AB368=""),"",$AB368-$U368)</f>
        <v/>
      </c>
      <c r="AK368" s="41" t="str">
        <f aca="false">IF(OR($R368="",$AD368=""),"",$AD368-$R368)</f>
        <v/>
      </c>
      <c r="AL368" s="31"/>
      <c r="AM368" s="32"/>
      <c r="AN368" s="31"/>
    </row>
    <row r="369" customFormat="false" ht="15" hidden="false" customHeight="true" outlineLevel="0" collapsed="false">
      <c r="A369" s="38" t="str">
        <f aca="false">IF($B369="","",ROW()-3)</f>
        <v/>
      </c>
      <c r="B369" s="31"/>
      <c r="C369" s="31"/>
      <c r="D369" s="31"/>
      <c r="E369" s="31"/>
      <c r="F369" s="32"/>
      <c r="G369" s="32"/>
      <c r="H369" s="31"/>
      <c r="I369" s="31"/>
      <c r="J369" s="33"/>
      <c r="K369" s="34"/>
      <c r="L369" s="34"/>
      <c r="M369" s="34"/>
      <c r="N369" s="39" t="str">
        <f aca="false">IF($K369="","",$K369-N($L369)-N($M369))</f>
        <v/>
      </c>
      <c r="O369" s="31"/>
      <c r="P369" s="31"/>
      <c r="Q369" s="31"/>
      <c r="R369" s="32"/>
      <c r="S369" s="32"/>
      <c r="T369" s="32"/>
      <c r="U369" s="32"/>
      <c r="V369" s="31"/>
      <c r="W369" s="40" t="str">
        <f aca="false">IF(OR($F369="",$J369=""),"",$F369+$J369)</f>
        <v/>
      </c>
      <c r="X369" s="32"/>
      <c r="Y369" s="34"/>
      <c r="Z369" s="31"/>
      <c r="AA369" s="31"/>
      <c r="AB369" s="32"/>
      <c r="AC369" s="31"/>
      <c r="AD369" s="32"/>
      <c r="AE369" s="31"/>
      <c r="AF369" s="41" t="str">
        <f aca="false">IF(OR($R369="",$S369=""),"",$S369-$R369)</f>
        <v/>
      </c>
      <c r="AG369" s="41" t="str">
        <f aca="false">IF(OR($S369="",$T369=""),"",$T369-$S369)</f>
        <v/>
      </c>
      <c r="AH369" s="41" t="str">
        <f aca="false">IF(OR($T369="",$U369=""),"",$U369-$T369)</f>
        <v/>
      </c>
      <c r="AI369" s="41" t="str">
        <f aca="false">IF(OR($R369="",$U369=""),"",$U369-$R369)</f>
        <v/>
      </c>
      <c r="AJ369" s="41" t="str">
        <f aca="false">IF(OR($U369="",$AB369=""),"",$AB369-$U369)</f>
        <v/>
      </c>
      <c r="AK369" s="41" t="str">
        <f aca="false">IF(OR($R369="",$AD369=""),"",$AD369-$R369)</f>
        <v/>
      </c>
      <c r="AL369" s="31"/>
      <c r="AM369" s="32"/>
      <c r="AN369" s="31"/>
    </row>
    <row r="370" customFormat="false" ht="15" hidden="false" customHeight="true" outlineLevel="0" collapsed="false">
      <c r="A370" s="38" t="str">
        <f aca="false">IF($B370="","",ROW()-3)</f>
        <v/>
      </c>
      <c r="B370" s="31"/>
      <c r="C370" s="31"/>
      <c r="D370" s="31"/>
      <c r="E370" s="31"/>
      <c r="F370" s="32"/>
      <c r="G370" s="32"/>
      <c r="H370" s="31"/>
      <c r="I370" s="31"/>
      <c r="J370" s="33"/>
      <c r="K370" s="34"/>
      <c r="L370" s="34"/>
      <c r="M370" s="34"/>
      <c r="N370" s="39" t="str">
        <f aca="false">IF($K370="","",$K370-N($L370)-N($M370))</f>
        <v/>
      </c>
      <c r="O370" s="31"/>
      <c r="P370" s="31"/>
      <c r="Q370" s="31"/>
      <c r="R370" s="32"/>
      <c r="S370" s="32"/>
      <c r="T370" s="32"/>
      <c r="U370" s="32"/>
      <c r="V370" s="31"/>
      <c r="W370" s="40" t="str">
        <f aca="false">IF(OR($F370="",$J370=""),"",$F370+$J370)</f>
        <v/>
      </c>
      <c r="X370" s="32"/>
      <c r="Y370" s="34"/>
      <c r="Z370" s="31"/>
      <c r="AA370" s="31"/>
      <c r="AB370" s="32"/>
      <c r="AC370" s="31"/>
      <c r="AD370" s="32"/>
      <c r="AE370" s="31"/>
      <c r="AF370" s="41" t="str">
        <f aca="false">IF(OR($R370="",$S370=""),"",$S370-$R370)</f>
        <v/>
      </c>
      <c r="AG370" s="41" t="str">
        <f aca="false">IF(OR($S370="",$T370=""),"",$T370-$S370)</f>
        <v/>
      </c>
      <c r="AH370" s="41" t="str">
        <f aca="false">IF(OR($T370="",$U370=""),"",$U370-$T370)</f>
        <v/>
      </c>
      <c r="AI370" s="41" t="str">
        <f aca="false">IF(OR($R370="",$U370=""),"",$U370-$R370)</f>
        <v/>
      </c>
      <c r="AJ370" s="41" t="str">
        <f aca="false">IF(OR($U370="",$AB370=""),"",$AB370-$U370)</f>
        <v/>
      </c>
      <c r="AK370" s="41" t="str">
        <f aca="false">IF(OR($R370="",$AD370=""),"",$AD370-$R370)</f>
        <v/>
      </c>
      <c r="AL370" s="31"/>
      <c r="AM370" s="32"/>
      <c r="AN370" s="31"/>
    </row>
    <row r="371" customFormat="false" ht="15" hidden="false" customHeight="true" outlineLevel="0" collapsed="false">
      <c r="A371" s="38" t="str">
        <f aca="false">IF($B371="","",ROW()-3)</f>
        <v/>
      </c>
      <c r="B371" s="31"/>
      <c r="C371" s="31"/>
      <c r="D371" s="31"/>
      <c r="E371" s="31"/>
      <c r="F371" s="32"/>
      <c r="G371" s="32"/>
      <c r="H371" s="31"/>
      <c r="I371" s="31"/>
      <c r="J371" s="33"/>
      <c r="K371" s="34"/>
      <c r="L371" s="34"/>
      <c r="M371" s="34"/>
      <c r="N371" s="39" t="str">
        <f aca="false">IF($K371="","",$K371-N($L371)-N($M371))</f>
        <v/>
      </c>
      <c r="O371" s="31"/>
      <c r="P371" s="31"/>
      <c r="Q371" s="31"/>
      <c r="R371" s="32"/>
      <c r="S371" s="32"/>
      <c r="T371" s="32"/>
      <c r="U371" s="32"/>
      <c r="V371" s="31"/>
      <c r="W371" s="40" t="str">
        <f aca="false">IF(OR($F371="",$J371=""),"",$F371+$J371)</f>
        <v/>
      </c>
      <c r="X371" s="32"/>
      <c r="Y371" s="34"/>
      <c r="Z371" s="31"/>
      <c r="AA371" s="31"/>
      <c r="AB371" s="32"/>
      <c r="AC371" s="31"/>
      <c r="AD371" s="32"/>
      <c r="AE371" s="31"/>
      <c r="AF371" s="41" t="str">
        <f aca="false">IF(OR($R371="",$S371=""),"",$S371-$R371)</f>
        <v/>
      </c>
      <c r="AG371" s="41" t="str">
        <f aca="false">IF(OR($S371="",$T371=""),"",$T371-$S371)</f>
        <v/>
      </c>
      <c r="AH371" s="41" t="str">
        <f aca="false">IF(OR($T371="",$U371=""),"",$U371-$T371)</f>
        <v/>
      </c>
      <c r="AI371" s="41" t="str">
        <f aca="false">IF(OR($R371="",$U371=""),"",$U371-$R371)</f>
        <v/>
      </c>
      <c r="AJ371" s="41" t="str">
        <f aca="false">IF(OR($U371="",$AB371=""),"",$AB371-$U371)</f>
        <v/>
      </c>
      <c r="AK371" s="41" t="str">
        <f aca="false">IF(OR($R371="",$AD371=""),"",$AD371-$R371)</f>
        <v/>
      </c>
      <c r="AL371" s="31"/>
      <c r="AM371" s="32"/>
      <c r="AN371" s="31"/>
    </row>
    <row r="372" customFormat="false" ht="15" hidden="false" customHeight="true" outlineLevel="0" collapsed="false">
      <c r="A372" s="38" t="str">
        <f aca="false">IF($B372="","",ROW()-3)</f>
        <v/>
      </c>
      <c r="B372" s="31"/>
      <c r="C372" s="31"/>
      <c r="D372" s="31"/>
      <c r="E372" s="31"/>
      <c r="F372" s="32"/>
      <c r="G372" s="32"/>
      <c r="H372" s="31"/>
      <c r="I372" s="31"/>
      <c r="J372" s="33"/>
      <c r="K372" s="34"/>
      <c r="L372" s="34"/>
      <c r="M372" s="34"/>
      <c r="N372" s="39" t="str">
        <f aca="false">IF($K372="","",$K372-N($L372)-N($M372))</f>
        <v/>
      </c>
      <c r="O372" s="31"/>
      <c r="P372" s="31"/>
      <c r="Q372" s="31"/>
      <c r="R372" s="32"/>
      <c r="S372" s="32"/>
      <c r="T372" s="32"/>
      <c r="U372" s="32"/>
      <c r="V372" s="31"/>
      <c r="W372" s="40" t="str">
        <f aca="false">IF(OR($F372="",$J372=""),"",$F372+$J372)</f>
        <v/>
      </c>
      <c r="X372" s="32"/>
      <c r="Y372" s="34"/>
      <c r="Z372" s="31"/>
      <c r="AA372" s="31"/>
      <c r="AB372" s="32"/>
      <c r="AC372" s="31"/>
      <c r="AD372" s="32"/>
      <c r="AE372" s="31"/>
      <c r="AF372" s="41" t="str">
        <f aca="false">IF(OR($R372="",$S372=""),"",$S372-$R372)</f>
        <v/>
      </c>
      <c r="AG372" s="41" t="str">
        <f aca="false">IF(OR($S372="",$T372=""),"",$T372-$S372)</f>
        <v/>
      </c>
      <c r="AH372" s="41" t="str">
        <f aca="false">IF(OR($T372="",$U372=""),"",$U372-$T372)</f>
        <v/>
      </c>
      <c r="AI372" s="41" t="str">
        <f aca="false">IF(OR($R372="",$U372=""),"",$U372-$R372)</f>
        <v/>
      </c>
      <c r="AJ372" s="41" t="str">
        <f aca="false">IF(OR($U372="",$AB372=""),"",$AB372-$U372)</f>
        <v/>
      </c>
      <c r="AK372" s="41" t="str">
        <f aca="false">IF(OR($R372="",$AD372=""),"",$AD372-$R372)</f>
        <v/>
      </c>
      <c r="AL372" s="31"/>
      <c r="AM372" s="32"/>
      <c r="AN372" s="31"/>
    </row>
    <row r="373" customFormat="false" ht="15" hidden="false" customHeight="true" outlineLevel="0" collapsed="false">
      <c r="A373" s="38" t="str">
        <f aca="false">IF($B373="","",ROW()-3)</f>
        <v/>
      </c>
      <c r="B373" s="31"/>
      <c r="C373" s="31"/>
      <c r="D373" s="31"/>
      <c r="E373" s="31"/>
      <c r="F373" s="32"/>
      <c r="G373" s="32"/>
      <c r="H373" s="31"/>
      <c r="I373" s="31"/>
      <c r="J373" s="33"/>
      <c r="K373" s="34"/>
      <c r="L373" s="34"/>
      <c r="M373" s="34"/>
      <c r="N373" s="39" t="str">
        <f aca="false">IF($K373="","",$K373-N($L373)-N($M373))</f>
        <v/>
      </c>
      <c r="O373" s="31"/>
      <c r="P373" s="31"/>
      <c r="Q373" s="31"/>
      <c r="R373" s="32"/>
      <c r="S373" s="32"/>
      <c r="T373" s="32"/>
      <c r="U373" s="32"/>
      <c r="V373" s="31"/>
      <c r="W373" s="40" t="str">
        <f aca="false">IF(OR($F373="",$J373=""),"",$F373+$J373)</f>
        <v/>
      </c>
      <c r="X373" s="32"/>
      <c r="Y373" s="34"/>
      <c r="Z373" s="31"/>
      <c r="AA373" s="31"/>
      <c r="AB373" s="32"/>
      <c r="AC373" s="31"/>
      <c r="AD373" s="32"/>
      <c r="AE373" s="31"/>
      <c r="AF373" s="41" t="str">
        <f aca="false">IF(OR($R373="",$S373=""),"",$S373-$R373)</f>
        <v/>
      </c>
      <c r="AG373" s="41" t="str">
        <f aca="false">IF(OR($S373="",$T373=""),"",$T373-$S373)</f>
        <v/>
      </c>
      <c r="AH373" s="41" t="str">
        <f aca="false">IF(OR($T373="",$U373=""),"",$U373-$T373)</f>
        <v/>
      </c>
      <c r="AI373" s="41" t="str">
        <f aca="false">IF(OR($R373="",$U373=""),"",$U373-$R373)</f>
        <v/>
      </c>
      <c r="AJ373" s="41" t="str">
        <f aca="false">IF(OR($U373="",$AB373=""),"",$AB373-$U373)</f>
        <v/>
      </c>
      <c r="AK373" s="41" t="str">
        <f aca="false">IF(OR($R373="",$AD373=""),"",$AD373-$R373)</f>
        <v/>
      </c>
      <c r="AL373" s="31"/>
      <c r="AM373" s="32"/>
      <c r="AN373" s="31"/>
    </row>
    <row r="374" customFormat="false" ht="15" hidden="false" customHeight="true" outlineLevel="0" collapsed="false">
      <c r="A374" s="38" t="str">
        <f aca="false">IF($B374="","",ROW()-3)</f>
        <v/>
      </c>
      <c r="B374" s="31"/>
      <c r="C374" s="31"/>
      <c r="D374" s="31"/>
      <c r="E374" s="31"/>
      <c r="F374" s="32"/>
      <c r="G374" s="32"/>
      <c r="H374" s="31"/>
      <c r="I374" s="31"/>
      <c r="J374" s="33"/>
      <c r="K374" s="34"/>
      <c r="L374" s="34"/>
      <c r="M374" s="34"/>
      <c r="N374" s="39" t="str">
        <f aca="false">IF($K374="","",$K374-N($L374)-N($M374))</f>
        <v/>
      </c>
      <c r="O374" s="31"/>
      <c r="P374" s="31"/>
      <c r="Q374" s="31"/>
      <c r="R374" s="32"/>
      <c r="S374" s="32"/>
      <c r="T374" s="32"/>
      <c r="U374" s="32"/>
      <c r="V374" s="31"/>
      <c r="W374" s="40" t="str">
        <f aca="false">IF(OR($F374="",$J374=""),"",$F374+$J374)</f>
        <v/>
      </c>
      <c r="X374" s="32"/>
      <c r="Y374" s="34"/>
      <c r="Z374" s="31"/>
      <c r="AA374" s="31"/>
      <c r="AB374" s="32"/>
      <c r="AC374" s="31"/>
      <c r="AD374" s="32"/>
      <c r="AE374" s="31"/>
      <c r="AF374" s="41" t="str">
        <f aca="false">IF(OR($R374="",$S374=""),"",$S374-$R374)</f>
        <v/>
      </c>
      <c r="AG374" s="41" t="str">
        <f aca="false">IF(OR($S374="",$T374=""),"",$T374-$S374)</f>
        <v/>
      </c>
      <c r="AH374" s="41" t="str">
        <f aca="false">IF(OR($T374="",$U374=""),"",$U374-$T374)</f>
        <v/>
      </c>
      <c r="AI374" s="41" t="str">
        <f aca="false">IF(OR($R374="",$U374=""),"",$U374-$R374)</f>
        <v/>
      </c>
      <c r="AJ374" s="41" t="str">
        <f aca="false">IF(OR($U374="",$AB374=""),"",$AB374-$U374)</f>
        <v/>
      </c>
      <c r="AK374" s="41" t="str">
        <f aca="false">IF(OR($R374="",$AD374=""),"",$AD374-$R374)</f>
        <v/>
      </c>
      <c r="AL374" s="31"/>
      <c r="AM374" s="32"/>
      <c r="AN374" s="31"/>
    </row>
    <row r="375" customFormat="false" ht="15" hidden="false" customHeight="true" outlineLevel="0" collapsed="false">
      <c r="A375" s="38" t="str">
        <f aca="false">IF($B375="","",ROW()-3)</f>
        <v/>
      </c>
      <c r="B375" s="31"/>
      <c r="C375" s="31"/>
      <c r="D375" s="31"/>
      <c r="E375" s="31"/>
      <c r="F375" s="32"/>
      <c r="G375" s="32"/>
      <c r="H375" s="31"/>
      <c r="I375" s="31"/>
      <c r="J375" s="33"/>
      <c r="K375" s="34"/>
      <c r="L375" s="34"/>
      <c r="M375" s="34"/>
      <c r="N375" s="39" t="str">
        <f aca="false">IF($K375="","",$K375-N($L375)-N($M375))</f>
        <v/>
      </c>
      <c r="O375" s="31"/>
      <c r="P375" s="31"/>
      <c r="Q375" s="31"/>
      <c r="R375" s="32"/>
      <c r="S375" s="32"/>
      <c r="T375" s="32"/>
      <c r="U375" s="32"/>
      <c r="V375" s="31"/>
      <c r="W375" s="40" t="str">
        <f aca="false">IF(OR($F375="",$J375=""),"",$F375+$J375)</f>
        <v/>
      </c>
      <c r="X375" s="32"/>
      <c r="Y375" s="34"/>
      <c r="Z375" s="31"/>
      <c r="AA375" s="31"/>
      <c r="AB375" s="32"/>
      <c r="AC375" s="31"/>
      <c r="AD375" s="32"/>
      <c r="AE375" s="31"/>
      <c r="AF375" s="41" t="str">
        <f aca="false">IF(OR($R375="",$S375=""),"",$S375-$R375)</f>
        <v/>
      </c>
      <c r="AG375" s="41" t="str">
        <f aca="false">IF(OR($S375="",$T375=""),"",$T375-$S375)</f>
        <v/>
      </c>
      <c r="AH375" s="41" t="str">
        <f aca="false">IF(OR($T375="",$U375=""),"",$U375-$T375)</f>
        <v/>
      </c>
      <c r="AI375" s="41" t="str">
        <f aca="false">IF(OR($R375="",$U375=""),"",$U375-$R375)</f>
        <v/>
      </c>
      <c r="AJ375" s="41" t="str">
        <f aca="false">IF(OR($U375="",$AB375=""),"",$AB375-$U375)</f>
        <v/>
      </c>
      <c r="AK375" s="41" t="str">
        <f aca="false">IF(OR($R375="",$AD375=""),"",$AD375-$R375)</f>
        <v/>
      </c>
      <c r="AL375" s="31"/>
      <c r="AM375" s="32"/>
      <c r="AN375" s="31"/>
    </row>
    <row r="376" customFormat="false" ht="15" hidden="false" customHeight="true" outlineLevel="0" collapsed="false">
      <c r="A376" s="38" t="str">
        <f aca="false">IF($B376="","",ROW()-3)</f>
        <v/>
      </c>
      <c r="B376" s="31"/>
      <c r="C376" s="31"/>
      <c r="D376" s="31"/>
      <c r="E376" s="31"/>
      <c r="F376" s="32"/>
      <c r="G376" s="32"/>
      <c r="H376" s="31"/>
      <c r="I376" s="31"/>
      <c r="J376" s="33"/>
      <c r="K376" s="34"/>
      <c r="L376" s="34"/>
      <c r="M376" s="34"/>
      <c r="N376" s="39" t="str">
        <f aca="false">IF($K376="","",$K376-N($L376)-N($M376))</f>
        <v/>
      </c>
      <c r="O376" s="31"/>
      <c r="P376" s="31"/>
      <c r="Q376" s="31"/>
      <c r="R376" s="32"/>
      <c r="S376" s="32"/>
      <c r="T376" s="32"/>
      <c r="U376" s="32"/>
      <c r="V376" s="31"/>
      <c r="W376" s="40" t="str">
        <f aca="false">IF(OR($F376="",$J376=""),"",$F376+$J376)</f>
        <v/>
      </c>
      <c r="X376" s="32"/>
      <c r="Y376" s="34"/>
      <c r="Z376" s="31"/>
      <c r="AA376" s="31"/>
      <c r="AB376" s="32"/>
      <c r="AC376" s="31"/>
      <c r="AD376" s="32"/>
      <c r="AE376" s="31"/>
      <c r="AF376" s="41" t="str">
        <f aca="false">IF(OR($R376="",$S376=""),"",$S376-$R376)</f>
        <v/>
      </c>
      <c r="AG376" s="41" t="str">
        <f aca="false">IF(OR($S376="",$T376=""),"",$T376-$S376)</f>
        <v/>
      </c>
      <c r="AH376" s="41" t="str">
        <f aca="false">IF(OR($T376="",$U376=""),"",$U376-$T376)</f>
        <v/>
      </c>
      <c r="AI376" s="41" t="str">
        <f aca="false">IF(OR($R376="",$U376=""),"",$U376-$R376)</f>
        <v/>
      </c>
      <c r="AJ376" s="41" t="str">
        <f aca="false">IF(OR($U376="",$AB376=""),"",$AB376-$U376)</f>
        <v/>
      </c>
      <c r="AK376" s="41" t="str">
        <f aca="false">IF(OR($R376="",$AD376=""),"",$AD376-$R376)</f>
        <v/>
      </c>
      <c r="AL376" s="31"/>
      <c r="AM376" s="32"/>
      <c r="AN376" s="31"/>
    </row>
    <row r="377" customFormat="false" ht="15" hidden="false" customHeight="true" outlineLevel="0" collapsed="false">
      <c r="A377" s="38" t="str">
        <f aca="false">IF($B377="","",ROW()-3)</f>
        <v/>
      </c>
      <c r="B377" s="31"/>
      <c r="C377" s="31"/>
      <c r="D377" s="31"/>
      <c r="E377" s="31"/>
      <c r="F377" s="32"/>
      <c r="G377" s="32"/>
      <c r="H377" s="31"/>
      <c r="I377" s="31"/>
      <c r="J377" s="33"/>
      <c r="K377" s="34"/>
      <c r="L377" s="34"/>
      <c r="M377" s="34"/>
      <c r="N377" s="39" t="str">
        <f aca="false">IF($K377="","",$K377-N($L377)-N($M377))</f>
        <v/>
      </c>
      <c r="O377" s="31"/>
      <c r="P377" s="31"/>
      <c r="Q377" s="31"/>
      <c r="R377" s="32"/>
      <c r="S377" s="32"/>
      <c r="T377" s="32"/>
      <c r="U377" s="32"/>
      <c r="V377" s="31"/>
      <c r="W377" s="40" t="str">
        <f aca="false">IF(OR($F377="",$J377=""),"",$F377+$J377)</f>
        <v/>
      </c>
      <c r="X377" s="32"/>
      <c r="Y377" s="34"/>
      <c r="Z377" s="31"/>
      <c r="AA377" s="31"/>
      <c r="AB377" s="32"/>
      <c r="AC377" s="31"/>
      <c r="AD377" s="32"/>
      <c r="AE377" s="31"/>
      <c r="AF377" s="41" t="str">
        <f aca="false">IF(OR($R377="",$S377=""),"",$S377-$R377)</f>
        <v/>
      </c>
      <c r="AG377" s="41" t="str">
        <f aca="false">IF(OR($S377="",$T377=""),"",$T377-$S377)</f>
        <v/>
      </c>
      <c r="AH377" s="41" t="str">
        <f aca="false">IF(OR($T377="",$U377=""),"",$U377-$T377)</f>
        <v/>
      </c>
      <c r="AI377" s="41" t="str">
        <f aca="false">IF(OR($R377="",$U377=""),"",$U377-$R377)</f>
        <v/>
      </c>
      <c r="AJ377" s="41" t="str">
        <f aca="false">IF(OR($U377="",$AB377=""),"",$AB377-$U377)</f>
        <v/>
      </c>
      <c r="AK377" s="41" t="str">
        <f aca="false">IF(OR($R377="",$AD377=""),"",$AD377-$R377)</f>
        <v/>
      </c>
      <c r="AL377" s="31"/>
      <c r="AM377" s="32"/>
      <c r="AN377" s="31"/>
    </row>
    <row r="378" customFormat="false" ht="15" hidden="false" customHeight="true" outlineLevel="0" collapsed="false">
      <c r="A378" s="38" t="str">
        <f aca="false">IF($B378="","",ROW()-3)</f>
        <v/>
      </c>
      <c r="B378" s="31"/>
      <c r="C378" s="31"/>
      <c r="D378" s="31"/>
      <c r="E378" s="31"/>
      <c r="F378" s="32"/>
      <c r="G378" s="32"/>
      <c r="H378" s="31"/>
      <c r="I378" s="31"/>
      <c r="J378" s="33"/>
      <c r="K378" s="34"/>
      <c r="L378" s="34"/>
      <c r="M378" s="34"/>
      <c r="N378" s="39" t="str">
        <f aca="false">IF($K378="","",$K378-N($L378)-N($M378))</f>
        <v/>
      </c>
      <c r="O378" s="31"/>
      <c r="P378" s="31"/>
      <c r="Q378" s="31"/>
      <c r="R378" s="32"/>
      <c r="S378" s="32"/>
      <c r="T378" s="32"/>
      <c r="U378" s="32"/>
      <c r="V378" s="31"/>
      <c r="W378" s="40" t="str">
        <f aca="false">IF(OR($F378="",$J378=""),"",$F378+$J378)</f>
        <v/>
      </c>
      <c r="X378" s="32"/>
      <c r="Y378" s="34"/>
      <c r="Z378" s="31"/>
      <c r="AA378" s="31"/>
      <c r="AB378" s="32"/>
      <c r="AC378" s="31"/>
      <c r="AD378" s="32"/>
      <c r="AE378" s="31"/>
      <c r="AF378" s="41" t="str">
        <f aca="false">IF(OR($R378="",$S378=""),"",$S378-$R378)</f>
        <v/>
      </c>
      <c r="AG378" s="41" t="str">
        <f aca="false">IF(OR($S378="",$T378=""),"",$T378-$S378)</f>
        <v/>
      </c>
      <c r="AH378" s="41" t="str">
        <f aca="false">IF(OR($T378="",$U378=""),"",$U378-$T378)</f>
        <v/>
      </c>
      <c r="AI378" s="41" t="str">
        <f aca="false">IF(OR($R378="",$U378=""),"",$U378-$R378)</f>
        <v/>
      </c>
      <c r="AJ378" s="41" t="str">
        <f aca="false">IF(OR($U378="",$AB378=""),"",$AB378-$U378)</f>
        <v/>
      </c>
      <c r="AK378" s="41" t="str">
        <f aca="false">IF(OR($R378="",$AD378=""),"",$AD378-$R378)</f>
        <v/>
      </c>
      <c r="AL378" s="31"/>
      <c r="AM378" s="32"/>
      <c r="AN378" s="31"/>
    </row>
    <row r="379" customFormat="false" ht="15" hidden="false" customHeight="true" outlineLevel="0" collapsed="false">
      <c r="A379" s="38" t="str">
        <f aca="false">IF($B379="","",ROW()-3)</f>
        <v/>
      </c>
      <c r="B379" s="31"/>
      <c r="C379" s="31"/>
      <c r="D379" s="31"/>
      <c r="E379" s="31"/>
      <c r="F379" s="32"/>
      <c r="G379" s="32"/>
      <c r="H379" s="31"/>
      <c r="I379" s="31"/>
      <c r="J379" s="33"/>
      <c r="K379" s="34"/>
      <c r="L379" s="34"/>
      <c r="M379" s="34"/>
      <c r="N379" s="39" t="str">
        <f aca="false">IF($K379="","",$K379-N($L379)-N($M379))</f>
        <v/>
      </c>
      <c r="O379" s="31"/>
      <c r="P379" s="31"/>
      <c r="Q379" s="31"/>
      <c r="R379" s="32"/>
      <c r="S379" s="32"/>
      <c r="T379" s="32"/>
      <c r="U379" s="32"/>
      <c r="V379" s="31"/>
      <c r="W379" s="40" t="str">
        <f aca="false">IF(OR($F379="",$J379=""),"",$F379+$J379)</f>
        <v/>
      </c>
      <c r="X379" s="32"/>
      <c r="Y379" s="34"/>
      <c r="Z379" s="31"/>
      <c r="AA379" s="31"/>
      <c r="AB379" s="32"/>
      <c r="AC379" s="31"/>
      <c r="AD379" s="32"/>
      <c r="AE379" s="31"/>
      <c r="AF379" s="41" t="str">
        <f aca="false">IF(OR($R379="",$S379=""),"",$S379-$R379)</f>
        <v/>
      </c>
      <c r="AG379" s="41" t="str">
        <f aca="false">IF(OR($S379="",$T379=""),"",$T379-$S379)</f>
        <v/>
      </c>
      <c r="AH379" s="41" t="str">
        <f aca="false">IF(OR($T379="",$U379=""),"",$U379-$T379)</f>
        <v/>
      </c>
      <c r="AI379" s="41" t="str">
        <f aca="false">IF(OR($R379="",$U379=""),"",$U379-$R379)</f>
        <v/>
      </c>
      <c r="AJ379" s="41" t="str">
        <f aca="false">IF(OR($U379="",$AB379=""),"",$AB379-$U379)</f>
        <v/>
      </c>
      <c r="AK379" s="41" t="str">
        <f aca="false">IF(OR($R379="",$AD379=""),"",$AD379-$R379)</f>
        <v/>
      </c>
      <c r="AL379" s="31"/>
      <c r="AM379" s="32"/>
      <c r="AN379" s="31"/>
    </row>
    <row r="380" customFormat="false" ht="15" hidden="false" customHeight="true" outlineLevel="0" collapsed="false">
      <c r="A380" s="38" t="str">
        <f aca="false">IF($B380="","",ROW()-3)</f>
        <v/>
      </c>
      <c r="B380" s="31"/>
      <c r="C380" s="31"/>
      <c r="D380" s="31"/>
      <c r="E380" s="31"/>
      <c r="F380" s="32"/>
      <c r="G380" s="32"/>
      <c r="H380" s="31"/>
      <c r="I380" s="31"/>
      <c r="J380" s="33"/>
      <c r="K380" s="34"/>
      <c r="L380" s="34"/>
      <c r="M380" s="34"/>
      <c r="N380" s="39" t="str">
        <f aca="false">IF($K380="","",$K380-N($L380)-N($M380))</f>
        <v/>
      </c>
      <c r="O380" s="31"/>
      <c r="P380" s="31"/>
      <c r="Q380" s="31"/>
      <c r="R380" s="32"/>
      <c r="S380" s="32"/>
      <c r="T380" s="32"/>
      <c r="U380" s="32"/>
      <c r="V380" s="31"/>
      <c r="W380" s="40" t="str">
        <f aca="false">IF(OR($F380="",$J380=""),"",$F380+$J380)</f>
        <v/>
      </c>
      <c r="X380" s="32"/>
      <c r="Y380" s="34"/>
      <c r="Z380" s="31"/>
      <c r="AA380" s="31"/>
      <c r="AB380" s="32"/>
      <c r="AC380" s="31"/>
      <c r="AD380" s="32"/>
      <c r="AE380" s="31"/>
      <c r="AF380" s="41" t="str">
        <f aca="false">IF(OR($R380="",$S380=""),"",$S380-$R380)</f>
        <v/>
      </c>
      <c r="AG380" s="41" t="str">
        <f aca="false">IF(OR($S380="",$T380=""),"",$T380-$S380)</f>
        <v/>
      </c>
      <c r="AH380" s="41" t="str">
        <f aca="false">IF(OR($T380="",$U380=""),"",$U380-$T380)</f>
        <v/>
      </c>
      <c r="AI380" s="41" t="str">
        <f aca="false">IF(OR($R380="",$U380=""),"",$U380-$R380)</f>
        <v/>
      </c>
      <c r="AJ380" s="41" t="str">
        <f aca="false">IF(OR($U380="",$AB380=""),"",$AB380-$U380)</f>
        <v/>
      </c>
      <c r="AK380" s="41" t="str">
        <f aca="false">IF(OR($R380="",$AD380=""),"",$AD380-$R380)</f>
        <v/>
      </c>
      <c r="AL380" s="31"/>
      <c r="AM380" s="32"/>
      <c r="AN380" s="31"/>
    </row>
    <row r="381" customFormat="false" ht="15" hidden="false" customHeight="true" outlineLevel="0" collapsed="false">
      <c r="A381" s="38" t="str">
        <f aca="false">IF($B381="","",ROW()-3)</f>
        <v/>
      </c>
      <c r="B381" s="31"/>
      <c r="C381" s="31"/>
      <c r="D381" s="31"/>
      <c r="E381" s="31"/>
      <c r="F381" s="32"/>
      <c r="G381" s="32"/>
      <c r="H381" s="31"/>
      <c r="I381" s="31"/>
      <c r="J381" s="33"/>
      <c r="K381" s="34"/>
      <c r="L381" s="34"/>
      <c r="M381" s="34"/>
      <c r="N381" s="39" t="str">
        <f aca="false">IF($K381="","",$K381-N($L381)-N($M381))</f>
        <v/>
      </c>
      <c r="O381" s="31"/>
      <c r="P381" s="31"/>
      <c r="Q381" s="31"/>
      <c r="R381" s="32"/>
      <c r="S381" s="32"/>
      <c r="T381" s="32"/>
      <c r="U381" s="32"/>
      <c r="V381" s="31"/>
      <c r="W381" s="40" t="str">
        <f aca="false">IF(OR($F381="",$J381=""),"",$F381+$J381)</f>
        <v/>
      </c>
      <c r="X381" s="32"/>
      <c r="Y381" s="34"/>
      <c r="Z381" s="31"/>
      <c r="AA381" s="31"/>
      <c r="AB381" s="32"/>
      <c r="AC381" s="31"/>
      <c r="AD381" s="32"/>
      <c r="AE381" s="31"/>
      <c r="AF381" s="41" t="str">
        <f aca="false">IF(OR($R381="",$S381=""),"",$S381-$R381)</f>
        <v/>
      </c>
      <c r="AG381" s="41" t="str">
        <f aca="false">IF(OR($S381="",$T381=""),"",$T381-$S381)</f>
        <v/>
      </c>
      <c r="AH381" s="41" t="str">
        <f aca="false">IF(OR($T381="",$U381=""),"",$U381-$T381)</f>
        <v/>
      </c>
      <c r="AI381" s="41" t="str">
        <f aca="false">IF(OR($R381="",$U381=""),"",$U381-$R381)</f>
        <v/>
      </c>
      <c r="AJ381" s="41" t="str">
        <f aca="false">IF(OR($U381="",$AB381=""),"",$AB381-$U381)</f>
        <v/>
      </c>
      <c r="AK381" s="41" t="str">
        <f aca="false">IF(OR($R381="",$AD381=""),"",$AD381-$R381)</f>
        <v/>
      </c>
      <c r="AL381" s="31"/>
      <c r="AM381" s="32"/>
      <c r="AN381" s="31"/>
    </row>
    <row r="382" customFormat="false" ht="15" hidden="false" customHeight="true" outlineLevel="0" collapsed="false">
      <c r="A382" s="38" t="str">
        <f aca="false">IF($B382="","",ROW()-3)</f>
        <v/>
      </c>
      <c r="B382" s="31"/>
      <c r="C382" s="31"/>
      <c r="D382" s="31"/>
      <c r="E382" s="31"/>
      <c r="F382" s="32"/>
      <c r="G382" s="32"/>
      <c r="H382" s="31"/>
      <c r="I382" s="31"/>
      <c r="J382" s="33"/>
      <c r="K382" s="34"/>
      <c r="L382" s="34"/>
      <c r="M382" s="34"/>
      <c r="N382" s="39" t="str">
        <f aca="false">IF($K382="","",$K382-N($L382)-N($M382))</f>
        <v/>
      </c>
      <c r="O382" s="31"/>
      <c r="P382" s="31"/>
      <c r="Q382" s="31"/>
      <c r="R382" s="32"/>
      <c r="S382" s="32"/>
      <c r="T382" s="32"/>
      <c r="U382" s="32"/>
      <c r="V382" s="31"/>
      <c r="W382" s="40" t="str">
        <f aca="false">IF(OR($F382="",$J382=""),"",$F382+$J382)</f>
        <v/>
      </c>
      <c r="X382" s="32"/>
      <c r="Y382" s="34"/>
      <c r="Z382" s="31"/>
      <c r="AA382" s="31"/>
      <c r="AB382" s="32"/>
      <c r="AC382" s="31"/>
      <c r="AD382" s="32"/>
      <c r="AE382" s="31"/>
      <c r="AF382" s="41" t="str">
        <f aca="false">IF(OR($R382="",$S382=""),"",$S382-$R382)</f>
        <v/>
      </c>
      <c r="AG382" s="41" t="str">
        <f aca="false">IF(OR($S382="",$T382=""),"",$T382-$S382)</f>
        <v/>
      </c>
      <c r="AH382" s="41" t="str">
        <f aca="false">IF(OR($T382="",$U382=""),"",$U382-$T382)</f>
        <v/>
      </c>
      <c r="AI382" s="41" t="str">
        <f aca="false">IF(OR($R382="",$U382=""),"",$U382-$R382)</f>
        <v/>
      </c>
      <c r="AJ382" s="41" t="str">
        <f aca="false">IF(OR($U382="",$AB382=""),"",$AB382-$U382)</f>
        <v/>
      </c>
      <c r="AK382" s="41" t="str">
        <f aca="false">IF(OR($R382="",$AD382=""),"",$AD382-$R382)</f>
        <v/>
      </c>
      <c r="AL382" s="31"/>
      <c r="AM382" s="32"/>
      <c r="AN382" s="31"/>
    </row>
    <row r="383" customFormat="false" ht="15" hidden="false" customHeight="true" outlineLevel="0" collapsed="false">
      <c r="A383" s="38" t="str">
        <f aca="false">IF($B383="","",ROW()-3)</f>
        <v/>
      </c>
      <c r="B383" s="31"/>
      <c r="C383" s="31"/>
      <c r="D383" s="31"/>
      <c r="E383" s="31"/>
      <c r="F383" s="32"/>
      <c r="G383" s="32"/>
      <c r="H383" s="31"/>
      <c r="I383" s="31"/>
      <c r="J383" s="33"/>
      <c r="K383" s="34"/>
      <c r="L383" s="34"/>
      <c r="M383" s="34"/>
      <c r="N383" s="39" t="str">
        <f aca="false">IF($K383="","",$K383-N($L383)-N($M383))</f>
        <v/>
      </c>
      <c r="O383" s="31"/>
      <c r="P383" s="31"/>
      <c r="Q383" s="31"/>
      <c r="R383" s="32"/>
      <c r="S383" s="32"/>
      <c r="T383" s="32"/>
      <c r="U383" s="32"/>
      <c r="V383" s="31"/>
      <c r="W383" s="40" t="str">
        <f aca="false">IF(OR($F383="",$J383=""),"",$F383+$J383)</f>
        <v/>
      </c>
      <c r="X383" s="32"/>
      <c r="Y383" s="34"/>
      <c r="Z383" s="31"/>
      <c r="AA383" s="31"/>
      <c r="AB383" s="32"/>
      <c r="AC383" s="31"/>
      <c r="AD383" s="32"/>
      <c r="AE383" s="31"/>
      <c r="AF383" s="41" t="str">
        <f aca="false">IF(OR($R383="",$S383=""),"",$S383-$R383)</f>
        <v/>
      </c>
      <c r="AG383" s="41" t="str">
        <f aca="false">IF(OR($S383="",$T383=""),"",$T383-$S383)</f>
        <v/>
      </c>
      <c r="AH383" s="41" t="str">
        <f aca="false">IF(OR($T383="",$U383=""),"",$U383-$T383)</f>
        <v/>
      </c>
      <c r="AI383" s="41" t="str">
        <f aca="false">IF(OR($R383="",$U383=""),"",$U383-$R383)</f>
        <v/>
      </c>
      <c r="AJ383" s="41" t="str">
        <f aca="false">IF(OR($U383="",$AB383=""),"",$AB383-$U383)</f>
        <v/>
      </c>
      <c r="AK383" s="41" t="str">
        <f aca="false">IF(OR($R383="",$AD383=""),"",$AD383-$R383)</f>
        <v/>
      </c>
      <c r="AL383" s="31"/>
      <c r="AM383" s="32"/>
      <c r="AN383" s="31"/>
    </row>
    <row r="384" customFormat="false" ht="15" hidden="false" customHeight="true" outlineLevel="0" collapsed="false">
      <c r="A384" s="38" t="str">
        <f aca="false">IF($B384="","",ROW()-3)</f>
        <v/>
      </c>
      <c r="B384" s="31"/>
      <c r="C384" s="31"/>
      <c r="D384" s="31"/>
      <c r="E384" s="31"/>
      <c r="F384" s="32"/>
      <c r="G384" s="32"/>
      <c r="H384" s="31"/>
      <c r="I384" s="31"/>
      <c r="J384" s="33"/>
      <c r="K384" s="34"/>
      <c r="L384" s="34"/>
      <c r="M384" s="34"/>
      <c r="N384" s="39" t="str">
        <f aca="false">IF($K384="","",$K384-N($L384)-N($M384))</f>
        <v/>
      </c>
      <c r="O384" s="31"/>
      <c r="P384" s="31"/>
      <c r="Q384" s="31"/>
      <c r="R384" s="32"/>
      <c r="S384" s="32"/>
      <c r="T384" s="32"/>
      <c r="U384" s="32"/>
      <c r="V384" s="31"/>
      <c r="W384" s="40" t="str">
        <f aca="false">IF(OR($F384="",$J384=""),"",$F384+$J384)</f>
        <v/>
      </c>
      <c r="X384" s="32"/>
      <c r="Y384" s="34"/>
      <c r="Z384" s="31"/>
      <c r="AA384" s="31"/>
      <c r="AB384" s="32"/>
      <c r="AC384" s="31"/>
      <c r="AD384" s="32"/>
      <c r="AE384" s="31"/>
      <c r="AF384" s="41" t="str">
        <f aca="false">IF(OR($R384="",$S384=""),"",$S384-$R384)</f>
        <v/>
      </c>
      <c r="AG384" s="41" t="str">
        <f aca="false">IF(OR($S384="",$T384=""),"",$T384-$S384)</f>
        <v/>
      </c>
      <c r="AH384" s="41" t="str">
        <f aca="false">IF(OR($T384="",$U384=""),"",$U384-$T384)</f>
        <v/>
      </c>
      <c r="AI384" s="41" t="str">
        <f aca="false">IF(OR($R384="",$U384=""),"",$U384-$R384)</f>
        <v/>
      </c>
      <c r="AJ384" s="41" t="str">
        <f aca="false">IF(OR($U384="",$AB384=""),"",$AB384-$U384)</f>
        <v/>
      </c>
      <c r="AK384" s="41" t="str">
        <f aca="false">IF(OR($R384="",$AD384=""),"",$AD384-$R384)</f>
        <v/>
      </c>
      <c r="AL384" s="31"/>
      <c r="AM384" s="32"/>
      <c r="AN384" s="31"/>
    </row>
    <row r="385" customFormat="false" ht="15" hidden="false" customHeight="true" outlineLevel="0" collapsed="false">
      <c r="A385" s="38" t="str">
        <f aca="false">IF($B385="","",ROW()-3)</f>
        <v/>
      </c>
      <c r="B385" s="31"/>
      <c r="C385" s="31"/>
      <c r="D385" s="31"/>
      <c r="E385" s="31"/>
      <c r="F385" s="32"/>
      <c r="G385" s="32"/>
      <c r="H385" s="31"/>
      <c r="I385" s="31"/>
      <c r="J385" s="33"/>
      <c r="K385" s="34"/>
      <c r="L385" s="34"/>
      <c r="M385" s="34"/>
      <c r="N385" s="39" t="str">
        <f aca="false">IF($K385="","",$K385-N($L385)-N($M385))</f>
        <v/>
      </c>
      <c r="O385" s="31"/>
      <c r="P385" s="31"/>
      <c r="Q385" s="31"/>
      <c r="R385" s="32"/>
      <c r="S385" s="32"/>
      <c r="T385" s="32"/>
      <c r="U385" s="32"/>
      <c r="V385" s="31"/>
      <c r="W385" s="40" t="str">
        <f aca="false">IF(OR($F385="",$J385=""),"",$F385+$J385)</f>
        <v/>
      </c>
      <c r="X385" s="32"/>
      <c r="Y385" s="34"/>
      <c r="Z385" s="31"/>
      <c r="AA385" s="31"/>
      <c r="AB385" s="32"/>
      <c r="AC385" s="31"/>
      <c r="AD385" s="32"/>
      <c r="AE385" s="31"/>
      <c r="AF385" s="41" t="str">
        <f aca="false">IF(OR($R385="",$S385=""),"",$S385-$R385)</f>
        <v/>
      </c>
      <c r="AG385" s="41" t="str">
        <f aca="false">IF(OR($S385="",$T385=""),"",$T385-$S385)</f>
        <v/>
      </c>
      <c r="AH385" s="41" t="str">
        <f aca="false">IF(OR($T385="",$U385=""),"",$U385-$T385)</f>
        <v/>
      </c>
      <c r="AI385" s="41" t="str">
        <f aca="false">IF(OR($R385="",$U385=""),"",$U385-$R385)</f>
        <v/>
      </c>
      <c r="AJ385" s="41" t="str">
        <f aca="false">IF(OR($U385="",$AB385=""),"",$AB385-$U385)</f>
        <v/>
      </c>
      <c r="AK385" s="41" t="str">
        <f aca="false">IF(OR($R385="",$AD385=""),"",$AD385-$R385)</f>
        <v/>
      </c>
      <c r="AL385" s="31"/>
      <c r="AM385" s="32"/>
      <c r="AN385" s="31"/>
    </row>
    <row r="386" customFormat="false" ht="15" hidden="false" customHeight="true" outlineLevel="0" collapsed="false">
      <c r="A386" s="38" t="str">
        <f aca="false">IF($B386="","",ROW()-3)</f>
        <v/>
      </c>
      <c r="B386" s="31"/>
      <c r="C386" s="31"/>
      <c r="D386" s="31"/>
      <c r="E386" s="31"/>
      <c r="F386" s="32"/>
      <c r="G386" s="32"/>
      <c r="H386" s="31"/>
      <c r="I386" s="31"/>
      <c r="J386" s="33"/>
      <c r="K386" s="34"/>
      <c r="L386" s="34"/>
      <c r="M386" s="34"/>
      <c r="N386" s="39" t="str">
        <f aca="false">IF($K386="","",$K386-N($L386)-N($M386))</f>
        <v/>
      </c>
      <c r="O386" s="31"/>
      <c r="P386" s="31"/>
      <c r="Q386" s="31"/>
      <c r="R386" s="32"/>
      <c r="S386" s="32"/>
      <c r="T386" s="32"/>
      <c r="U386" s="32"/>
      <c r="V386" s="31"/>
      <c r="W386" s="40" t="str">
        <f aca="false">IF(OR($F386="",$J386=""),"",$F386+$J386)</f>
        <v/>
      </c>
      <c r="X386" s="32"/>
      <c r="Y386" s="34"/>
      <c r="Z386" s="31"/>
      <c r="AA386" s="31"/>
      <c r="AB386" s="32"/>
      <c r="AC386" s="31"/>
      <c r="AD386" s="32"/>
      <c r="AE386" s="31"/>
      <c r="AF386" s="41" t="str">
        <f aca="false">IF(OR($R386="",$S386=""),"",$S386-$R386)</f>
        <v/>
      </c>
      <c r="AG386" s="41" t="str">
        <f aca="false">IF(OR($S386="",$T386=""),"",$T386-$S386)</f>
        <v/>
      </c>
      <c r="AH386" s="41" t="str">
        <f aca="false">IF(OR($T386="",$U386=""),"",$U386-$T386)</f>
        <v/>
      </c>
      <c r="AI386" s="41" t="str">
        <f aca="false">IF(OR($R386="",$U386=""),"",$U386-$R386)</f>
        <v/>
      </c>
      <c r="AJ386" s="41" t="str">
        <f aca="false">IF(OR($U386="",$AB386=""),"",$AB386-$U386)</f>
        <v/>
      </c>
      <c r="AK386" s="41" t="str">
        <f aca="false">IF(OR($R386="",$AD386=""),"",$AD386-$R386)</f>
        <v/>
      </c>
      <c r="AL386" s="31"/>
      <c r="AM386" s="32"/>
      <c r="AN386" s="31"/>
    </row>
    <row r="387" customFormat="false" ht="15" hidden="false" customHeight="true" outlineLevel="0" collapsed="false">
      <c r="A387" s="38" t="str">
        <f aca="false">IF($B387="","",ROW()-3)</f>
        <v/>
      </c>
      <c r="B387" s="31"/>
      <c r="C387" s="31"/>
      <c r="D387" s="31"/>
      <c r="E387" s="31"/>
      <c r="F387" s="32"/>
      <c r="G387" s="32"/>
      <c r="H387" s="31"/>
      <c r="I387" s="31"/>
      <c r="J387" s="33"/>
      <c r="K387" s="34"/>
      <c r="L387" s="34"/>
      <c r="M387" s="34"/>
      <c r="N387" s="39" t="str">
        <f aca="false">IF($K387="","",$K387-N($L387)-N($M387))</f>
        <v/>
      </c>
      <c r="O387" s="31"/>
      <c r="P387" s="31"/>
      <c r="Q387" s="31"/>
      <c r="R387" s="32"/>
      <c r="S387" s="32"/>
      <c r="T387" s="32"/>
      <c r="U387" s="32"/>
      <c r="V387" s="31"/>
      <c r="W387" s="40" t="str">
        <f aca="false">IF(OR($F387="",$J387=""),"",$F387+$J387)</f>
        <v/>
      </c>
      <c r="X387" s="32"/>
      <c r="Y387" s="34"/>
      <c r="Z387" s="31"/>
      <c r="AA387" s="31"/>
      <c r="AB387" s="32"/>
      <c r="AC387" s="31"/>
      <c r="AD387" s="32"/>
      <c r="AE387" s="31"/>
      <c r="AF387" s="41" t="str">
        <f aca="false">IF(OR($R387="",$S387=""),"",$S387-$R387)</f>
        <v/>
      </c>
      <c r="AG387" s="41" t="str">
        <f aca="false">IF(OR($S387="",$T387=""),"",$T387-$S387)</f>
        <v/>
      </c>
      <c r="AH387" s="41" t="str">
        <f aca="false">IF(OR($T387="",$U387=""),"",$U387-$T387)</f>
        <v/>
      </c>
      <c r="AI387" s="41" t="str">
        <f aca="false">IF(OR($R387="",$U387=""),"",$U387-$R387)</f>
        <v/>
      </c>
      <c r="AJ387" s="41" t="str">
        <f aca="false">IF(OR($U387="",$AB387=""),"",$AB387-$U387)</f>
        <v/>
      </c>
      <c r="AK387" s="41" t="str">
        <f aca="false">IF(OR($R387="",$AD387=""),"",$AD387-$R387)</f>
        <v/>
      </c>
      <c r="AL387" s="31"/>
      <c r="AM387" s="32"/>
      <c r="AN387" s="31"/>
    </row>
    <row r="388" customFormat="false" ht="15" hidden="false" customHeight="true" outlineLevel="0" collapsed="false">
      <c r="A388" s="38" t="str">
        <f aca="false">IF($B388="","",ROW()-3)</f>
        <v/>
      </c>
      <c r="B388" s="31"/>
      <c r="C388" s="31"/>
      <c r="D388" s="31"/>
      <c r="E388" s="31"/>
      <c r="F388" s="32"/>
      <c r="G388" s="32"/>
      <c r="H388" s="31"/>
      <c r="I388" s="31"/>
      <c r="J388" s="33"/>
      <c r="K388" s="34"/>
      <c r="L388" s="34"/>
      <c r="M388" s="34"/>
      <c r="N388" s="39" t="str">
        <f aca="false">IF($K388="","",$K388-N($L388)-N($M388))</f>
        <v/>
      </c>
      <c r="O388" s="31"/>
      <c r="P388" s="31"/>
      <c r="Q388" s="31"/>
      <c r="R388" s="32"/>
      <c r="S388" s="32"/>
      <c r="T388" s="32"/>
      <c r="U388" s="32"/>
      <c r="V388" s="31"/>
      <c r="W388" s="40" t="str">
        <f aca="false">IF(OR($F388="",$J388=""),"",$F388+$J388)</f>
        <v/>
      </c>
      <c r="X388" s="32"/>
      <c r="Y388" s="34"/>
      <c r="Z388" s="31"/>
      <c r="AA388" s="31"/>
      <c r="AB388" s="32"/>
      <c r="AC388" s="31"/>
      <c r="AD388" s="32"/>
      <c r="AE388" s="31"/>
      <c r="AF388" s="41" t="str">
        <f aca="false">IF(OR($R388="",$S388=""),"",$S388-$R388)</f>
        <v/>
      </c>
      <c r="AG388" s="41" t="str">
        <f aca="false">IF(OR($S388="",$T388=""),"",$T388-$S388)</f>
        <v/>
      </c>
      <c r="AH388" s="41" t="str">
        <f aca="false">IF(OR($T388="",$U388=""),"",$U388-$T388)</f>
        <v/>
      </c>
      <c r="AI388" s="41" t="str">
        <f aca="false">IF(OR($R388="",$U388=""),"",$U388-$R388)</f>
        <v/>
      </c>
      <c r="AJ388" s="41" t="str">
        <f aca="false">IF(OR($U388="",$AB388=""),"",$AB388-$U388)</f>
        <v/>
      </c>
      <c r="AK388" s="41" t="str">
        <f aca="false">IF(OR($R388="",$AD388=""),"",$AD388-$R388)</f>
        <v/>
      </c>
      <c r="AL388" s="31"/>
      <c r="AM388" s="32"/>
      <c r="AN388" s="31"/>
    </row>
    <row r="389" customFormat="false" ht="15" hidden="false" customHeight="true" outlineLevel="0" collapsed="false">
      <c r="A389" s="38" t="str">
        <f aca="false">IF($B389="","",ROW()-3)</f>
        <v/>
      </c>
      <c r="B389" s="31"/>
      <c r="C389" s="31"/>
      <c r="D389" s="31"/>
      <c r="E389" s="31"/>
      <c r="F389" s="32"/>
      <c r="G389" s="32"/>
      <c r="H389" s="31"/>
      <c r="I389" s="31"/>
      <c r="J389" s="33"/>
      <c r="K389" s="34"/>
      <c r="L389" s="34"/>
      <c r="M389" s="34"/>
      <c r="N389" s="39" t="str">
        <f aca="false">IF($K389="","",$K389-N($L389)-N($M389))</f>
        <v/>
      </c>
      <c r="O389" s="31"/>
      <c r="P389" s="31"/>
      <c r="Q389" s="31"/>
      <c r="R389" s="32"/>
      <c r="S389" s="32"/>
      <c r="T389" s="32"/>
      <c r="U389" s="32"/>
      <c r="V389" s="31"/>
      <c r="W389" s="40" t="str">
        <f aca="false">IF(OR($F389="",$J389=""),"",$F389+$J389)</f>
        <v/>
      </c>
      <c r="X389" s="32"/>
      <c r="Y389" s="34"/>
      <c r="Z389" s="31"/>
      <c r="AA389" s="31"/>
      <c r="AB389" s="32"/>
      <c r="AC389" s="31"/>
      <c r="AD389" s="32"/>
      <c r="AE389" s="31"/>
      <c r="AF389" s="41" t="str">
        <f aca="false">IF(OR($R389="",$S389=""),"",$S389-$R389)</f>
        <v/>
      </c>
      <c r="AG389" s="41" t="str">
        <f aca="false">IF(OR($S389="",$T389=""),"",$T389-$S389)</f>
        <v/>
      </c>
      <c r="AH389" s="41" t="str">
        <f aca="false">IF(OR($T389="",$U389=""),"",$U389-$T389)</f>
        <v/>
      </c>
      <c r="AI389" s="41" t="str">
        <f aca="false">IF(OR($R389="",$U389=""),"",$U389-$R389)</f>
        <v/>
      </c>
      <c r="AJ389" s="41" t="str">
        <f aca="false">IF(OR($U389="",$AB389=""),"",$AB389-$U389)</f>
        <v/>
      </c>
      <c r="AK389" s="41" t="str">
        <f aca="false">IF(OR($R389="",$AD389=""),"",$AD389-$R389)</f>
        <v/>
      </c>
      <c r="AL389" s="31"/>
      <c r="AM389" s="32"/>
      <c r="AN389" s="31"/>
    </row>
    <row r="390" customFormat="false" ht="15" hidden="false" customHeight="true" outlineLevel="0" collapsed="false">
      <c r="A390" s="38" t="str">
        <f aca="false">IF($B390="","",ROW()-3)</f>
        <v/>
      </c>
      <c r="B390" s="31"/>
      <c r="C390" s="31"/>
      <c r="D390" s="31"/>
      <c r="E390" s="31"/>
      <c r="F390" s="32"/>
      <c r="G390" s="32"/>
      <c r="H390" s="31"/>
      <c r="I390" s="31"/>
      <c r="J390" s="33"/>
      <c r="K390" s="34"/>
      <c r="L390" s="34"/>
      <c r="M390" s="34"/>
      <c r="N390" s="39" t="str">
        <f aca="false">IF($K390="","",$K390-N($L390)-N($M390))</f>
        <v/>
      </c>
      <c r="O390" s="31"/>
      <c r="P390" s="31"/>
      <c r="Q390" s="31"/>
      <c r="R390" s="32"/>
      <c r="S390" s="32"/>
      <c r="T390" s="32"/>
      <c r="U390" s="32"/>
      <c r="V390" s="31"/>
      <c r="W390" s="40" t="str">
        <f aca="false">IF(OR($F390="",$J390=""),"",$F390+$J390)</f>
        <v/>
      </c>
      <c r="X390" s="32"/>
      <c r="Y390" s="34"/>
      <c r="Z390" s="31"/>
      <c r="AA390" s="31"/>
      <c r="AB390" s="32"/>
      <c r="AC390" s="31"/>
      <c r="AD390" s="32"/>
      <c r="AE390" s="31"/>
      <c r="AF390" s="41" t="str">
        <f aca="false">IF(OR($R390="",$S390=""),"",$S390-$R390)</f>
        <v/>
      </c>
      <c r="AG390" s="41" t="str">
        <f aca="false">IF(OR($S390="",$T390=""),"",$T390-$S390)</f>
        <v/>
      </c>
      <c r="AH390" s="41" t="str">
        <f aca="false">IF(OR($T390="",$U390=""),"",$U390-$T390)</f>
        <v/>
      </c>
      <c r="AI390" s="41" t="str">
        <f aca="false">IF(OR($R390="",$U390=""),"",$U390-$R390)</f>
        <v/>
      </c>
      <c r="AJ390" s="41" t="str">
        <f aca="false">IF(OR($U390="",$AB390=""),"",$AB390-$U390)</f>
        <v/>
      </c>
      <c r="AK390" s="41" t="str">
        <f aca="false">IF(OR($R390="",$AD390=""),"",$AD390-$R390)</f>
        <v/>
      </c>
      <c r="AL390" s="31"/>
      <c r="AM390" s="32"/>
      <c r="AN390" s="31"/>
    </row>
    <row r="391" customFormat="false" ht="15" hidden="false" customHeight="true" outlineLevel="0" collapsed="false">
      <c r="A391" s="38" t="str">
        <f aca="false">IF($B391="","",ROW()-3)</f>
        <v/>
      </c>
      <c r="B391" s="31"/>
      <c r="C391" s="31"/>
      <c r="D391" s="31"/>
      <c r="E391" s="31"/>
      <c r="F391" s="32"/>
      <c r="G391" s="32"/>
      <c r="H391" s="31"/>
      <c r="I391" s="31"/>
      <c r="J391" s="33"/>
      <c r="K391" s="34"/>
      <c r="L391" s="34"/>
      <c r="M391" s="34"/>
      <c r="N391" s="39" t="str">
        <f aca="false">IF($K391="","",$K391-N($L391)-N($M391))</f>
        <v/>
      </c>
      <c r="O391" s="31"/>
      <c r="P391" s="31"/>
      <c r="Q391" s="31"/>
      <c r="R391" s="32"/>
      <c r="S391" s="32"/>
      <c r="T391" s="32"/>
      <c r="U391" s="32"/>
      <c r="V391" s="31"/>
      <c r="W391" s="40" t="str">
        <f aca="false">IF(OR($F391="",$J391=""),"",$F391+$J391)</f>
        <v/>
      </c>
      <c r="X391" s="32"/>
      <c r="Y391" s="34"/>
      <c r="Z391" s="31"/>
      <c r="AA391" s="31"/>
      <c r="AB391" s="32"/>
      <c r="AC391" s="31"/>
      <c r="AD391" s="32"/>
      <c r="AE391" s="31"/>
      <c r="AF391" s="41" t="str">
        <f aca="false">IF(OR($R391="",$S391=""),"",$S391-$R391)</f>
        <v/>
      </c>
      <c r="AG391" s="41" t="str">
        <f aca="false">IF(OR($S391="",$T391=""),"",$T391-$S391)</f>
        <v/>
      </c>
      <c r="AH391" s="41" t="str">
        <f aca="false">IF(OR($T391="",$U391=""),"",$U391-$T391)</f>
        <v/>
      </c>
      <c r="AI391" s="41" t="str">
        <f aca="false">IF(OR($R391="",$U391=""),"",$U391-$R391)</f>
        <v/>
      </c>
      <c r="AJ391" s="41" t="str">
        <f aca="false">IF(OR($U391="",$AB391=""),"",$AB391-$U391)</f>
        <v/>
      </c>
      <c r="AK391" s="41" t="str">
        <f aca="false">IF(OR($R391="",$AD391=""),"",$AD391-$R391)</f>
        <v/>
      </c>
      <c r="AL391" s="31"/>
      <c r="AM391" s="32"/>
      <c r="AN391" s="31"/>
    </row>
    <row r="392" customFormat="false" ht="15" hidden="false" customHeight="true" outlineLevel="0" collapsed="false">
      <c r="A392" s="38" t="str">
        <f aca="false">IF($B392="","",ROW()-3)</f>
        <v/>
      </c>
      <c r="B392" s="31"/>
      <c r="C392" s="31"/>
      <c r="D392" s="31"/>
      <c r="E392" s="31"/>
      <c r="F392" s="32"/>
      <c r="G392" s="32"/>
      <c r="H392" s="31"/>
      <c r="I392" s="31"/>
      <c r="J392" s="33"/>
      <c r="K392" s="34"/>
      <c r="L392" s="34"/>
      <c r="M392" s="34"/>
      <c r="N392" s="39" t="str">
        <f aca="false">IF($K392="","",$K392-N($L392)-N($M392))</f>
        <v/>
      </c>
      <c r="O392" s="31"/>
      <c r="P392" s="31"/>
      <c r="Q392" s="31"/>
      <c r="R392" s="32"/>
      <c r="S392" s="32"/>
      <c r="T392" s="32"/>
      <c r="U392" s="32"/>
      <c r="V392" s="31"/>
      <c r="W392" s="40" t="str">
        <f aca="false">IF(OR($F392="",$J392=""),"",$F392+$J392)</f>
        <v/>
      </c>
      <c r="X392" s="32"/>
      <c r="Y392" s="34"/>
      <c r="Z392" s="31"/>
      <c r="AA392" s="31"/>
      <c r="AB392" s="32"/>
      <c r="AC392" s="31"/>
      <c r="AD392" s="32"/>
      <c r="AE392" s="31"/>
      <c r="AF392" s="41" t="str">
        <f aca="false">IF(OR($R392="",$S392=""),"",$S392-$R392)</f>
        <v/>
      </c>
      <c r="AG392" s="41" t="str">
        <f aca="false">IF(OR($S392="",$T392=""),"",$T392-$S392)</f>
        <v/>
      </c>
      <c r="AH392" s="41" t="str">
        <f aca="false">IF(OR($T392="",$U392=""),"",$U392-$T392)</f>
        <v/>
      </c>
      <c r="AI392" s="41" t="str">
        <f aca="false">IF(OR($R392="",$U392=""),"",$U392-$R392)</f>
        <v/>
      </c>
      <c r="AJ392" s="41" t="str">
        <f aca="false">IF(OR($U392="",$AB392=""),"",$AB392-$U392)</f>
        <v/>
      </c>
      <c r="AK392" s="41" t="str">
        <f aca="false">IF(OR($R392="",$AD392=""),"",$AD392-$R392)</f>
        <v/>
      </c>
      <c r="AL392" s="31"/>
      <c r="AM392" s="32"/>
      <c r="AN392" s="31"/>
    </row>
    <row r="393" customFormat="false" ht="15" hidden="false" customHeight="true" outlineLevel="0" collapsed="false">
      <c r="A393" s="38" t="str">
        <f aca="false">IF($B393="","",ROW()-3)</f>
        <v/>
      </c>
      <c r="B393" s="31"/>
      <c r="C393" s="31"/>
      <c r="D393" s="31"/>
      <c r="E393" s="31"/>
      <c r="F393" s="32"/>
      <c r="G393" s="32"/>
      <c r="H393" s="31"/>
      <c r="I393" s="31"/>
      <c r="J393" s="33"/>
      <c r="K393" s="34"/>
      <c r="L393" s="34"/>
      <c r="M393" s="34"/>
      <c r="N393" s="39" t="str">
        <f aca="false">IF($K393="","",$K393-N($L393)-N($M393))</f>
        <v/>
      </c>
      <c r="O393" s="31"/>
      <c r="P393" s="31"/>
      <c r="Q393" s="31"/>
      <c r="R393" s="32"/>
      <c r="S393" s="32"/>
      <c r="T393" s="32"/>
      <c r="U393" s="32"/>
      <c r="V393" s="31"/>
      <c r="W393" s="40" t="str">
        <f aca="false">IF(OR($F393="",$J393=""),"",$F393+$J393)</f>
        <v/>
      </c>
      <c r="X393" s="32"/>
      <c r="Y393" s="34"/>
      <c r="Z393" s="31"/>
      <c r="AA393" s="31"/>
      <c r="AB393" s="32"/>
      <c r="AC393" s="31"/>
      <c r="AD393" s="32"/>
      <c r="AE393" s="31"/>
      <c r="AF393" s="41" t="str">
        <f aca="false">IF(OR($R393="",$S393=""),"",$S393-$R393)</f>
        <v/>
      </c>
      <c r="AG393" s="41" t="str">
        <f aca="false">IF(OR($S393="",$T393=""),"",$T393-$S393)</f>
        <v/>
      </c>
      <c r="AH393" s="41" t="str">
        <f aca="false">IF(OR($T393="",$U393=""),"",$U393-$T393)</f>
        <v/>
      </c>
      <c r="AI393" s="41" t="str">
        <f aca="false">IF(OR($R393="",$U393=""),"",$U393-$R393)</f>
        <v/>
      </c>
      <c r="AJ393" s="41" t="str">
        <f aca="false">IF(OR($U393="",$AB393=""),"",$AB393-$U393)</f>
        <v/>
      </c>
      <c r="AK393" s="41" t="str">
        <f aca="false">IF(OR($R393="",$AD393=""),"",$AD393-$R393)</f>
        <v/>
      </c>
      <c r="AL393" s="31"/>
      <c r="AM393" s="32"/>
      <c r="AN393" s="31"/>
    </row>
    <row r="394" customFormat="false" ht="15" hidden="false" customHeight="true" outlineLevel="0" collapsed="false">
      <c r="A394" s="38" t="str">
        <f aca="false">IF($B394="","",ROW()-3)</f>
        <v/>
      </c>
      <c r="B394" s="31"/>
      <c r="C394" s="31"/>
      <c r="D394" s="31"/>
      <c r="E394" s="31"/>
      <c r="F394" s="32"/>
      <c r="G394" s="32"/>
      <c r="H394" s="31"/>
      <c r="I394" s="31"/>
      <c r="J394" s="33"/>
      <c r="K394" s="34"/>
      <c r="L394" s="34"/>
      <c r="M394" s="34"/>
      <c r="N394" s="39" t="str">
        <f aca="false">IF($K394="","",$K394-N($L394)-N($M394))</f>
        <v/>
      </c>
      <c r="O394" s="31"/>
      <c r="P394" s="31"/>
      <c r="Q394" s="31"/>
      <c r="R394" s="32"/>
      <c r="S394" s="32"/>
      <c r="T394" s="32"/>
      <c r="U394" s="32"/>
      <c r="V394" s="31"/>
      <c r="W394" s="40" t="str">
        <f aca="false">IF(OR($F394="",$J394=""),"",$F394+$J394)</f>
        <v/>
      </c>
      <c r="X394" s="32"/>
      <c r="Y394" s="34"/>
      <c r="Z394" s="31"/>
      <c r="AA394" s="31"/>
      <c r="AB394" s="32"/>
      <c r="AC394" s="31"/>
      <c r="AD394" s="32"/>
      <c r="AE394" s="31"/>
      <c r="AF394" s="41" t="str">
        <f aca="false">IF(OR($R394="",$S394=""),"",$S394-$R394)</f>
        <v/>
      </c>
      <c r="AG394" s="41" t="str">
        <f aca="false">IF(OR($S394="",$T394=""),"",$T394-$S394)</f>
        <v/>
      </c>
      <c r="AH394" s="41" t="str">
        <f aca="false">IF(OR($T394="",$U394=""),"",$U394-$T394)</f>
        <v/>
      </c>
      <c r="AI394" s="41" t="str">
        <f aca="false">IF(OR($R394="",$U394=""),"",$U394-$R394)</f>
        <v/>
      </c>
      <c r="AJ394" s="41" t="str">
        <f aca="false">IF(OR($U394="",$AB394=""),"",$AB394-$U394)</f>
        <v/>
      </c>
      <c r="AK394" s="41" t="str">
        <f aca="false">IF(OR($R394="",$AD394=""),"",$AD394-$R394)</f>
        <v/>
      </c>
      <c r="AL394" s="31"/>
      <c r="AM394" s="32"/>
      <c r="AN394" s="31"/>
    </row>
    <row r="395" customFormat="false" ht="15" hidden="false" customHeight="true" outlineLevel="0" collapsed="false">
      <c r="A395" s="38" t="str">
        <f aca="false">IF($B395="","",ROW()-3)</f>
        <v/>
      </c>
      <c r="B395" s="31"/>
      <c r="C395" s="31"/>
      <c r="D395" s="31"/>
      <c r="E395" s="31"/>
      <c r="F395" s="32"/>
      <c r="G395" s="32"/>
      <c r="H395" s="31"/>
      <c r="I395" s="31"/>
      <c r="J395" s="33"/>
      <c r="K395" s="34"/>
      <c r="L395" s="34"/>
      <c r="M395" s="34"/>
      <c r="N395" s="39" t="str">
        <f aca="false">IF($K395="","",$K395-N($L395)-N($M395))</f>
        <v/>
      </c>
      <c r="O395" s="31"/>
      <c r="P395" s="31"/>
      <c r="Q395" s="31"/>
      <c r="R395" s="32"/>
      <c r="S395" s="32"/>
      <c r="T395" s="32"/>
      <c r="U395" s="32"/>
      <c r="V395" s="31"/>
      <c r="W395" s="40" t="str">
        <f aca="false">IF(OR($F395="",$J395=""),"",$F395+$J395)</f>
        <v/>
      </c>
      <c r="X395" s="32"/>
      <c r="Y395" s="34"/>
      <c r="Z395" s="31"/>
      <c r="AA395" s="31"/>
      <c r="AB395" s="32"/>
      <c r="AC395" s="31"/>
      <c r="AD395" s="32"/>
      <c r="AE395" s="31"/>
      <c r="AF395" s="41" t="str">
        <f aca="false">IF(OR($R395="",$S395=""),"",$S395-$R395)</f>
        <v/>
      </c>
      <c r="AG395" s="41" t="str">
        <f aca="false">IF(OR($S395="",$T395=""),"",$T395-$S395)</f>
        <v/>
      </c>
      <c r="AH395" s="41" t="str">
        <f aca="false">IF(OR($T395="",$U395=""),"",$U395-$T395)</f>
        <v/>
      </c>
      <c r="AI395" s="41" t="str">
        <f aca="false">IF(OR($R395="",$U395=""),"",$U395-$R395)</f>
        <v/>
      </c>
      <c r="AJ395" s="41" t="str">
        <f aca="false">IF(OR($U395="",$AB395=""),"",$AB395-$U395)</f>
        <v/>
      </c>
      <c r="AK395" s="41" t="str">
        <f aca="false">IF(OR($R395="",$AD395=""),"",$AD395-$R395)</f>
        <v/>
      </c>
      <c r="AL395" s="31"/>
      <c r="AM395" s="32"/>
      <c r="AN395" s="31"/>
    </row>
    <row r="396" customFormat="false" ht="15" hidden="false" customHeight="true" outlineLevel="0" collapsed="false">
      <c r="A396" s="38" t="str">
        <f aca="false">IF($B396="","",ROW()-3)</f>
        <v/>
      </c>
      <c r="B396" s="31"/>
      <c r="C396" s="31"/>
      <c r="D396" s="31"/>
      <c r="E396" s="31"/>
      <c r="F396" s="32"/>
      <c r="G396" s="32"/>
      <c r="H396" s="31"/>
      <c r="I396" s="31"/>
      <c r="J396" s="33"/>
      <c r="K396" s="34"/>
      <c r="L396" s="34"/>
      <c r="M396" s="34"/>
      <c r="N396" s="39" t="str">
        <f aca="false">IF($K396="","",$K396-N($L396)-N($M396))</f>
        <v/>
      </c>
      <c r="O396" s="31"/>
      <c r="P396" s="31"/>
      <c r="Q396" s="31"/>
      <c r="R396" s="32"/>
      <c r="S396" s="32"/>
      <c r="T396" s="32"/>
      <c r="U396" s="32"/>
      <c r="V396" s="31"/>
      <c r="W396" s="40" t="str">
        <f aca="false">IF(OR($F396="",$J396=""),"",$F396+$J396)</f>
        <v/>
      </c>
      <c r="X396" s="32"/>
      <c r="Y396" s="34"/>
      <c r="Z396" s="31"/>
      <c r="AA396" s="31"/>
      <c r="AB396" s="32"/>
      <c r="AC396" s="31"/>
      <c r="AD396" s="32"/>
      <c r="AE396" s="31"/>
      <c r="AF396" s="41" t="str">
        <f aca="false">IF(OR($R396="",$S396=""),"",$S396-$R396)</f>
        <v/>
      </c>
      <c r="AG396" s="41" t="str">
        <f aca="false">IF(OR($S396="",$T396=""),"",$T396-$S396)</f>
        <v/>
      </c>
      <c r="AH396" s="41" t="str">
        <f aca="false">IF(OR($T396="",$U396=""),"",$U396-$T396)</f>
        <v/>
      </c>
      <c r="AI396" s="41" t="str">
        <f aca="false">IF(OR($R396="",$U396=""),"",$U396-$R396)</f>
        <v/>
      </c>
      <c r="AJ396" s="41" t="str">
        <f aca="false">IF(OR($U396="",$AB396=""),"",$AB396-$U396)</f>
        <v/>
      </c>
      <c r="AK396" s="41" t="str">
        <f aca="false">IF(OR($R396="",$AD396=""),"",$AD396-$R396)</f>
        <v/>
      </c>
      <c r="AL396" s="31"/>
      <c r="AM396" s="32"/>
      <c r="AN396" s="31"/>
    </row>
    <row r="397" customFormat="false" ht="15" hidden="false" customHeight="true" outlineLevel="0" collapsed="false">
      <c r="A397" s="38" t="str">
        <f aca="false">IF($B397="","",ROW()-3)</f>
        <v/>
      </c>
      <c r="B397" s="31"/>
      <c r="C397" s="31"/>
      <c r="D397" s="31"/>
      <c r="E397" s="31"/>
      <c r="F397" s="32"/>
      <c r="G397" s="32"/>
      <c r="H397" s="31"/>
      <c r="I397" s="31"/>
      <c r="J397" s="33"/>
      <c r="K397" s="34"/>
      <c r="L397" s="34"/>
      <c r="M397" s="34"/>
      <c r="N397" s="39" t="str">
        <f aca="false">IF($K397="","",$K397-N($L397)-N($M397))</f>
        <v/>
      </c>
      <c r="O397" s="31"/>
      <c r="P397" s="31"/>
      <c r="Q397" s="31"/>
      <c r="R397" s="32"/>
      <c r="S397" s="32"/>
      <c r="T397" s="32"/>
      <c r="U397" s="32"/>
      <c r="V397" s="31"/>
      <c r="W397" s="40" t="str">
        <f aca="false">IF(OR($F397="",$J397=""),"",$F397+$J397)</f>
        <v/>
      </c>
      <c r="X397" s="32"/>
      <c r="Y397" s="34"/>
      <c r="Z397" s="31"/>
      <c r="AA397" s="31"/>
      <c r="AB397" s="32"/>
      <c r="AC397" s="31"/>
      <c r="AD397" s="32"/>
      <c r="AE397" s="31"/>
      <c r="AF397" s="41" t="str">
        <f aca="false">IF(OR($R397="",$S397=""),"",$S397-$R397)</f>
        <v/>
      </c>
      <c r="AG397" s="41" t="str">
        <f aca="false">IF(OR($S397="",$T397=""),"",$T397-$S397)</f>
        <v/>
      </c>
      <c r="AH397" s="41" t="str">
        <f aca="false">IF(OR($T397="",$U397=""),"",$U397-$T397)</f>
        <v/>
      </c>
      <c r="AI397" s="41" t="str">
        <f aca="false">IF(OR($R397="",$U397=""),"",$U397-$R397)</f>
        <v/>
      </c>
      <c r="AJ397" s="41" t="str">
        <f aca="false">IF(OR($U397="",$AB397=""),"",$AB397-$U397)</f>
        <v/>
      </c>
      <c r="AK397" s="41" t="str">
        <f aca="false">IF(OR($R397="",$AD397=""),"",$AD397-$R397)</f>
        <v/>
      </c>
      <c r="AL397" s="31"/>
      <c r="AM397" s="32"/>
      <c r="AN397" s="31"/>
    </row>
    <row r="398" customFormat="false" ht="15" hidden="false" customHeight="true" outlineLevel="0" collapsed="false">
      <c r="A398" s="38" t="str">
        <f aca="false">IF($B398="","",ROW()-3)</f>
        <v/>
      </c>
      <c r="B398" s="31"/>
      <c r="C398" s="31"/>
      <c r="D398" s="31"/>
      <c r="E398" s="31"/>
      <c r="F398" s="32"/>
      <c r="G398" s="32"/>
      <c r="H398" s="31"/>
      <c r="I398" s="31"/>
      <c r="J398" s="33"/>
      <c r="K398" s="34"/>
      <c r="L398" s="34"/>
      <c r="M398" s="34"/>
      <c r="N398" s="39" t="str">
        <f aca="false">IF($K398="","",$K398-N($L398)-N($M398))</f>
        <v/>
      </c>
      <c r="O398" s="31"/>
      <c r="P398" s="31"/>
      <c r="Q398" s="31"/>
      <c r="R398" s="32"/>
      <c r="S398" s="32"/>
      <c r="T398" s="32"/>
      <c r="U398" s="32"/>
      <c r="V398" s="31"/>
      <c r="W398" s="40" t="str">
        <f aca="false">IF(OR($F398="",$J398=""),"",$F398+$J398)</f>
        <v/>
      </c>
      <c r="X398" s="32"/>
      <c r="Y398" s="34"/>
      <c r="Z398" s="31"/>
      <c r="AA398" s="31"/>
      <c r="AB398" s="32"/>
      <c r="AC398" s="31"/>
      <c r="AD398" s="32"/>
      <c r="AE398" s="31"/>
      <c r="AF398" s="41" t="str">
        <f aca="false">IF(OR($R398="",$S398=""),"",$S398-$R398)</f>
        <v/>
      </c>
      <c r="AG398" s="41" t="str">
        <f aca="false">IF(OR($S398="",$T398=""),"",$T398-$S398)</f>
        <v/>
      </c>
      <c r="AH398" s="41" t="str">
        <f aca="false">IF(OR($T398="",$U398=""),"",$U398-$T398)</f>
        <v/>
      </c>
      <c r="AI398" s="41" t="str">
        <f aca="false">IF(OR($R398="",$U398=""),"",$U398-$R398)</f>
        <v/>
      </c>
      <c r="AJ398" s="41" t="str">
        <f aca="false">IF(OR($U398="",$AB398=""),"",$AB398-$U398)</f>
        <v/>
      </c>
      <c r="AK398" s="41" t="str">
        <f aca="false">IF(OR($R398="",$AD398=""),"",$AD398-$R398)</f>
        <v/>
      </c>
      <c r="AL398" s="31"/>
      <c r="AM398" s="32"/>
      <c r="AN398" s="31"/>
    </row>
    <row r="399" customFormat="false" ht="15" hidden="false" customHeight="true" outlineLevel="0" collapsed="false">
      <c r="A399" s="38" t="str">
        <f aca="false">IF($B399="","",ROW()-3)</f>
        <v/>
      </c>
      <c r="B399" s="31"/>
      <c r="C399" s="31"/>
      <c r="D399" s="31"/>
      <c r="E399" s="31"/>
      <c r="F399" s="32"/>
      <c r="G399" s="32"/>
      <c r="H399" s="31"/>
      <c r="I399" s="31"/>
      <c r="J399" s="33"/>
      <c r="K399" s="34"/>
      <c r="L399" s="34"/>
      <c r="M399" s="34"/>
      <c r="N399" s="39" t="str">
        <f aca="false">IF($K399="","",$K399-N($L399)-N($M399))</f>
        <v/>
      </c>
      <c r="O399" s="31"/>
      <c r="P399" s="31"/>
      <c r="Q399" s="31"/>
      <c r="R399" s="32"/>
      <c r="S399" s="32"/>
      <c r="T399" s="32"/>
      <c r="U399" s="32"/>
      <c r="V399" s="31"/>
      <c r="W399" s="40" t="str">
        <f aca="false">IF(OR($F399="",$J399=""),"",$F399+$J399)</f>
        <v/>
      </c>
      <c r="X399" s="32"/>
      <c r="Y399" s="34"/>
      <c r="Z399" s="31"/>
      <c r="AA399" s="31"/>
      <c r="AB399" s="32"/>
      <c r="AC399" s="31"/>
      <c r="AD399" s="32"/>
      <c r="AE399" s="31"/>
      <c r="AF399" s="41" t="str">
        <f aca="false">IF(OR($R399="",$S399=""),"",$S399-$R399)</f>
        <v/>
      </c>
      <c r="AG399" s="41" t="str">
        <f aca="false">IF(OR($S399="",$T399=""),"",$T399-$S399)</f>
        <v/>
      </c>
      <c r="AH399" s="41" t="str">
        <f aca="false">IF(OR($T399="",$U399=""),"",$U399-$T399)</f>
        <v/>
      </c>
      <c r="AI399" s="41" t="str">
        <f aca="false">IF(OR($R399="",$U399=""),"",$U399-$R399)</f>
        <v/>
      </c>
      <c r="AJ399" s="41" t="str">
        <f aca="false">IF(OR($U399="",$AB399=""),"",$AB399-$U399)</f>
        <v/>
      </c>
      <c r="AK399" s="41" t="str">
        <f aca="false">IF(OR($R399="",$AD399=""),"",$AD399-$R399)</f>
        <v/>
      </c>
      <c r="AL399" s="31"/>
      <c r="AM399" s="32"/>
      <c r="AN399" s="31"/>
    </row>
    <row r="400" customFormat="false" ht="15" hidden="false" customHeight="true" outlineLevel="0" collapsed="false">
      <c r="A400" s="38" t="str">
        <f aca="false">IF($B400="","",ROW()-3)</f>
        <v/>
      </c>
      <c r="B400" s="31"/>
      <c r="C400" s="31"/>
      <c r="D400" s="31"/>
      <c r="E400" s="31"/>
      <c r="F400" s="32"/>
      <c r="G400" s="32"/>
      <c r="H400" s="31"/>
      <c r="I400" s="31"/>
      <c r="J400" s="33"/>
      <c r="K400" s="34"/>
      <c r="L400" s="34"/>
      <c r="M400" s="34"/>
      <c r="N400" s="39" t="str">
        <f aca="false">IF($K400="","",$K400-N($L400)-N($M400))</f>
        <v/>
      </c>
      <c r="O400" s="31"/>
      <c r="P400" s="31"/>
      <c r="Q400" s="31"/>
      <c r="R400" s="32"/>
      <c r="S400" s="32"/>
      <c r="T400" s="32"/>
      <c r="U400" s="32"/>
      <c r="V400" s="31"/>
      <c r="W400" s="40" t="str">
        <f aca="false">IF(OR($F400="",$J400=""),"",$F400+$J400)</f>
        <v/>
      </c>
      <c r="X400" s="32"/>
      <c r="Y400" s="34"/>
      <c r="Z400" s="31"/>
      <c r="AA400" s="31"/>
      <c r="AB400" s="32"/>
      <c r="AC400" s="31"/>
      <c r="AD400" s="32"/>
      <c r="AE400" s="31"/>
      <c r="AF400" s="41" t="str">
        <f aca="false">IF(OR($R400="",$S400=""),"",$S400-$R400)</f>
        <v/>
      </c>
      <c r="AG400" s="41" t="str">
        <f aca="false">IF(OR($S400="",$T400=""),"",$T400-$S400)</f>
        <v/>
      </c>
      <c r="AH400" s="41" t="str">
        <f aca="false">IF(OR($T400="",$U400=""),"",$U400-$T400)</f>
        <v/>
      </c>
      <c r="AI400" s="41" t="str">
        <f aca="false">IF(OR($R400="",$U400=""),"",$U400-$R400)</f>
        <v/>
      </c>
      <c r="AJ400" s="41" t="str">
        <f aca="false">IF(OR($U400="",$AB400=""),"",$AB400-$U400)</f>
        <v/>
      </c>
      <c r="AK400" s="41" t="str">
        <f aca="false">IF(OR($R400="",$AD400=""),"",$AD400-$R400)</f>
        <v/>
      </c>
      <c r="AL400" s="31"/>
      <c r="AM400" s="32"/>
      <c r="AN400" s="31"/>
    </row>
    <row r="401" customFormat="false" ht="15" hidden="false" customHeight="true" outlineLevel="0" collapsed="false">
      <c r="A401" s="38" t="str">
        <f aca="false">IF($B401="","",ROW()-3)</f>
        <v/>
      </c>
      <c r="B401" s="31"/>
      <c r="C401" s="31"/>
      <c r="D401" s="31"/>
      <c r="E401" s="31"/>
      <c r="F401" s="32"/>
      <c r="G401" s="32"/>
      <c r="H401" s="31"/>
      <c r="I401" s="31"/>
      <c r="J401" s="33"/>
      <c r="K401" s="34"/>
      <c r="L401" s="34"/>
      <c r="M401" s="34"/>
      <c r="N401" s="39" t="str">
        <f aca="false">IF($K401="","",$K401-N($L401)-N($M401))</f>
        <v/>
      </c>
      <c r="O401" s="31"/>
      <c r="P401" s="31"/>
      <c r="Q401" s="31"/>
      <c r="R401" s="32"/>
      <c r="S401" s="32"/>
      <c r="T401" s="32"/>
      <c r="U401" s="32"/>
      <c r="V401" s="31"/>
      <c r="W401" s="40" t="str">
        <f aca="false">IF(OR($F401="",$J401=""),"",$F401+$J401)</f>
        <v/>
      </c>
      <c r="X401" s="32"/>
      <c r="Y401" s="34"/>
      <c r="Z401" s="31"/>
      <c r="AA401" s="31"/>
      <c r="AB401" s="32"/>
      <c r="AC401" s="31"/>
      <c r="AD401" s="32"/>
      <c r="AE401" s="31"/>
      <c r="AF401" s="41" t="str">
        <f aca="false">IF(OR($R401="",$S401=""),"",$S401-$R401)</f>
        <v/>
      </c>
      <c r="AG401" s="41" t="str">
        <f aca="false">IF(OR($S401="",$T401=""),"",$T401-$S401)</f>
        <v/>
      </c>
      <c r="AH401" s="41" t="str">
        <f aca="false">IF(OR($T401="",$U401=""),"",$U401-$T401)</f>
        <v/>
      </c>
      <c r="AI401" s="41" t="str">
        <f aca="false">IF(OR($R401="",$U401=""),"",$U401-$R401)</f>
        <v/>
      </c>
      <c r="AJ401" s="41" t="str">
        <f aca="false">IF(OR($U401="",$AB401=""),"",$AB401-$U401)</f>
        <v/>
      </c>
      <c r="AK401" s="41" t="str">
        <f aca="false">IF(OR($R401="",$AD401=""),"",$AD401-$R401)</f>
        <v/>
      </c>
      <c r="AL401" s="31"/>
      <c r="AM401" s="32"/>
      <c r="AN401" s="31"/>
    </row>
    <row r="402" customFormat="false" ht="15" hidden="false" customHeight="true" outlineLevel="0" collapsed="false">
      <c r="A402" s="38" t="str">
        <f aca="false">IF($B402="","",ROW()-3)</f>
        <v/>
      </c>
      <c r="B402" s="31"/>
      <c r="C402" s="31"/>
      <c r="D402" s="31"/>
      <c r="E402" s="31"/>
      <c r="F402" s="32"/>
      <c r="G402" s="32"/>
      <c r="H402" s="31"/>
      <c r="I402" s="31"/>
      <c r="J402" s="33"/>
      <c r="K402" s="34"/>
      <c r="L402" s="34"/>
      <c r="M402" s="34"/>
      <c r="N402" s="39" t="str">
        <f aca="false">IF($K402="","",$K402-N($L402)-N($M402))</f>
        <v/>
      </c>
      <c r="O402" s="31"/>
      <c r="P402" s="31"/>
      <c r="Q402" s="31"/>
      <c r="R402" s="32"/>
      <c r="S402" s="32"/>
      <c r="T402" s="32"/>
      <c r="U402" s="32"/>
      <c r="V402" s="31"/>
      <c r="W402" s="40" t="str">
        <f aca="false">IF(OR($F402="",$J402=""),"",$F402+$J402)</f>
        <v/>
      </c>
      <c r="X402" s="32"/>
      <c r="Y402" s="34"/>
      <c r="Z402" s="31"/>
      <c r="AA402" s="31"/>
      <c r="AB402" s="32"/>
      <c r="AC402" s="31"/>
      <c r="AD402" s="32"/>
      <c r="AE402" s="31"/>
      <c r="AF402" s="41" t="str">
        <f aca="false">IF(OR($R402="",$S402=""),"",$S402-$R402)</f>
        <v/>
      </c>
      <c r="AG402" s="41" t="str">
        <f aca="false">IF(OR($S402="",$T402=""),"",$T402-$S402)</f>
        <v/>
      </c>
      <c r="AH402" s="41" t="str">
        <f aca="false">IF(OR($T402="",$U402=""),"",$U402-$T402)</f>
        <v/>
      </c>
      <c r="AI402" s="41" t="str">
        <f aca="false">IF(OR($R402="",$U402=""),"",$U402-$R402)</f>
        <v/>
      </c>
      <c r="AJ402" s="41" t="str">
        <f aca="false">IF(OR($U402="",$AB402=""),"",$AB402-$U402)</f>
        <v/>
      </c>
      <c r="AK402" s="41" t="str">
        <f aca="false">IF(OR($R402="",$AD402=""),"",$AD402-$R402)</f>
        <v/>
      </c>
      <c r="AL402" s="31"/>
      <c r="AM402" s="32"/>
      <c r="AN402" s="31"/>
    </row>
    <row r="403" customFormat="false" ht="15" hidden="false" customHeight="true" outlineLevel="0" collapsed="false">
      <c r="A403" s="38" t="str">
        <f aca="false">IF($B403="","",ROW()-3)</f>
        <v/>
      </c>
      <c r="B403" s="31"/>
      <c r="C403" s="31"/>
      <c r="D403" s="31"/>
      <c r="E403" s="31"/>
      <c r="F403" s="32"/>
      <c r="G403" s="32"/>
      <c r="H403" s="31"/>
      <c r="I403" s="31"/>
      <c r="J403" s="33"/>
      <c r="K403" s="34"/>
      <c r="L403" s="34"/>
      <c r="M403" s="34"/>
      <c r="N403" s="39" t="str">
        <f aca="false">IF($K403="","",$K403-N($L403)-N($M403))</f>
        <v/>
      </c>
      <c r="O403" s="31"/>
      <c r="P403" s="31"/>
      <c r="Q403" s="31"/>
      <c r="R403" s="32"/>
      <c r="S403" s="32"/>
      <c r="T403" s="32"/>
      <c r="U403" s="32"/>
      <c r="V403" s="31"/>
      <c r="W403" s="40" t="str">
        <f aca="false">IF(OR($F403="",$J403=""),"",$F403+$J403)</f>
        <v/>
      </c>
      <c r="X403" s="32"/>
      <c r="Y403" s="34"/>
      <c r="Z403" s="31"/>
      <c r="AA403" s="31"/>
      <c r="AB403" s="32"/>
      <c r="AC403" s="31"/>
      <c r="AD403" s="32"/>
      <c r="AE403" s="31"/>
      <c r="AF403" s="41" t="str">
        <f aca="false">IF(OR($R403="",$S403=""),"",$S403-$R403)</f>
        <v/>
      </c>
      <c r="AG403" s="41" t="str">
        <f aca="false">IF(OR($S403="",$T403=""),"",$T403-$S403)</f>
        <v/>
      </c>
      <c r="AH403" s="41" t="str">
        <f aca="false">IF(OR($T403="",$U403=""),"",$U403-$T403)</f>
        <v/>
      </c>
      <c r="AI403" s="41" t="str">
        <f aca="false">IF(OR($R403="",$U403=""),"",$U403-$R403)</f>
        <v/>
      </c>
      <c r="AJ403" s="41" t="str">
        <f aca="false">IF(OR($U403="",$AB403=""),"",$AB403-$U403)</f>
        <v/>
      </c>
      <c r="AK403" s="41" t="str">
        <f aca="false">IF(OR($R403="",$AD403=""),"",$AD403-$R403)</f>
        <v/>
      </c>
      <c r="AL403" s="31"/>
      <c r="AM403" s="32"/>
      <c r="AN403" s="31"/>
    </row>
    <row r="404" customFormat="false" ht="15" hidden="false" customHeight="true" outlineLevel="0" collapsed="false">
      <c r="A404" s="38" t="str">
        <f aca="false">IF($B404="","",ROW()-3)</f>
        <v/>
      </c>
      <c r="B404" s="31"/>
      <c r="C404" s="31"/>
      <c r="D404" s="31"/>
      <c r="E404" s="31"/>
      <c r="F404" s="32"/>
      <c r="G404" s="32"/>
      <c r="H404" s="31"/>
      <c r="I404" s="31"/>
      <c r="J404" s="33"/>
      <c r="K404" s="34"/>
      <c r="L404" s="34"/>
      <c r="M404" s="34"/>
      <c r="N404" s="39" t="str">
        <f aca="false">IF($K404="","",$K404-N($L404)-N($M404))</f>
        <v/>
      </c>
      <c r="O404" s="31"/>
      <c r="P404" s="31"/>
      <c r="Q404" s="31"/>
      <c r="R404" s="32"/>
      <c r="S404" s="32"/>
      <c r="T404" s="32"/>
      <c r="U404" s="32"/>
      <c r="V404" s="31"/>
      <c r="W404" s="40" t="str">
        <f aca="false">IF(OR($F404="",$J404=""),"",$F404+$J404)</f>
        <v/>
      </c>
      <c r="X404" s="32"/>
      <c r="Y404" s="34"/>
      <c r="Z404" s="31"/>
      <c r="AA404" s="31"/>
      <c r="AB404" s="32"/>
      <c r="AC404" s="31"/>
      <c r="AD404" s="32"/>
      <c r="AE404" s="31"/>
      <c r="AF404" s="41" t="str">
        <f aca="false">IF(OR($R404="",$S404=""),"",$S404-$R404)</f>
        <v/>
      </c>
      <c r="AG404" s="41" t="str">
        <f aca="false">IF(OR($S404="",$T404=""),"",$T404-$S404)</f>
        <v/>
      </c>
      <c r="AH404" s="41" t="str">
        <f aca="false">IF(OR($T404="",$U404=""),"",$U404-$T404)</f>
        <v/>
      </c>
      <c r="AI404" s="41" t="str">
        <f aca="false">IF(OR($R404="",$U404=""),"",$U404-$R404)</f>
        <v/>
      </c>
      <c r="AJ404" s="41" t="str">
        <f aca="false">IF(OR($U404="",$AB404=""),"",$AB404-$U404)</f>
        <v/>
      </c>
      <c r="AK404" s="41" t="str">
        <f aca="false">IF(OR($R404="",$AD404=""),"",$AD404-$R404)</f>
        <v/>
      </c>
      <c r="AL404" s="31"/>
      <c r="AM404" s="32"/>
      <c r="AN404" s="31"/>
    </row>
    <row r="405" customFormat="false" ht="15" hidden="false" customHeight="true" outlineLevel="0" collapsed="false">
      <c r="A405" s="38" t="str">
        <f aca="false">IF($B405="","",ROW()-3)</f>
        <v/>
      </c>
      <c r="B405" s="31"/>
      <c r="C405" s="31"/>
      <c r="D405" s="31"/>
      <c r="E405" s="31"/>
      <c r="F405" s="32"/>
      <c r="G405" s="32"/>
      <c r="H405" s="31"/>
      <c r="I405" s="31"/>
      <c r="J405" s="33"/>
      <c r="K405" s="34"/>
      <c r="L405" s="34"/>
      <c r="M405" s="34"/>
      <c r="N405" s="39" t="str">
        <f aca="false">IF($K405="","",$K405-N($L405)-N($M405))</f>
        <v/>
      </c>
      <c r="O405" s="31"/>
      <c r="P405" s="31"/>
      <c r="Q405" s="31"/>
      <c r="R405" s="32"/>
      <c r="S405" s="32"/>
      <c r="T405" s="32"/>
      <c r="U405" s="32"/>
      <c r="V405" s="31"/>
      <c r="W405" s="40" t="str">
        <f aca="false">IF(OR($F405="",$J405=""),"",$F405+$J405)</f>
        <v/>
      </c>
      <c r="X405" s="32"/>
      <c r="Y405" s="34"/>
      <c r="Z405" s="31"/>
      <c r="AA405" s="31"/>
      <c r="AB405" s="32"/>
      <c r="AC405" s="31"/>
      <c r="AD405" s="32"/>
      <c r="AE405" s="31"/>
      <c r="AF405" s="41" t="str">
        <f aca="false">IF(OR($R405="",$S405=""),"",$S405-$R405)</f>
        <v/>
      </c>
      <c r="AG405" s="41" t="str">
        <f aca="false">IF(OR($S405="",$T405=""),"",$T405-$S405)</f>
        <v/>
      </c>
      <c r="AH405" s="41" t="str">
        <f aca="false">IF(OR($T405="",$U405=""),"",$U405-$T405)</f>
        <v/>
      </c>
      <c r="AI405" s="41" t="str">
        <f aca="false">IF(OR($R405="",$U405=""),"",$U405-$R405)</f>
        <v/>
      </c>
      <c r="AJ405" s="41" t="str">
        <f aca="false">IF(OR($U405="",$AB405=""),"",$AB405-$U405)</f>
        <v/>
      </c>
      <c r="AK405" s="41" t="str">
        <f aca="false">IF(OR($R405="",$AD405=""),"",$AD405-$R405)</f>
        <v/>
      </c>
      <c r="AL405" s="31"/>
      <c r="AM405" s="32"/>
      <c r="AN405" s="31"/>
    </row>
    <row r="406" customFormat="false" ht="15" hidden="false" customHeight="true" outlineLevel="0" collapsed="false">
      <c r="A406" s="38" t="str">
        <f aca="false">IF($B406="","",ROW()-3)</f>
        <v/>
      </c>
      <c r="B406" s="31"/>
      <c r="C406" s="31"/>
      <c r="D406" s="31"/>
      <c r="E406" s="31"/>
      <c r="F406" s="32"/>
      <c r="G406" s="32"/>
      <c r="H406" s="31"/>
      <c r="I406" s="31"/>
      <c r="J406" s="33"/>
      <c r="K406" s="34"/>
      <c r="L406" s="34"/>
      <c r="M406" s="34"/>
      <c r="N406" s="39" t="str">
        <f aca="false">IF($K406="","",$K406-N($L406)-N($M406))</f>
        <v/>
      </c>
      <c r="O406" s="31"/>
      <c r="P406" s="31"/>
      <c r="Q406" s="31"/>
      <c r="R406" s="32"/>
      <c r="S406" s="32"/>
      <c r="T406" s="32"/>
      <c r="U406" s="32"/>
      <c r="V406" s="31"/>
      <c r="W406" s="40" t="str">
        <f aca="false">IF(OR($F406="",$J406=""),"",$F406+$J406)</f>
        <v/>
      </c>
      <c r="X406" s="32"/>
      <c r="Y406" s="34"/>
      <c r="Z406" s="31"/>
      <c r="AA406" s="31"/>
      <c r="AB406" s="32"/>
      <c r="AC406" s="31"/>
      <c r="AD406" s="32"/>
      <c r="AE406" s="31"/>
      <c r="AF406" s="41" t="str">
        <f aca="false">IF(OR($R406="",$S406=""),"",$S406-$R406)</f>
        <v/>
      </c>
      <c r="AG406" s="41" t="str">
        <f aca="false">IF(OR($S406="",$T406=""),"",$T406-$S406)</f>
        <v/>
      </c>
      <c r="AH406" s="41" t="str">
        <f aca="false">IF(OR($T406="",$U406=""),"",$U406-$T406)</f>
        <v/>
      </c>
      <c r="AI406" s="41" t="str">
        <f aca="false">IF(OR($R406="",$U406=""),"",$U406-$R406)</f>
        <v/>
      </c>
      <c r="AJ406" s="41" t="str">
        <f aca="false">IF(OR($U406="",$AB406=""),"",$AB406-$U406)</f>
        <v/>
      </c>
      <c r="AK406" s="41" t="str">
        <f aca="false">IF(OR($R406="",$AD406=""),"",$AD406-$R406)</f>
        <v/>
      </c>
      <c r="AL406" s="31"/>
      <c r="AM406" s="32"/>
      <c r="AN406" s="31"/>
    </row>
    <row r="407" customFormat="false" ht="15" hidden="false" customHeight="true" outlineLevel="0" collapsed="false">
      <c r="A407" s="38" t="str">
        <f aca="false">IF($B407="","",ROW()-3)</f>
        <v/>
      </c>
      <c r="B407" s="31"/>
      <c r="C407" s="31"/>
      <c r="D407" s="31"/>
      <c r="E407" s="31"/>
      <c r="F407" s="32"/>
      <c r="G407" s="32"/>
      <c r="H407" s="31"/>
      <c r="I407" s="31"/>
      <c r="J407" s="33"/>
      <c r="K407" s="34"/>
      <c r="L407" s="34"/>
      <c r="M407" s="34"/>
      <c r="N407" s="39" t="str">
        <f aca="false">IF($K407="","",$K407-N($L407)-N($M407))</f>
        <v/>
      </c>
      <c r="O407" s="31"/>
      <c r="P407" s="31"/>
      <c r="Q407" s="31"/>
      <c r="R407" s="32"/>
      <c r="S407" s="32"/>
      <c r="T407" s="32"/>
      <c r="U407" s="32"/>
      <c r="V407" s="31"/>
      <c r="W407" s="40" t="str">
        <f aca="false">IF(OR($F407="",$J407=""),"",$F407+$J407)</f>
        <v/>
      </c>
      <c r="X407" s="32"/>
      <c r="Y407" s="34"/>
      <c r="Z407" s="31"/>
      <c r="AA407" s="31"/>
      <c r="AB407" s="32"/>
      <c r="AC407" s="31"/>
      <c r="AD407" s="32"/>
      <c r="AE407" s="31"/>
      <c r="AF407" s="41" t="str">
        <f aca="false">IF(OR($R407="",$S407=""),"",$S407-$R407)</f>
        <v/>
      </c>
      <c r="AG407" s="41" t="str">
        <f aca="false">IF(OR($S407="",$T407=""),"",$T407-$S407)</f>
        <v/>
      </c>
      <c r="AH407" s="41" t="str">
        <f aca="false">IF(OR($T407="",$U407=""),"",$U407-$T407)</f>
        <v/>
      </c>
      <c r="AI407" s="41" t="str">
        <f aca="false">IF(OR($R407="",$U407=""),"",$U407-$R407)</f>
        <v/>
      </c>
      <c r="AJ407" s="41" t="str">
        <f aca="false">IF(OR($U407="",$AB407=""),"",$AB407-$U407)</f>
        <v/>
      </c>
      <c r="AK407" s="41" t="str">
        <f aca="false">IF(OR($R407="",$AD407=""),"",$AD407-$R407)</f>
        <v/>
      </c>
      <c r="AL407" s="31"/>
      <c r="AM407" s="32"/>
      <c r="AN407" s="31"/>
    </row>
    <row r="408" customFormat="false" ht="15" hidden="false" customHeight="true" outlineLevel="0" collapsed="false">
      <c r="A408" s="38" t="str">
        <f aca="false">IF($B408="","",ROW()-3)</f>
        <v/>
      </c>
      <c r="B408" s="31"/>
      <c r="C408" s="31"/>
      <c r="D408" s="31"/>
      <c r="E408" s="31"/>
      <c r="F408" s="32"/>
      <c r="G408" s="32"/>
      <c r="H408" s="31"/>
      <c r="I408" s="31"/>
      <c r="J408" s="33"/>
      <c r="K408" s="34"/>
      <c r="L408" s="34"/>
      <c r="M408" s="34"/>
      <c r="N408" s="39" t="str">
        <f aca="false">IF($K408="","",$K408-N($L408)-N($M408))</f>
        <v/>
      </c>
      <c r="O408" s="31"/>
      <c r="P408" s="31"/>
      <c r="Q408" s="31"/>
      <c r="R408" s="32"/>
      <c r="S408" s="32"/>
      <c r="T408" s="32"/>
      <c r="U408" s="32"/>
      <c r="V408" s="31"/>
      <c r="W408" s="40" t="str">
        <f aca="false">IF(OR($F408="",$J408=""),"",$F408+$J408)</f>
        <v/>
      </c>
      <c r="X408" s="32"/>
      <c r="Y408" s="34"/>
      <c r="Z408" s="31"/>
      <c r="AA408" s="31"/>
      <c r="AB408" s="32"/>
      <c r="AC408" s="31"/>
      <c r="AD408" s="32"/>
      <c r="AE408" s="31"/>
      <c r="AF408" s="41" t="str">
        <f aca="false">IF(OR($R408="",$S408=""),"",$S408-$R408)</f>
        <v/>
      </c>
      <c r="AG408" s="41" t="str">
        <f aca="false">IF(OR($S408="",$T408=""),"",$T408-$S408)</f>
        <v/>
      </c>
      <c r="AH408" s="41" t="str">
        <f aca="false">IF(OR($T408="",$U408=""),"",$U408-$T408)</f>
        <v/>
      </c>
      <c r="AI408" s="41" t="str">
        <f aca="false">IF(OR($R408="",$U408=""),"",$U408-$R408)</f>
        <v/>
      </c>
      <c r="AJ408" s="41" t="str">
        <f aca="false">IF(OR($U408="",$AB408=""),"",$AB408-$U408)</f>
        <v/>
      </c>
      <c r="AK408" s="41" t="str">
        <f aca="false">IF(OR($R408="",$AD408=""),"",$AD408-$R408)</f>
        <v/>
      </c>
      <c r="AL408" s="31"/>
      <c r="AM408" s="32"/>
      <c r="AN408" s="31"/>
    </row>
    <row r="409" customFormat="false" ht="15" hidden="false" customHeight="true" outlineLevel="0" collapsed="false">
      <c r="A409" s="38" t="str">
        <f aca="false">IF($B409="","",ROW()-3)</f>
        <v/>
      </c>
      <c r="B409" s="31"/>
      <c r="C409" s="31"/>
      <c r="D409" s="31"/>
      <c r="E409" s="31"/>
      <c r="F409" s="32"/>
      <c r="G409" s="32"/>
      <c r="H409" s="31"/>
      <c r="I409" s="31"/>
      <c r="J409" s="33"/>
      <c r="K409" s="34"/>
      <c r="L409" s="34"/>
      <c r="M409" s="34"/>
      <c r="N409" s="39" t="str">
        <f aca="false">IF($K409="","",$K409-N($L409)-N($M409))</f>
        <v/>
      </c>
      <c r="O409" s="31"/>
      <c r="P409" s="31"/>
      <c r="Q409" s="31"/>
      <c r="R409" s="32"/>
      <c r="S409" s="32"/>
      <c r="T409" s="32"/>
      <c r="U409" s="32"/>
      <c r="V409" s="31"/>
      <c r="W409" s="40" t="str">
        <f aca="false">IF(OR($F409="",$J409=""),"",$F409+$J409)</f>
        <v/>
      </c>
      <c r="X409" s="32"/>
      <c r="Y409" s="34"/>
      <c r="Z409" s="31"/>
      <c r="AA409" s="31"/>
      <c r="AB409" s="32"/>
      <c r="AC409" s="31"/>
      <c r="AD409" s="32"/>
      <c r="AE409" s="31"/>
      <c r="AF409" s="41" t="str">
        <f aca="false">IF(OR($R409="",$S409=""),"",$S409-$R409)</f>
        <v/>
      </c>
      <c r="AG409" s="41" t="str">
        <f aca="false">IF(OR($S409="",$T409=""),"",$T409-$S409)</f>
        <v/>
      </c>
      <c r="AH409" s="41" t="str">
        <f aca="false">IF(OR($T409="",$U409=""),"",$U409-$T409)</f>
        <v/>
      </c>
      <c r="AI409" s="41" t="str">
        <f aca="false">IF(OR($R409="",$U409=""),"",$U409-$R409)</f>
        <v/>
      </c>
      <c r="AJ409" s="41" t="str">
        <f aca="false">IF(OR($U409="",$AB409=""),"",$AB409-$U409)</f>
        <v/>
      </c>
      <c r="AK409" s="41" t="str">
        <f aca="false">IF(OR($R409="",$AD409=""),"",$AD409-$R409)</f>
        <v/>
      </c>
      <c r="AL409" s="31"/>
      <c r="AM409" s="32"/>
      <c r="AN409" s="31"/>
    </row>
    <row r="410" customFormat="false" ht="15" hidden="false" customHeight="true" outlineLevel="0" collapsed="false">
      <c r="A410" s="38" t="str">
        <f aca="false">IF($B410="","",ROW()-3)</f>
        <v/>
      </c>
      <c r="B410" s="31"/>
      <c r="C410" s="31"/>
      <c r="D410" s="31"/>
      <c r="E410" s="31"/>
      <c r="F410" s="32"/>
      <c r="G410" s="32"/>
      <c r="H410" s="31"/>
      <c r="I410" s="31"/>
      <c r="J410" s="33"/>
      <c r="K410" s="34"/>
      <c r="L410" s="34"/>
      <c r="M410" s="34"/>
      <c r="N410" s="39" t="str">
        <f aca="false">IF($K410="","",$K410-N($L410)-N($M410))</f>
        <v/>
      </c>
      <c r="O410" s="31"/>
      <c r="P410" s="31"/>
      <c r="Q410" s="31"/>
      <c r="R410" s="32"/>
      <c r="S410" s="32"/>
      <c r="T410" s="32"/>
      <c r="U410" s="32"/>
      <c r="V410" s="31"/>
      <c r="W410" s="40" t="str">
        <f aca="false">IF(OR($F410="",$J410=""),"",$F410+$J410)</f>
        <v/>
      </c>
      <c r="X410" s="32"/>
      <c r="Y410" s="34"/>
      <c r="Z410" s="31"/>
      <c r="AA410" s="31"/>
      <c r="AB410" s="32"/>
      <c r="AC410" s="31"/>
      <c r="AD410" s="32"/>
      <c r="AE410" s="31"/>
      <c r="AF410" s="41" t="str">
        <f aca="false">IF(OR($R410="",$S410=""),"",$S410-$R410)</f>
        <v/>
      </c>
      <c r="AG410" s="41" t="str">
        <f aca="false">IF(OR($S410="",$T410=""),"",$T410-$S410)</f>
        <v/>
      </c>
      <c r="AH410" s="41" t="str">
        <f aca="false">IF(OR($T410="",$U410=""),"",$U410-$T410)</f>
        <v/>
      </c>
      <c r="AI410" s="41" t="str">
        <f aca="false">IF(OR($R410="",$U410=""),"",$U410-$R410)</f>
        <v/>
      </c>
      <c r="AJ410" s="41" t="str">
        <f aca="false">IF(OR($U410="",$AB410=""),"",$AB410-$U410)</f>
        <v/>
      </c>
      <c r="AK410" s="41" t="str">
        <f aca="false">IF(OR($R410="",$AD410=""),"",$AD410-$R410)</f>
        <v/>
      </c>
      <c r="AL410" s="31"/>
      <c r="AM410" s="32"/>
      <c r="AN410" s="31"/>
    </row>
    <row r="411" customFormat="false" ht="15" hidden="false" customHeight="true" outlineLevel="0" collapsed="false">
      <c r="A411" s="38" t="str">
        <f aca="false">IF($B411="","",ROW()-3)</f>
        <v/>
      </c>
      <c r="B411" s="31"/>
      <c r="C411" s="31"/>
      <c r="D411" s="31"/>
      <c r="E411" s="31"/>
      <c r="F411" s="32"/>
      <c r="G411" s="32"/>
      <c r="H411" s="31"/>
      <c r="I411" s="31"/>
      <c r="J411" s="33"/>
      <c r="K411" s="34"/>
      <c r="L411" s="34"/>
      <c r="M411" s="34"/>
      <c r="N411" s="39" t="str">
        <f aca="false">IF($K411="","",$K411-N($L411)-N($M411))</f>
        <v/>
      </c>
      <c r="O411" s="31"/>
      <c r="P411" s="31"/>
      <c r="Q411" s="31"/>
      <c r="R411" s="32"/>
      <c r="S411" s="32"/>
      <c r="T411" s="32"/>
      <c r="U411" s="32"/>
      <c r="V411" s="31"/>
      <c r="W411" s="40" t="str">
        <f aca="false">IF(OR($F411="",$J411=""),"",$F411+$J411)</f>
        <v/>
      </c>
      <c r="X411" s="32"/>
      <c r="Y411" s="34"/>
      <c r="Z411" s="31"/>
      <c r="AA411" s="31"/>
      <c r="AB411" s="32"/>
      <c r="AC411" s="31"/>
      <c r="AD411" s="32"/>
      <c r="AE411" s="31"/>
      <c r="AF411" s="41" t="str">
        <f aca="false">IF(OR($R411="",$S411=""),"",$S411-$R411)</f>
        <v/>
      </c>
      <c r="AG411" s="41" t="str">
        <f aca="false">IF(OR($S411="",$T411=""),"",$T411-$S411)</f>
        <v/>
      </c>
      <c r="AH411" s="41" t="str">
        <f aca="false">IF(OR($T411="",$U411=""),"",$U411-$T411)</f>
        <v/>
      </c>
      <c r="AI411" s="41" t="str">
        <f aca="false">IF(OR($R411="",$U411=""),"",$U411-$R411)</f>
        <v/>
      </c>
      <c r="AJ411" s="41" t="str">
        <f aca="false">IF(OR($U411="",$AB411=""),"",$AB411-$U411)</f>
        <v/>
      </c>
      <c r="AK411" s="41" t="str">
        <f aca="false">IF(OR($R411="",$AD411=""),"",$AD411-$R411)</f>
        <v/>
      </c>
      <c r="AL411" s="31"/>
      <c r="AM411" s="32"/>
      <c r="AN411" s="31"/>
    </row>
    <row r="412" customFormat="false" ht="15" hidden="false" customHeight="true" outlineLevel="0" collapsed="false">
      <c r="A412" s="38" t="str">
        <f aca="false">IF($B412="","",ROW()-3)</f>
        <v/>
      </c>
      <c r="B412" s="31"/>
      <c r="C412" s="31"/>
      <c r="D412" s="31"/>
      <c r="E412" s="31"/>
      <c r="F412" s="32"/>
      <c r="G412" s="32"/>
      <c r="H412" s="31"/>
      <c r="I412" s="31"/>
      <c r="J412" s="33"/>
      <c r="K412" s="34"/>
      <c r="L412" s="34"/>
      <c r="M412" s="34"/>
      <c r="N412" s="39" t="str">
        <f aca="false">IF($K412="","",$K412-N($L412)-N($M412))</f>
        <v/>
      </c>
      <c r="O412" s="31"/>
      <c r="P412" s="31"/>
      <c r="Q412" s="31"/>
      <c r="R412" s="32"/>
      <c r="S412" s="32"/>
      <c r="T412" s="32"/>
      <c r="U412" s="32"/>
      <c r="V412" s="31"/>
      <c r="W412" s="40" t="str">
        <f aca="false">IF(OR($F412="",$J412=""),"",$F412+$J412)</f>
        <v/>
      </c>
      <c r="X412" s="32"/>
      <c r="Y412" s="34"/>
      <c r="Z412" s="31"/>
      <c r="AA412" s="31"/>
      <c r="AB412" s="32"/>
      <c r="AC412" s="31"/>
      <c r="AD412" s="32"/>
      <c r="AE412" s="31"/>
      <c r="AF412" s="41" t="str">
        <f aca="false">IF(OR($R412="",$S412=""),"",$S412-$R412)</f>
        <v/>
      </c>
      <c r="AG412" s="41" t="str">
        <f aca="false">IF(OR($S412="",$T412=""),"",$T412-$S412)</f>
        <v/>
      </c>
      <c r="AH412" s="41" t="str">
        <f aca="false">IF(OR($T412="",$U412=""),"",$U412-$T412)</f>
        <v/>
      </c>
      <c r="AI412" s="41" t="str">
        <f aca="false">IF(OR($R412="",$U412=""),"",$U412-$R412)</f>
        <v/>
      </c>
      <c r="AJ412" s="41" t="str">
        <f aca="false">IF(OR($U412="",$AB412=""),"",$AB412-$U412)</f>
        <v/>
      </c>
      <c r="AK412" s="41" t="str">
        <f aca="false">IF(OR($R412="",$AD412=""),"",$AD412-$R412)</f>
        <v/>
      </c>
      <c r="AL412" s="31"/>
      <c r="AM412" s="32"/>
      <c r="AN412" s="31"/>
    </row>
    <row r="413" customFormat="false" ht="15" hidden="false" customHeight="true" outlineLevel="0" collapsed="false">
      <c r="A413" s="38" t="str">
        <f aca="false">IF($B413="","",ROW()-3)</f>
        <v/>
      </c>
      <c r="B413" s="31"/>
      <c r="C413" s="31"/>
      <c r="D413" s="31"/>
      <c r="E413" s="31"/>
      <c r="F413" s="32"/>
      <c r="G413" s="32"/>
      <c r="H413" s="31"/>
      <c r="I413" s="31"/>
      <c r="J413" s="33"/>
      <c r="K413" s="34"/>
      <c r="L413" s="34"/>
      <c r="M413" s="34"/>
      <c r="N413" s="39" t="str">
        <f aca="false">IF($K413="","",$K413-N($L413)-N($M413))</f>
        <v/>
      </c>
      <c r="O413" s="31"/>
      <c r="P413" s="31"/>
      <c r="Q413" s="31"/>
      <c r="R413" s="32"/>
      <c r="S413" s="32"/>
      <c r="T413" s="32"/>
      <c r="U413" s="32"/>
      <c r="V413" s="31"/>
      <c r="W413" s="40" t="str">
        <f aca="false">IF(OR($F413="",$J413=""),"",$F413+$J413)</f>
        <v/>
      </c>
      <c r="X413" s="32"/>
      <c r="Y413" s="34"/>
      <c r="Z413" s="31"/>
      <c r="AA413" s="31"/>
      <c r="AB413" s="32"/>
      <c r="AC413" s="31"/>
      <c r="AD413" s="32"/>
      <c r="AE413" s="31"/>
      <c r="AF413" s="41" t="str">
        <f aca="false">IF(OR($R413="",$S413=""),"",$S413-$R413)</f>
        <v/>
      </c>
      <c r="AG413" s="41" t="str">
        <f aca="false">IF(OR($S413="",$T413=""),"",$T413-$S413)</f>
        <v/>
      </c>
      <c r="AH413" s="41" t="str">
        <f aca="false">IF(OR($T413="",$U413=""),"",$U413-$T413)</f>
        <v/>
      </c>
      <c r="AI413" s="41" t="str">
        <f aca="false">IF(OR($R413="",$U413=""),"",$U413-$R413)</f>
        <v/>
      </c>
      <c r="AJ413" s="41" t="str">
        <f aca="false">IF(OR($U413="",$AB413=""),"",$AB413-$U413)</f>
        <v/>
      </c>
      <c r="AK413" s="41" t="str">
        <f aca="false">IF(OR($R413="",$AD413=""),"",$AD413-$R413)</f>
        <v/>
      </c>
      <c r="AL413" s="31"/>
      <c r="AM413" s="32"/>
      <c r="AN413" s="31"/>
    </row>
    <row r="414" customFormat="false" ht="15" hidden="false" customHeight="true" outlineLevel="0" collapsed="false">
      <c r="A414" s="38" t="str">
        <f aca="false">IF($B414="","",ROW()-3)</f>
        <v/>
      </c>
      <c r="B414" s="31"/>
      <c r="C414" s="31"/>
      <c r="D414" s="31"/>
      <c r="E414" s="31"/>
      <c r="F414" s="32"/>
      <c r="G414" s="32"/>
      <c r="H414" s="31"/>
      <c r="I414" s="31"/>
      <c r="J414" s="33"/>
      <c r="K414" s="34"/>
      <c r="L414" s="34"/>
      <c r="M414" s="34"/>
      <c r="N414" s="39" t="str">
        <f aca="false">IF($K414="","",$K414-N($L414)-N($M414))</f>
        <v/>
      </c>
      <c r="O414" s="31"/>
      <c r="P414" s="31"/>
      <c r="Q414" s="31"/>
      <c r="R414" s="32"/>
      <c r="S414" s="32"/>
      <c r="T414" s="32"/>
      <c r="U414" s="32"/>
      <c r="V414" s="31"/>
      <c r="W414" s="40" t="str">
        <f aca="false">IF(OR($F414="",$J414=""),"",$F414+$J414)</f>
        <v/>
      </c>
      <c r="X414" s="32"/>
      <c r="Y414" s="34"/>
      <c r="Z414" s="31"/>
      <c r="AA414" s="31"/>
      <c r="AB414" s="32"/>
      <c r="AC414" s="31"/>
      <c r="AD414" s="32"/>
      <c r="AE414" s="31"/>
      <c r="AF414" s="41" t="str">
        <f aca="false">IF(OR($R414="",$S414=""),"",$S414-$R414)</f>
        <v/>
      </c>
      <c r="AG414" s="41" t="str">
        <f aca="false">IF(OR($S414="",$T414=""),"",$T414-$S414)</f>
        <v/>
      </c>
      <c r="AH414" s="41" t="str">
        <f aca="false">IF(OR($T414="",$U414=""),"",$U414-$T414)</f>
        <v/>
      </c>
      <c r="AI414" s="41" t="str">
        <f aca="false">IF(OR($R414="",$U414=""),"",$U414-$R414)</f>
        <v/>
      </c>
      <c r="AJ414" s="41" t="str">
        <f aca="false">IF(OR($U414="",$AB414=""),"",$AB414-$U414)</f>
        <v/>
      </c>
      <c r="AK414" s="41" t="str">
        <f aca="false">IF(OR($R414="",$AD414=""),"",$AD414-$R414)</f>
        <v/>
      </c>
      <c r="AL414" s="31"/>
      <c r="AM414" s="32"/>
      <c r="AN414" s="31"/>
    </row>
    <row r="415" customFormat="false" ht="15" hidden="false" customHeight="true" outlineLevel="0" collapsed="false">
      <c r="A415" s="38" t="str">
        <f aca="false">IF($B415="","",ROW()-3)</f>
        <v/>
      </c>
      <c r="B415" s="31"/>
      <c r="C415" s="31"/>
      <c r="D415" s="31"/>
      <c r="E415" s="31"/>
      <c r="F415" s="32"/>
      <c r="G415" s="32"/>
      <c r="H415" s="31"/>
      <c r="I415" s="31"/>
      <c r="J415" s="33"/>
      <c r="K415" s="34"/>
      <c r="L415" s="34"/>
      <c r="M415" s="34"/>
      <c r="N415" s="39" t="str">
        <f aca="false">IF($K415="","",$K415-N($L415)-N($M415))</f>
        <v/>
      </c>
      <c r="O415" s="31"/>
      <c r="P415" s="31"/>
      <c r="Q415" s="31"/>
      <c r="R415" s="32"/>
      <c r="S415" s="32"/>
      <c r="T415" s="32"/>
      <c r="U415" s="32"/>
      <c r="V415" s="31"/>
      <c r="W415" s="40" t="str">
        <f aca="false">IF(OR($F415="",$J415=""),"",$F415+$J415)</f>
        <v/>
      </c>
      <c r="X415" s="32"/>
      <c r="Y415" s="34"/>
      <c r="Z415" s="31"/>
      <c r="AA415" s="31"/>
      <c r="AB415" s="32"/>
      <c r="AC415" s="31"/>
      <c r="AD415" s="32"/>
      <c r="AE415" s="31"/>
      <c r="AF415" s="41" t="str">
        <f aca="false">IF(OR($R415="",$S415=""),"",$S415-$R415)</f>
        <v/>
      </c>
      <c r="AG415" s="41" t="str">
        <f aca="false">IF(OR($S415="",$T415=""),"",$T415-$S415)</f>
        <v/>
      </c>
      <c r="AH415" s="41" t="str">
        <f aca="false">IF(OR($T415="",$U415=""),"",$U415-$T415)</f>
        <v/>
      </c>
      <c r="AI415" s="41" t="str">
        <f aca="false">IF(OR($R415="",$U415=""),"",$U415-$R415)</f>
        <v/>
      </c>
      <c r="AJ415" s="41" t="str">
        <f aca="false">IF(OR($U415="",$AB415=""),"",$AB415-$U415)</f>
        <v/>
      </c>
      <c r="AK415" s="41" t="str">
        <f aca="false">IF(OR($R415="",$AD415=""),"",$AD415-$R415)</f>
        <v/>
      </c>
      <c r="AL415" s="31"/>
      <c r="AM415" s="32"/>
      <c r="AN415" s="31"/>
    </row>
    <row r="416" customFormat="false" ht="15" hidden="false" customHeight="true" outlineLevel="0" collapsed="false">
      <c r="A416" s="38" t="str">
        <f aca="false">IF($B416="","",ROW()-3)</f>
        <v/>
      </c>
      <c r="B416" s="31"/>
      <c r="C416" s="31"/>
      <c r="D416" s="31"/>
      <c r="E416" s="31"/>
      <c r="F416" s="32"/>
      <c r="G416" s="32"/>
      <c r="H416" s="31"/>
      <c r="I416" s="31"/>
      <c r="J416" s="33"/>
      <c r="K416" s="34"/>
      <c r="L416" s="34"/>
      <c r="M416" s="34"/>
      <c r="N416" s="39" t="str">
        <f aca="false">IF($K416="","",$K416-N($L416)-N($M416))</f>
        <v/>
      </c>
      <c r="O416" s="31"/>
      <c r="P416" s="31"/>
      <c r="Q416" s="31"/>
      <c r="R416" s="32"/>
      <c r="S416" s="32"/>
      <c r="T416" s="32"/>
      <c r="U416" s="32"/>
      <c r="V416" s="31"/>
      <c r="W416" s="40" t="str">
        <f aca="false">IF(OR($F416="",$J416=""),"",$F416+$J416)</f>
        <v/>
      </c>
      <c r="X416" s="32"/>
      <c r="Y416" s="34"/>
      <c r="Z416" s="31"/>
      <c r="AA416" s="31"/>
      <c r="AB416" s="32"/>
      <c r="AC416" s="31"/>
      <c r="AD416" s="32"/>
      <c r="AE416" s="31"/>
      <c r="AF416" s="41" t="str">
        <f aca="false">IF(OR($R416="",$S416=""),"",$S416-$R416)</f>
        <v/>
      </c>
      <c r="AG416" s="41" t="str">
        <f aca="false">IF(OR($S416="",$T416=""),"",$T416-$S416)</f>
        <v/>
      </c>
      <c r="AH416" s="41" t="str">
        <f aca="false">IF(OR($T416="",$U416=""),"",$U416-$T416)</f>
        <v/>
      </c>
      <c r="AI416" s="41" t="str">
        <f aca="false">IF(OR($R416="",$U416=""),"",$U416-$R416)</f>
        <v/>
      </c>
      <c r="AJ416" s="41" t="str">
        <f aca="false">IF(OR($U416="",$AB416=""),"",$AB416-$U416)</f>
        <v/>
      </c>
      <c r="AK416" s="41" t="str">
        <f aca="false">IF(OR($R416="",$AD416=""),"",$AD416-$R416)</f>
        <v/>
      </c>
      <c r="AL416" s="31"/>
      <c r="AM416" s="32"/>
      <c r="AN416" s="31"/>
    </row>
    <row r="417" customFormat="false" ht="15" hidden="false" customHeight="true" outlineLevel="0" collapsed="false">
      <c r="A417" s="38" t="str">
        <f aca="false">IF($B417="","",ROW()-3)</f>
        <v/>
      </c>
      <c r="B417" s="31"/>
      <c r="C417" s="31"/>
      <c r="D417" s="31"/>
      <c r="E417" s="31"/>
      <c r="F417" s="32"/>
      <c r="G417" s="32"/>
      <c r="H417" s="31"/>
      <c r="I417" s="31"/>
      <c r="J417" s="33"/>
      <c r="K417" s="34"/>
      <c r="L417" s="34"/>
      <c r="M417" s="34"/>
      <c r="N417" s="39" t="str">
        <f aca="false">IF($K417="","",$K417-N($L417)-N($M417))</f>
        <v/>
      </c>
      <c r="O417" s="31"/>
      <c r="P417" s="31"/>
      <c r="Q417" s="31"/>
      <c r="R417" s="32"/>
      <c r="S417" s="32"/>
      <c r="T417" s="32"/>
      <c r="U417" s="32"/>
      <c r="V417" s="31"/>
      <c r="W417" s="40" t="str">
        <f aca="false">IF(OR($F417="",$J417=""),"",$F417+$J417)</f>
        <v/>
      </c>
      <c r="X417" s="32"/>
      <c r="Y417" s="34"/>
      <c r="Z417" s="31"/>
      <c r="AA417" s="31"/>
      <c r="AB417" s="32"/>
      <c r="AC417" s="31"/>
      <c r="AD417" s="32"/>
      <c r="AE417" s="31"/>
      <c r="AF417" s="41" t="str">
        <f aca="false">IF(OR($R417="",$S417=""),"",$S417-$R417)</f>
        <v/>
      </c>
      <c r="AG417" s="41" t="str">
        <f aca="false">IF(OR($S417="",$T417=""),"",$T417-$S417)</f>
        <v/>
      </c>
      <c r="AH417" s="41" t="str">
        <f aca="false">IF(OR($T417="",$U417=""),"",$U417-$T417)</f>
        <v/>
      </c>
      <c r="AI417" s="41" t="str">
        <f aca="false">IF(OR($R417="",$U417=""),"",$U417-$R417)</f>
        <v/>
      </c>
      <c r="AJ417" s="41" t="str">
        <f aca="false">IF(OR($U417="",$AB417=""),"",$AB417-$U417)</f>
        <v/>
      </c>
      <c r="AK417" s="41" t="str">
        <f aca="false">IF(OR($R417="",$AD417=""),"",$AD417-$R417)</f>
        <v/>
      </c>
      <c r="AL417" s="31"/>
      <c r="AM417" s="32"/>
      <c r="AN417" s="31"/>
    </row>
    <row r="418" customFormat="false" ht="15" hidden="false" customHeight="true" outlineLevel="0" collapsed="false">
      <c r="A418" s="38" t="str">
        <f aca="false">IF($B418="","",ROW()-3)</f>
        <v/>
      </c>
      <c r="B418" s="31"/>
      <c r="C418" s="31"/>
      <c r="D418" s="31"/>
      <c r="E418" s="31"/>
      <c r="F418" s="32"/>
      <c r="G418" s="32"/>
      <c r="H418" s="31"/>
      <c r="I418" s="31"/>
      <c r="J418" s="33"/>
      <c r="K418" s="34"/>
      <c r="L418" s="34"/>
      <c r="M418" s="34"/>
      <c r="N418" s="39" t="str">
        <f aca="false">IF($K418="","",$K418-N($L418)-N($M418))</f>
        <v/>
      </c>
      <c r="O418" s="31"/>
      <c r="P418" s="31"/>
      <c r="Q418" s="31"/>
      <c r="R418" s="32"/>
      <c r="S418" s="32"/>
      <c r="T418" s="32"/>
      <c r="U418" s="32"/>
      <c r="V418" s="31"/>
      <c r="W418" s="40" t="str">
        <f aca="false">IF(OR($F418="",$J418=""),"",$F418+$J418)</f>
        <v/>
      </c>
      <c r="X418" s="32"/>
      <c r="Y418" s="34"/>
      <c r="Z418" s="31"/>
      <c r="AA418" s="31"/>
      <c r="AB418" s="32"/>
      <c r="AC418" s="31"/>
      <c r="AD418" s="32"/>
      <c r="AE418" s="31"/>
      <c r="AF418" s="41" t="str">
        <f aca="false">IF(OR($R418="",$S418=""),"",$S418-$R418)</f>
        <v/>
      </c>
      <c r="AG418" s="41" t="str">
        <f aca="false">IF(OR($S418="",$T418=""),"",$T418-$S418)</f>
        <v/>
      </c>
      <c r="AH418" s="41" t="str">
        <f aca="false">IF(OR($T418="",$U418=""),"",$U418-$T418)</f>
        <v/>
      </c>
      <c r="AI418" s="41" t="str">
        <f aca="false">IF(OR($R418="",$U418=""),"",$U418-$R418)</f>
        <v/>
      </c>
      <c r="AJ418" s="41" t="str">
        <f aca="false">IF(OR($U418="",$AB418=""),"",$AB418-$U418)</f>
        <v/>
      </c>
      <c r="AK418" s="41" t="str">
        <f aca="false">IF(OR($R418="",$AD418=""),"",$AD418-$R418)</f>
        <v/>
      </c>
      <c r="AL418" s="31"/>
      <c r="AM418" s="32"/>
      <c r="AN418" s="31"/>
    </row>
    <row r="419" customFormat="false" ht="15" hidden="false" customHeight="true" outlineLevel="0" collapsed="false">
      <c r="A419" s="38" t="str">
        <f aca="false">IF($B419="","",ROW()-3)</f>
        <v/>
      </c>
      <c r="B419" s="31"/>
      <c r="C419" s="31"/>
      <c r="D419" s="31"/>
      <c r="E419" s="31"/>
      <c r="F419" s="32"/>
      <c r="G419" s="32"/>
      <c r="H419" s="31"/>
      <c r="I419" s="31"/>
      <c r="J419" s="33"/>
      <c r="K419" s="34"/>
      <c r="L419" s="34"/>
      <c r="M419" s="34"/>
      <c r="N419" s="39" t="str">
        <f aca="false">IF($K419="","",$K419-N($L419)-N($M419))</f>
        <v/>
      </c>
      <c r="O419" s="31"/>
      <c r="P419" s="31"/>
      <c r="Q419" s="31"/>
      <c r="R419" s="32"/>
      <c r="S419" s="32"/>
      <c r="T419" s="32"/>
      <c r="U419" s="32"/>
      <c r="V419" s="31"/>
      <c r="W419" s="40" t="str">
        <f aca="false">IF(OR($F419="",$J419=""),"",$F419+$J419)</f>
        <v/>
      </c>
      <c r="X419" s="32"/>
      <c r="Y419" s="34"/>
      <c r="Z419" s="31"/>
      <c r="AA419" s="31"/>
      <c r="AB419" s="32"/>
      <c r="AC419" s="31"/>
      <c r="AD419" s="32"/>
      <c r="AE419" s="31"/>
      <c r="AF419" s="41" t="str">
        <f aca="false">IF(OR($R419="",$S419=""),"",$S419-$R419)</f>
        <v/>
      </c>
      <c r="AG419" s="41" t="str">
        <f aca="false">IF(OR($S419="",$T419=""),"",$T419-$S419)</f>
        <v/>
      </c>
      <c r="AH419" s="41" t="str">
        <f aca="false">IF(OR($T419="",$U419=""),"",$U419-$T419)</f>
        <v/>
      </c>
      <c r="AI419" s="41" t="str">
        <f aca="false">IF(OR($R419="",$U419=""),"",$U419-$R419)</f>
        <v/>
      </c>
      <c r="AJ419" s="41" t="str">
        <f aca="false">IF(OR($U419="",$AB419=""),"",$AB419-$U419)</f>
        <v/>
      </c>
      <c r="AK419" s="41" t="str">
        <f aca="false">IF(OR($R419="",$AD419=""),"",$AD419-$R419)</f>
        <v/>
      </c>
      <c r="AL419" s="31"/>
      <c r="AM419" s="32"/>
      <c r="AN419" s="31"/>
    </row>
    <row r="420" customFormat="false" ht="15" hidden="false" customHeight="true" outlineLevel="0" collapsed="false">
      <c r="A420" s="38" t="str">
        <f aca="false">IF($B420="","",ROW()-3)</f>
        <v/>
      </c>
      <c r="B420" s="31"/>
      <c r="C420" s="31"/>
      <c r="D420" s="31"/>
      <c r="E420" s="31"/>
      <c r="F420" s="32"/>
      <c r="G420" s="32"/>
      <c r="H420" s="31"/>
      <c r="I420" s="31"/>
      <c r="J420" s="33"/>
      <c r="K420" s="34"/>
      <c r="L420" s="34"/>
      <c r="M420" s="34"/>
      <c r="N420" s="39" t="str">
        <f aca="false">IF($K420="","",$K420-N($L420)-N($M420))</f>
        <v/>
      </c>
      <c r="O420" s="31"/>
      <c r="P420" s="31"/>
      <c r="Q420" s="31"/>
      <c r="R420" s="32"/>
      <c r="S420" s="32"/>
      <c r="T420" s="32"/>
      <c r="U420" s="32"/>
      <c r="V420" s="31"/>
      <c r="W420" s="40" t="str">
        <f aca="false">IF(OR($F420="",$J420=""),"",$F420+$J420)</f>
        <v/>
      </c>
      <c r="X420" s="32"/>
      <c r="Y420" s="34"/>
      <c r="Z420" s="31"/>
      <c r="AA420" s="31"/>
      <c r="AB420" s="32"/>
      <c r="AC420" s="31"/>
      <c r="AD420" s="32"/>
      <c r="AE420" s="31"/>
      <c r="AF420" s="41" t="str">
        <f aca="false">IF(OR($R420="",$S420=""),"",$S420-$R420)</f>
        <v/>
      </c>
      <c r="AG420" s="41" t="str">
        <f aca="false">IF(OR($S420="",$T420=""),"",$T420-$S420)</f>
        <v/>
      </c>
      <c r="AH420" s="41" t="str">
        <f aca="false">IF(OR($T420="",$U420=""),"",$U420-$T420)</f>
        <v/>
      </c>
      <c r="AI420" s="41" t="str">
        <f aca="false">IF(OR($R420="",$U420=""),"",$U420-$R420)</f>
        <v/>
      </c>
      <c r="AJ420" s="41" t="str">
        <f aca="false">IF(OR($U420="",$AB420=""),"",$AB420-$U420)</f>
        <v/>
      </c>
      <c r="AK420" s="41" t="str">
        <f aca="false">IF(OR($R420="",$AD420=""),"",$AD420-$R420)</f>
        <v/>
      </c>
      <c r="AL420" s="31"/>
      <c r="AM420" s="32"/>
      <c r="AN420" s="31"/>
    </row>
    <row r="421" customFormat="false" ht="15" hidden="false" customHeight="true" outlineLevel="0" collapsed="false">
      <c r="A421" s="38" t="str">
        <f aca="false">IF($B421="","",ROW()-3)</f>
        <v/>
      </c>
      <c r="B421" s="31"/>
      <c r="C421" s="31"/>
      <c r="D421" s="31"/>
      <c r="E421" s="31"/>
      <c r="F421" s="32"/>
      <c r="G421" s="32"/>
      <c r="H421" s="31"/>
      <c r="I421" s="31"/>
      <c r="J421" s="33"/>
      <c r="K421" s="34"/>
      <c r="L421" s="34"/>
      <c r="M421" s="34"/>
      <c r="N421" s="39" t="str">
        <f aca="false">IF($K421="","",$K421-N($L421)-N($M421))</f>
        <v/>
      </c>
      <c r="O421" s="31"/>
      <c r="P421" s="31"/>
      <c r="Q421" s="31"/>
      <c r="R421" s="32"/>
      <c r="S421" s="32"/>
      <c r="T421" s="32"/>
      <c r="U421" s="32"/>
      <c r="V421" s="31"/>
      <c r="W421" s="40" t="str">
        <f aca="false">IF(OR($F421="",$J421=""),"",$F421+$J421)</f>
        <v/>
      </c>
      <c r="X421" s="32"/>
      <c r="Y421" s="34"/>
      <c r="Z421" s="31"/>
      <c r="AA421" s="31"/>
      <c r="AB421" s="32"/>
      <c r="AC421" s="31"/>
      <c r="AD421" s="32"/>
      <c r="AE421" s="31"/>
      <c r="AF421" s="41" t="str">
        <f aca="false">IF(OR($R421="",$S421=""),"",$S421-$R421)</f>
        <v/>
      </c>
      <c r="AG421" s="41" t="str">
        <f aca="false">IF(OR($S421="",$T421=""),"",$T421-$S421)</f>
        <v/>
      </c>
      <c r="AH421" s="41" t="str">
        <f aca="false">IF(OR($T421="",$U421=""),"",$U421-$T421)</f>
        <v/>
      </c>
      <c r="AI421" s="41" t="str">
        <f aca="false">IF(OR($R421="",$U421=""),"",$U421-$R421)</f>
        <v/>
      </c>
      <c r="AJ421" s="41" t="str">
        <f aca="false">IF(OR($U421="",$AB421=""),"",$AB421-$U421)</f>
        <v/>
      </c>
      <c r="AK421" s="41" t="str">
        <f aca="false">IF(OR($R421="",$AD421=""),"",$AD421-$R421)</f>
        <v/>
      </c>
      <c r="AL421" s="31"/>
      <c r="AM421" s="32"/>
      <c r="AN421" s="31"/>
    </row>
    <row r="422" customFormat="false" ht="15" hidden="false" customHeight="true" outlineLevel="0" collapsed="false">
      <c r="A422" s="38" t="str">
        <f aca="false">IF($B422="","",ROW()-3)</f>
        <v/>
      </c>
      <c r="B422" s="31"/>
      <c r="C422" s="31"/>
      <c r="D422" s="31"/>
      <c r="E422" s="31"/>
      <c r="F422" s="32"/>
      <c r="G422" s="32"/>
      <c r="H422" s="31"/>
      <c r="I422" s="31"/>
      <c r="J422" s="33"/>
      <c r="K422" s="34"/>
      <c r="L422" s="34"/>
      <c r="M422" s="34"/>
      <c r="N422" s="39" t="str">
        <f aca="false">IF($K422="","",$K422-N($L422)-N($M422))</f>
        <v/>
      </c>
      <c r="O422" s="31"/>
      <c r="P422" s="31"/>
      <c r="Q422" s="31"/>
      <c r="R422" s="32"/>
      <c r="S422" s="32"/>
      <c r="T422" s="32"/>
      <c r="U422" s="32"/>
      <c r="V422" s="31"/>
      <c r="W422" s="40" t="str">
        <f aca="false">IF(OR($F422="",$J422=""),"",$F422+$J422)</f>
        <v/>
      </c>
      <c r="X422" s="32"/>
      <c r="Y422" s="34"/>
      <c r="Z422" s="31"/>
      <c r="AA422" s="31"/>
      <c r="AB422" s="32"/>
      <c r="AC422" s="31"/>
      <c r="AD422" s="32"/>
      <c r="AE422" s="31"/>
      <c r="AF422" s="41" t="str">
        <f aca="false">IF(OR($R422="",$S422=""),"",$S422-$R422)</f>
        <v/>
      </c>
      <c r="AG422" s="41" t="str">
        <f aca="false">IF(OR($S422="",$T422=""),"",$T422-$S422)</f>
        <v/>
      </c>
      <c r="AH422" s="41" t="str">
        <f aca="false">IF(OR($T422="",$U422=""),"",$U422-$T422)</f>
        <v/>
      </c>
      <c r="AI422" s="41" t="str">
        <f aca="false">IF(OR($R422="",$U422=""),"",$U422-$R422)</f>
        <v/>
      </c>
      <c r="AJ422" s="41" t="str">
        <f aca="false">IF(OR($U422="",$AB422=""),"",$AB422-$U422)</f>
        <v/>
      </c>
      <c r="AK422" s="41" t="str">
        <f aca="false">IF(OR($R422="",$AD422=""),"",$AD422-$R422)</f>
        <v/>
      </c>
      <c r="AL422" s="31"/>
      <c r="AM422" s="32"/>
      <c r="AN422" s="31"/>
    </row>
    <row r="423" customFormat="false" ht="15" hidden="false" customHeight="true" outlineLevel="0" collapsed="false">
      <c r="A423" s="38" t="str">
        <f aca="false">IF($B423="","",ROW()-3)</f>
        <v/>
      </c>
      <c r="B423" s="31"/>
      <c r="C423" s="31"/>
      <c r="D423" s="31"/>
      <c r="E423" s="31"/>
      <c r="F423" s="32"/>
      <c r="G423" s="32"/>
      <c r="H423" s="31"/>
      <c r="I423" s="31"/>
      <c r="J423" s="33"/>
      <c r="K423" s="34"/>
      <c r="L423" s="34"/>
      <c r="M423" s="34"/>
      <c r="N423" s="39" t="str">
        <f aca="false">IF($K423="","",$K423-N($L423)-N($M423))</f>
        <v/>
      </c>
      <c r="O423" s="31"/>
      <c r="P423" s="31"/>
      <c r="Q423" s="31"/>
      <c r="R423" s="32"/>
      <c r="S423" s="32"/>
      <c r="T423" s="32"/>
      <c r="U423" s="32"/>
      <c r="V423" s="31"/>
      <c r="W423" s="40" t="str">
        <f aca="false">IF(OR($F423="",$J423=""),"",$F423+$J423)</f>
        <v/>
      </c>
      <c r="X423" s="32"/>
      <c r="Y423" s="34"/>
      <c r="Z423" s="31"/>
      <c r="AA423" s="31"/>
      <c r="AB423" s="32"/>
      <c r="AC423" s="31"/>
      <c r="AD423" s="32"/>
      <c r="AE423" s="31"/>
      <c r="AF423" s="41" t="str">
        <f aca="false">IF(OR($R423="",$S423=""),"",$S423-$R423)</f>
        <v/>
      </c>
      <c r="AG423" s="41" t="str">
        <f aca="false">IF(OR($S423="",$T423=""),"",$T423-$S423)</f>
        <v/>
      </c>
      <c r="AH423" s="41" t="str">
        <f aca="false">IF(OR($T423="",$U423=""),"",$U423-$T423)</f>
        <v/>
      </c>
      <c r="AI423" s="41" t="str">
        <f aca="false">IF(OR($R423="",$U423=""),"",$U423-$R423)</f>
        <v/>
      </c>
      <c r="AJ423" s="41" t="str">
        <f aca="false">IF(OR($U423="",$AB423=""),"",$AB423-$U423)</f>
        <v/>
      </c>
      <c r="AK423" s="41" t="str">
        <f aca="false">IF(OR($R423="",$AD423=""),"",$AD423-$R423)</f>
        <v/>
      </c>
      <c r="AL423" s="31"/>
      <c r="AM423" s="32"/>
      <c r="AN423" s="31"/>
    </row>
    <row r="424" customFormat="false" ht="15" hidden="false" customHeight="true" outlineLevel="0" collapsed="false">
      <c r="A424" s="38" t="str">
        <f aca="false">IF($B424="","",ROW()-3)</f>
        <v/>
      </c>
      <c r="B424" s="31"/>
      <c r="C424" s="31"/>
      <c r="D424" s="31"/>
      <c r="E424" s="31"/>
      <c r="F424" s="32"/>
      <c r="G424" s="32"/>
      <c r="H424" s="31"/>
      <c r="I424" s="31"/>
      <c r="J424" s="33"/>
      <c r="K424" s="34"/>
      <c r="L424" s="34"/>
      <c r="M424" s="34"/>
      <c r="N424" s="39" t="str">
        <f aca="false">IF($K424="","",$K424-N($L424)-N($M424))</f>
        <v/>
      </c>
      <c r="O424" s="31"/>
      <c r="P424" s="31"/>
      <c r="Q424" s="31"/>
      <c r="R424" s="32"/>
      <c r="S424" s="32"/>
      <c r="T424" s="32"/>
      <c r="U424" s="32"/>
      <c r="V424" s="31"/>
      <c r="W424" s="40" t="str">
        <f aca="false">IF(OR($F424="",$J424=""),"",$F424+$J424)</f>
        <v/>
      </c>
      <c r="X424" s="32"/>
      <c r="Y424" s="34"/>
      <c r="Z424" s="31"/>
      <c r="AA424" s="31"/>
      <c r="AB424" s="32"/>
      <c r="AC424" s="31"/>
      <c r="AD424" s="32"/>
      <c r="AE424" s="31"/>
      <c r="AF424" s="41" t="str">
        <f aca="false">IF(OR($R424="",$S424=""),"",$S424-$R424)</f>
        <v/>
      </c>
      <c r="AG424" s="41" t="str">
        <f aca="false">IF(OR($S424="",$T424=""),"",$T424-$S424)</f>
        <v/>
      </c>
      <c r="AH424" s="41" t="str">
        <f aca="false">IF(OR($T424="",$U424=""),"",$U424-$T424)</f>
        <v/>
      </c>
      <c r="AI424" s="41" t="str">
        <f aca="false">IF(OR($R424="",$U424=""),"",$U424-$R424)</f>
        <v/>
      </c>
      <c r="AJ424" s="41" t="str">
        <f aca="false">IF(OR($U424="",$AB424=""),"",$AB424-$U424)</f>
        <v/>
      </c>
      <c r="AK424" s="41" t="str">
        <f aca="false">IF(OR($R424="",$AD424=""),"",$AD424-$R424)</f>
        <v/>
      </c>
      <c r="AL424" s="31"/>
      <c r="AM424" s="32"/>
      <c r="AN424" s="31"/>
    </row>
    <row r="425" customFormat="false" ht="15" hidden="false" customHeight="true" outlineLevel="0" collapsed="false">
      <c r="A425" s="38" t="str">
        <f aca="false">IF($B425="","",ROW()-3)</f>
        <v/>
      </c>
      <c r="B425" s="31"/>
      <c r="C425" s="31"/>
      <c r="D425" s="31"/>
      <c r="E425" s="31"/>
      <c r="F425" s="32"/>
      <c r="G425" s="32"/>
      <c r="H425" s="31"/>
      <c r="I425" s="31"/>
      <c r="J425" s="33"/>
      <c r="K425" s="34"/>
      <c r="L425" s="34"/>
      <c r="M425" s="34"/>
      <c r="N425" s="39" t="str">
        <f aca="false">IF($K425="","",$K425-N($L425)-N($M425))</f>
        <v/>
      </c>
      <c r="O425" s="31"/>
      <c r="P425" s="31"/>
      <c r="Q425" s="31"/>
      <c r="R425" s="32"/>
      <c r="S425" s="32"/>
      <c r="T425" s="32"/>
      <c r="U425" s="32"/>
      <c r="V425" s="31"/>
      <c r="W425" s="40" t="str">
        <f aca="false">IF(OR($F425="",$J425=""),"",$F425+$J425)</f>
        <v/>
      </c>
      <c r="X425" s="32"/>
      <c r="Y425" s="34"/>
      <c r="Z425" s="31"/>
      <c r="AA425" s="31"/>
      <c r="AB425" s="32"/>
      <c r="AC425" s="31"/>
      <c r="AD425" s="32"/>
      <c r="AE425" s="31"/>
      <c r="AF425" s="41" t="str">
        <f aca="false">IF(OR($R425="",$S425=""),"",$S425-$R425)</f>
        <v/>
      </c>
      <c r="AG425" s="41" t="str">
        <f aca="false">IF(OR($S425="",$T425=""),"",$T425-$S425)</f>
        <v/>
      </c>
      <c r="AH425" s="41" t="str">
        <f aca="false">IF(OR($T425="",$U425=""),"",$U425-$T425)</f>
        <v/>
      </c>
      <c r="AI425" s="41" t="str">
        <f aca="false">IF(OR($R425="",$U425=""),"",$U425-$R425)</f>
        <v/>
      </c>
      <c r="AJ425" s="41" t="str">
        <f aca="false">IF(OR($U425="",$AB425=""),"",$AB425-$U425)</f>
        <v/>
      </c>
      <c r="AK425" s="41" t="str">
        <f aca="false">IF(OR($R425="",$AD425=""),"",$AD425-$R425)</f>
        <v/>
      </c>
      <c r="AL425" s="31"/>
      <c r="AM425" s="32"/>
      <c r="AN425" s="31"/>
    </row>
    <row r="426" customFormat="false" ht="15" hidden="false" customHeight="true" outlineLevel="0" collapsed="false">
      <c r="A426" s="38" t="str">
        <f aca="false">IF($B426="","",ROW()-3)</f>
        <v/>
      </c>
      <c r="B426" s="31"/>
      <c r="C426" s="31"/>
      <c r="D426" s="31"/>
      <c r="E426" s="31"/>
      <c r="F426" s="32"/>
      <c r="G426" s="32"/>
      <c r="H426" s="31"/>
      <c r="I426" s="31"/>
      <c r="J426" s="33"/>
      <c r="K426" s="34"/>
      <c r="L426" s="34"/>
      <c r="M426" s="34"/>
      <c r="N426" s="39" t="str">
        <f aca="false">IF($K426="","",$K426-N($L426)-N($M426))</f>
        <v/>
      </c>
      <c r="O426" s="31"/>
      <c r="P426" s="31"/>
      <c r="Q426" s="31"/>
      <c r="R426" s="32"/>
      <c r="S426" s="32"/>
      <c r="T426" s="32"/>
      <c r="U426" s="32"/>
      <c r="V426" s="31"/>
      <c r="W426" s="40" t="str">
        <f aca="false">IF(OR($F426="",$J426=""),"",$F426+$J426)</f>
        <v/>
      </c>
      <c r="X426" s="32"/>
      <c r="Y426" s="34"/>
      <c r="Z426" s="31"/>
      <c r="AA426" s="31"/>
      <c r="AB426" s="32"/>
      <c r="AC426" s="31"/>
      <c r="AD426" s="32"/>
      <c r="AE426" s="31"/>
      <c r="AF426" s="41" t="str">
        <f aca="false">IF(OR($R426="",$S426=""),"",$S426-$R426)</f>
        <v/>
      </c>
      <c r="AG426" s="41" t="str">
        <f aca="false">IF(OR($S426="",$T426=""),"",$T426-$S426)</f>
        <v/>
      </c>
      <c r="AH426" s="41" t="str">
        <f aca="false">IF(OR($T426="",$U426=""),"",$U426-$T426)</f>
        <v/>
      </c>
      <c r="AI426" s="41" t="str">
        <f aca="false">IF(OR($R426="",$U426=""),"",$U426-$R426)</f>
        <v/>
      </c>
      <c r="AJ426" s="41" t="str">
        <f aca="false">IF(OR($U426="",$AB426=""),"",$AB426-$U426)</f>
        <v/>
      </c>
      <c r="AK426" s="41" t="str">
        <f aca="false">IF(OR($R426="",$AD426=""),"",$AD426-$R426)</f>
        <v/>
      </c>
      <c r="AL426" s="31"/>
      <c r="AM426" s="32"/>
      <c r="AN426" s="31"/>
    </row>
    <row r="427" customFormat="false" ht="15" hidden="false" customHeight="true" outlineLevel="0" collapsed="false">
      <c r="A427" s="38" t="str">
        <f aca="false">IF($B427="","",ROW()-3)</f>
        <v/>
      </c>
      <c r="B427" s="31"/>
      <c r="C427" s="31"/>
      <c r="D427" s="31"/>
      <c r="E427" s="31"/>
      <c r="F427" s="32"/>
      <c r="G427" s="32"/>
      <c r="H427" s="31"/>
      <c r="I427" s="31"/>
      <c r="J427" s="33"/>
      <c r="K427" s="34"/>
      <c r="L427" s="34"/>
      <c r="M427" s="34"/>
      <c r="N427" s="39" t="str">
        <f aca="false">IF($K427="","",$K427-N($L427)-N($M427))</f>
        <v/>
      </c>
      <c r="O427" s="31"/>
      <c r="P427" s="31"/>
      <c r="Q427" s="31"/>
      <c r="R427" s="32"/>
      <c r="S427" s="32"/>
      <c r="T427" s="32"/>
      <c r="U427" s="32"/>
      <c r="V427" s="31"/>
      <c r="W427" s="40" t="str">
        <f aca="false">IF(OR($F427="",$J427=""),"",$F427+$J427)</f>
        <v/>
      </c>
      <c r="X427" s="32"/>
      <c r="Y427" s="34"/>
      <c r="Z427" s="31"/>
      <c r="AA427" s="31"/>
      <c r="AB427" s="32"/>
      <c r="AC427" s="31"/>
      <c r="AD427" s="32"/>
      <c r="AE427" s="31"/>
      <c r="AF427" s="41" t="str">
        <f aca="false">IF(OR($R427="",$S427=""),"",$S427-$R427)</f>
        <v/>
      </c>
      <c r="AG427" s="41" t="str">
        <f aca="false">IF(OR($S427="",$T427=""),"",$T427-$S427)</f>
        <v/>
      </c>
      <c r="AH427" s="41" t="str">
        <f aca="false">IF(OR($T427="",$U427=""),"",$U427-$T427)</f>
        <v/>
      </c>
      <c r="AI427" s="41" t="str">
        <f aca="false">IF(OR($R427="",$U427=""),"",$U427-$R427)</f>
        <v/>
      </c>
      <c r="AJ427" s="41" t="str">
        <f aca="false">IF(OR($U427="",$AB427=""),"",$AB427-$U427)</f>
        <v/>
      </c>
      <c r="AK427" s="41" t="str">
        <f aca="false">IF(OR($R427="",$AD427=""),"",$AD427-$R427)</f>
        <v/>
      </c>
      <c r="AL427" s="31"/>
      <c r="AM427" s="32"/>
      <c r="AN427" s="31"/>
    </row>
    <row r="428" customFormat="false" ht="15" hidden="false" customHeight="true" outlineLevel="0" collapsed="false">
      <c r="A428" s="38" t="str">
        <f aca="false">IF($B428="","",ROW()-3)</f>
        <v/>
      </c>
      <c r="B428" s="31"/>
      <c r="C428" s="31"/>
      <c r="D428" s="31"/>
      <c r="E428" s="31"/>
      <c r="F428" s="32"/>
      <c r="G428" s="32"/>
      <c r="H428" s="31"/>
      <c r="I428" s="31"/>
      <c r="J428" s="33"/>
      <c r="K428" s="34"/>
      <c r="L428" s="34"/>
      <c r="M428" s="34"/>
      <c r="N428" s="39" t="str">
        <f aca="false">IF($K428="","",$K428-N($L428)-N($M428))</f>
        <v/>
      </c>
      <c r="O428" s="31"/>
      <c r="P428" s="31"/>
      <c r="Q428" s="31"/>
      <c r="R428" s="32"/>
      <c r="S428" s="32"/>
      <c r="T428" s="32"/>
      <c r="U428" s="32"/>
      <c r="V428" s="31"/>
      <c r="W428" s="40" t="str">
        <f aca="false">IF(OR($F428="",$J428=""),"",$F428+$J428)</f>
        <v/>
      </c>
      <c r="X428" s="32"/>
      <c r="Y428" s="34"/>
      <c r="Z428" s="31"/>
      <c r="AA428" s="31"/>
      <c r="AB428" s="32"/>
      <c r="AC428" s="31"/>
      <c r="AD428" s="32"/>
      <c r="AE428" s="31"/>
      <c r="AF428" s="41" t="str">
        <f aca="false">IF(OR($R428="",$S428=""),"",$S428-$R428)</f>
        <v/>
      </c>
      <c r="AG428" s="41" t="str">
        <f aca="false">IF(OR($S428="",$T428=""),"",$T428-$S428)</f>
        <v/>
      </c>
      <c r="AH428" s="41" t="str">
        <f aca="false">IF(OR($T428="",$U428=""),"",$U428-$T428)</f>
        <v/>
      </c>
      <c r="AI428" s="41" t="str">
        <f aca="false">IF(OR($R428="",$U428=""),"",$U428-$R428)</f>
        <v/>
      </c>
      <c r="AJ428" s="41" t="str">
        <f aca="false">IF(OR($U428="",$AB428=""),"",$AB428-$U428)</f>
        <v/>
      </c>
      <c r="AK428" s="41" t="str">
        <f aca="false">IF(OR($R428="",$AD428=""),"",$AD428-$R428)</f>
        <v/>
      </c>
      <c r="AL428" s="31"/>
      <c r="AM428" s="32"/>
      <c r="AN428" s="31"/>
    </row>
    <row r="429" customFormat="false" ht="15" hidden="false" customHeight="true" outlineLevel="0" collapsed="false">
      <c r="A429" s="38" t="str">
        <f aca="false">IF($B429="","",ROW()-3)</f>
        <v/>
      </c>
      <c r="B429" s="31"/>
      <c r="C429" s="31"/>
      <c r="D429" s="31"/>
      <c r="E429" s="31"/>
      <c r="F429" s="32"/>
      <c r="G429" s="32"/>
      <c r="H429" s="31"/>
      <c r="I429" s="31"/>
      <c r="J429" s="33"/>
      <c r="K429" s="34"/>
      <c r="L429" s="34"/>
      <c r="M429" s="34"/>
      <c r="N429" s="39" t="str">
        <f aca="false">IF($K429="","",$K429-N($L429)-N($M429))</f>
        <v/>
      </c>
      <c r="O429" s="31"/>
      <c r="P429" s="31"/>
      <c r="Q429" s="31"/>
      <c r="R429" s="32"/>
      <c r="S429" s="32"/>
      <c r="T429" s="32"/>
      <c r="U429" s="32"/>
      <c r="V429" s="31"/>
      <c r="W429" s="40" t="str">
        <f aca="false">IF(OR($F429="",$J429=""),"",$F429+$J429)</f>
        <v/>
      </c>
      <c r="X429" s="32"/>
      <c r="Y429" s="34"/>
      <c r="Z429" s="31"/>
      <c r="AA429" s="31"/>
      <c r="AB429" s="32"/>
      <c r="AC429" s="31"/>
      <c r="AD429" s="32"/>
      <c r="AE429" s="31"/>
      <c r="AF429" s="41" t="str">
        <f aca="false">IF(OR($R429="",$S429=""),"",$S429-$R429)</f>
        <v/>
      </c>
      <c r="AG429" s="41" t="str">
        <f aca="false">IF(OR($S429="",$T429=""),"",$T429-$S429)</f>
        <v/>
      </c>
      <c r="AH429" s="41" t="str">
        <f aca="false">IF(OR($T429="",$U429=""),"",$U429-$T429)</f>
        <v/>
      </c>
      <c r="AI429" s="41" t="str">
        <f aca="false">IF(OR($R429="",$U429=""),"",$U429-$R429)</f>
        <v/>
      </c>
      <c r="AJ429" s="41" t="str">
        <f aca="false">IF(OR($U429="",$AB429=""),"",$AB429-$U429)</f>
        <v/>
      </c>
      <c r="AK429" s="41" t="str">
        <f aca="false">IF(OR($R429="",$AD429=""),"",$AD429-$R429)</f>
        <v/>
      </c>
      <c r="AL429" s="31"/>
      <c r="AM429" s="32"/>
      <c r="AN429" s="31"/>
    </row>
    <row r="430" customFormat="false" ht="15" hidden="false" customHeight="true" outlineLevel="0" collapsed="false">
      <c r="A430" s="38" t="str">
        <f aca="false">IF($B430="","",ROW()-3)</f>
        <v/>
      </c>
      <c r="B430" s="31"/>
      <c r="C430" s="31"/>
      <c r="D430" s="31"/>
      <c r="E430" s="31"/>
      <c r="F430" s="32"/>
      <c r="G430" s="32"/>
      <c r="H430" s="31"/>
      <c r="I430" s="31"/>
      <c r="J430" s="33"/>
      <c r="K430" s="34"/>
      <c r="L430" s="34"/>
      <c r="M430" s="34"/>
      <c r="N430" s="39" t="str">
        <f aca="false">IF($K430="","",$K430-N($L430)-N($M430))</f>
        <v/>
      </c>
      <c r="O430" s="31"/>
      <c r="P430" s="31"/>
      <c r="Q430" s="31"/>
      <c r="R430" s="32"/>
      <c r="S430" s="32"/>
      <c r="T430" s="32"/>
      <c r="U430" s="32"/>
      <c r="V430" s="31"/>
      <c r="W430" s="40" t="str">
        <f aca="false">IF(OR($F430="",$J430=""),"",$F430+$J430)</f>
        <v/>
      </c>
      <c r="X430" s="32"/>
      <c r="Y430" s="34"/>
      <c r="Z430" s="31"/>
      <c r="AA430" s="31"/>
      <c r="AB430" s="32"/>
      <c r="AC430" s="31"/>
      <c r="AD430" s="32"/>
      <c r="AE430" s="31"/>
      <c r="AF430" s="41" t="str">
        <f aca="false">IF(OR($R430="",$S430=""),"",$S430-$R430)</f>
        <v/>
      </c>
      <c r="AG430" s="41" t="str">
        <f aca="false">IF(OR($S430="",$T430=""),"",$T430-$S430)</f>
        <v/>
      </c>
      <c r="AH430" s="41" t="str">
        <f aca="false">IF(OR($T430="",$U430=""),"",$U430-$T430)</f>
        <v/>
      </c>
      <c r="AI430" s="41" t="str">
        <f aca="false">IF(OR($R430="",$U430=""),"",$U430-$R430)</f>
        <v/>
      </c>
      <c r="AJ430" s="41" t="str">
        <f aca="false">IF(OR($U430="",$AB430=""),"",$AB430-$U430)</f>
        <v/>
      </c>
      <c r="AK430" s="41" t="str">
        <f aca="false">IF(OR($R430="",$AD430=""),"",$AD430-$R430)</f>
        <v/>
      </c>
      <c r="AL430" s="31"/>
      <c r="AM430" s="32"/>
      <c r="AN430" s="31"/>
    </row>
    <row r="431" customFormat="false" ht="15" hidden="false" customHeight="true" outlineLevel="0" collapsed="false">
      <c r="A431" s="38" t="str">
        <f aca="false">IF($B431="","",ROW()-3)</f>
        <v/>
      </c>
      <c r="B431" s="31"/>
      <c r="C431" s="31"/>
      <c r="D431" s="31"/>
      <c r="E431" s="31"/>
      <c r="F431" s="32"/>
      <c r="G431" s="32"/>
      <c r="H431" s="31"/>
      <c r="I431" s="31"/>
      <c r="J431" s="33"/>
      <c r="K431" s="34"/>
      <c r="L431" s="34"/>
      <c r="M431" s="34"/>
      <c r="N431" s="39" t="str">
        <f aca="false">IF($K431="","",$K431-N($L431)-N($M431))</f>
        <v/>
      </c>
      <c r="O431" s="31"/>
      <c r="P431" s="31"/>
      <c r="Q431" s="31"/>
      <c r="R431" s="32"/>
      <c r="S431" s="32"/>
      <c r="T431" s="32"/>
      <c r="U431" s="32"/>
      <c r="V431" s="31"/>
      <c r="W431" s="40" t="str">
        <f aca="false">IF(OR($F431="",$J431=""),"",$F431+$J431)</f>
        <v/>
      </c>
      <c r="X431" s="32"/>
      <c r="Y431" s="34"/>
      <c r="Z431" s="31"/>
      <c r="AA431" s="31"/>
      <c r="AB431" s="32"/>
      <c r="AC431" s="31"/>
      <c r="AD431" s="32"/>
      <c r="AE431" s="31"/>
      <c r="AF431" s="41" t="str">
        <f aca="false">IF(OR($R431="",$S431=""),"",$S431-$R431)</f>
        <v/>
      </c>
      <c r="AG431" s="41" t="str">
        <f aca="false">IF(OR($S431="",$T431=""),"",$T431-$S431)</f>
        <v/>
      </c>
      <c r="AH431" s="41" t="str">
        <f aca="false">IF(OR($T431="",$U431=""),"",$U431-$T431)</f>
        <v/>
      </c>
      <c r="AI431" s="41" t="str">
        <f aca="false">IF(OR($R431="",$U431=""),"",$U431-$R431)</f>
        <v/>
      </c>
      <c r="AJ431" s="41" t="str">
        <f aca="false">IF(OR($U431="",$AB431=""),"",$AB431-$U431)</f>
        <v/>
      </c>
      <c r="AK431" s="41" t="str">
        <f aca="false">IF(OR($R431="",$AD431=""),"",$AD431-$R431)</f>
        <v/>
      </c>
      <c r="AL431" s="31"/>
      <c r="AM431" s="32"/>
      <c r="AN431" s="31"/>
    </row>
    <row r="432" customFormat="false" ht="15" hidden="false" customHeight="true" outlineLevel="0" collapsed="false">
      <c r="A432" s="38" t="str">
        <f aca="false">IF($B432="","",ROW()-3)</f>
        <v/>
      </c>
      <c r="B432" s="31"/>
      <c r="C432" s="31"/>
      <c r="D432" s="31"/>
      <c r="E432" s="31"/>
      <c r="F432" s="32"/>
      <c r="G432" s="32"/>
      <c r="H432" s="31"/>
      <c r="I432" s="31"/>
      <c r="J432" s="33"/>
      <c r="K432" s="34"/>
      <c r="L432" s="34"/>
      <c r="M432" s="34"/>
      <c r="N432" s="39" t="str">
        <f aca="false">IF($K432="","",$K432-N($L432)-N($M432))</f>
        <v/>
      </c>
      <c r="O432" s="31"/>
      <c r="P432" s="31"/>
      <c r="Q432" s="31"/>
      <c r="R432" s="32"/>
      <c r="S432" s="32"/>
      <c r="T432" s="32"/>
      <c r="U432" s="32"/>
      <c r="V432" s="31"/>
      <c r="W432" s="40" t="str">
        <f aca="false">IF(OR($F432="",$J432=""),"",$F432+$J432)</f>
        <v/>
      </c>
      <c r="X432" s="32"/>
      <c r="Y432" s="34"/>
      <c r="Z432" s="31"/>
      <c r="AA432" s="31"/>
      <c r="AB432" s="32"/>
      <c r="AC432" s="31"/>
      <c r="AD432" s="32"/>
      <c r="AE432" s="31"/>
      <c r="AF432" s="41" t="str">
        <f aca="false">IF(OR($R432="",$S432=""),"",$S432-$R432)</f>
        <v/>
      </c>
      <c r="AG432" s="41" t="str">
        <f aca="false">IF(OR($S432="",$T432=""),"",$T432-$S432)</f>
        <v/>
      </c>
      <c r="AH432" s="41" t="str">
        <f aca="false">IF(OR($T432="",$U432=""),"",$U432-$T432)</f>
        <v/>
      </c>
      <c r="AI432" s="41" t="str">
        <f aca="false">IF(OR($R432="",$U432=""),"",$U432-$R432)</f>
        <v/>
      </c>
      <c r="AJ432" s="41" t="str">
        <f aca="false">IF(OR($U432="",$AB432=""),"",$AB432-$U432)</f>
        <v/>
      </c>
      <c r="AK432" s="41" t="str">
        <f aca="false">IF(OR($R432="",$AD432=""),"",$AD432-$R432)</f>
        <v/>
      </c>
      <c r="AL432" s="31"/>
      <c r="AM432" s="32"/>
      <c r="AN432" s="31"/>
    </row>
    <row r="433" customFormat="false" ht="15" hidden="false" customHeight="true" outlineLevel="0" collapsed="false">
      <c r="A433" s="38" t="str">
        <f aca="false">IF($B433="","",ROW()-3)</f>
        <v/>
      </c>
      <c r="B433" s="31"/>
      <c r="C433" s="31"/>
      <c r="D433" s="31"/>
      <c r="E433" s="31"/>
      <c r="F433" s="32"/>
      <c r="G433" s="32"/>
      <c r="H433" s="31"/>
      <c r="I433" s="31"/>
      <c r="J433" s="33"/>
      <c r="K433" s="34"/>
      <c r="L433" s="34"/>
      <c r="M433" s="34"/>
      <c r="N433" s="39" t="str">
        <f aca="false">IF($K433="","",$K433-N($L433)-N($M433))</f>
        <v/>
      </c>
      <c r="O433" s="31"/>
      <c r="P433" s="31"/>
      <c r="Q433" s="31"/>
      <c r="R433" s="32"/>
      <c r="S433" s="32"/>
      <c r="T433" s="32"/>
      <c r="U433" s="32"/>
      <c r="V433" s="31"/>
      <c r="W433" s="40" t="str">
        <f aca="false">IF(OR($F433="",$J433=""),"",$F433+$J433)</f>
        <v/>
      </c>
      <c r="X433" s="32"/>
      <c r="Y433" s="34"/>
      <c r="Z433" s="31"/>
      <c r="AA433" s="31"/>
      <c r="AB433" s="32"/>
      <c r="AC433" s="31"/>
      <c r="AD433" s="32"/>
      <c r="AE433" s="31"/>
      <c r="AF433" s="41" t="str">
        <f aca="false">IF(OR($R433="",$S433=""),"",$S433-$R433)</f>
        <v/>
      </c>
      <c r="AG433" s="41" t="str">
        <f aca="false">IF(OR($S433="",$T433=""),"",$T433-$S433)</f>
        <v/>
      </c>
      <c r="AH433" s="41" t="str">
        <f aca="false">IF(OR($T433="",$U433=""),"",$U433-$T433)</f>
        <v/>
      </c>
      <c r="AI433" s="41" t="str">
        <f aca="false">IF(OR($R433="",$U433=""),"",$U433-$R433)</f>
        <v/>
      </c>
      <c r="AJ433" s="41" t="str">
        <f aca="false">IF(OR($U433="",$AB433=""),"",$AB433-$U433)</f>
        <v/>
      </c>
      <c r="AK433" s="41" t="str">
        <f aca="false">IF(OR($R433="",$AD433=""),"",$AD433-$R433)</f>
        <v/>
      </c>
      <c r="AL433" s="31"/>
      <c r="AM433" s="32"/>
      <c r="AN433" s="31"/>
    </row>
    <row r="434" customFormat="false" ht="15" hidden="false" customHeight="true" outlineLevel="0" collapsed="false">
      <c r="A434" s="38" t="str">
        <f aca="false">IF($B434="","",ROW()-3)</f>
        <v/>
      </c>
      <c r="B434" s="31"/>
      <c r="C434" s="31"/>
      <c r="D434" s="31"/>
      <c r="E434" s="31"/>
      <c r="F434" s="32"/>
      <c r="G434" s="32"/>
      <c r="H434" s="31"/>
      <c r="I434" s="31"/>
      <c r="J434" s="33"/>
      <c r="K434" s="34"/>
      <c r="L434" s="34"/>
      <c r="M434" s="34"/>
      <c r="N434" s="39" t="str">
        <f aca="false">IF($K434="","",$K434-N($L434)-N($M434))</f>
        <v/>
      </c>
      <c r="O434" s="31"/>
      <c r="P434" s="31"/>
      <c r="Q434" s="31"/>
      <c r="R434" s="32"/>
      <c r="S434" s="32"/>
      <c r="T434" s="32"/>
      <c r="U434" s="32"/>
      <c r="V434" s="31"/>
      <c r="W434" s="40" t="str">
        <f aca="false">IF(OR($F434="",$J434=""),"",$F434+$J434)</f>
        <v/>
      </c>
      <c r="X434" s="32"/>
      <c r="Y434" s="34"/>
      <c r="Z434" s="31"/>
      <c r="AA434" s="31"/>
      <c r="AB434" s="32"/>
      <c r="AC434" s="31"/>
      <c r="AD434" s="32"/>
      <c r="AE434" s="31"/>
      <c r="AF434" s="41" t="str">
        <f aca="false">IF(OR($R434="",$S434=""),"",$S434-$R434)</f>
        <v/>
      </c>
      <c r="AG434" s="41" t="str">
        <f aca="false">IF(OR($S434="",$T434=""),"",$T434-$S434)</f>
        <v/>
      </c>
      <c r="AH434" s="41" t="str">
        <f aca="false">IF(OR($T434="",$U434=""),"",$U434-$T434)</f>
        <v/>
      </c>
      <c r="AI434" s="41" t="str">
        <f aca="false">IF(OR($R434="",$U434=""),"",$U434-$R434)</f>
        <v/>
      </c>
      <c r="AJ434" s="41" t="str">
        <f aca="false">IF(OR($U434="",$AB434=""),"",$AB434-$U434)</f>
        <v/>
      </c>
      <c r="AK434" s="41" t="str">
        <f aca="false">IF(OR($R434="",$AD434=""),"",$AD434-$R434)</f>
        <v/>
      </c>
      <c r="AL434" s="31"/>
      <c r="AM434" s="32"/>
      <c r="AN434" s="31"/>
    </row>
    <row r="435" customFormat="false" ht="15" hidden="false" customHeight="true" outlineLevel="0" collapsed="false">
      <c r="A435" s="38" t="str">
        <f aca="false">IF($B435="","",ROW()-3)</f>
        <v/>
      </c>
      <c r="B435" s="31"/>
      <c r="C435" s="31"/>
      <c r="D435" s="31"/>
      <c r="E435" s="31"/>
      <c r="F435" s="32"/>
      <c r="G435" s="32"/>
      <c r="H435" s="31"/>
      <c r="I435" s="31"/>
      <c r="J435" s="33"/>
      <c r="K435" s="34"/>
      <c r="L435" s="34"/>
      <c r="M435" s="34"/>
      <c r="N435" s="39" t="str">
        <f aca="false">IF($K435="","",$K435-N($L435)-N($M435))</f>
        <v/>
      </c>
      <c r="O435" s="31"/>
      <c r="P435" s="31"/>
      <c r="Q435" s="31"/>
      <c r="R435" s="32"/>
      <c r="S435" s="32"/>
      <c r="T435" s="32"/>
      <c r="U435" s="32"/>
      <c r="V435" s="31"/>
      <c r="W435" s="40" t="str">
        <f aca="false">IF(OR($F435="",$J435=""),"",$F435+$J435)</f>
        <v/>
      </c>
      <c r="X435" s="32"/>
      <c r="Y435" s="34"/>
      <c r="Z435" s="31"/>
      <c r="AA435" s="31"/>
      <c r="AB435" s="32"/>
      <c r="AC435" s="31"/>
      <c r="AD435" s="32"/>
      <c r="AE435" s="31"/>
      <c r="AF435" s="41" t="str">
        <f aca="false">IF(OR($R435="",$S435=""),"",$S435-$R435)</f>
        <v/>
      </c>
      <c r="AG435" s="41" t="str">
        <f aca="false">IF(OR($S435="",$T435=""),"",$T435-$S435)</f>
        <v/>
      </c>
      <c r="AH435" s="41" t="str">
        <f aca="false">IF(OR($T435="",$U435=""),"",$U435-$T435)</f>
        <v/>
      </c>
      <c r="AI435" s="41" t="str">
        <f aca="false">IF(OR($R435="",$U435=""),"",$U435-$R435)</f>
        <v/>
      </c>
      <c r="AJ435" s="41" t="str">
        <f aca="false">IF(OR($U435="",$AB435=""),"",$AB435-$U435)</f>
        <v/>
      </c>
      <c r="AK435" s="41" t="str">
        <f aca="false">IF(OR($R435="",$AD435=""),"",$AD435-$R435)</f>
        <v/>
      </c>
      <c r="AL435" s="31"/>
      <c r="AM435" s="32"/>
      <c r="AN435" s="31"/>
    </row>
    <row r="436" customFormat="false" ht="15" hidden="false" customHeight="true" outlineLevel="0" collapsed="false">
      <c r="A436" s="38" t="str">
        <f aca="false">IF($B436="","",ROW()-3)</f>
        <v/>
      </c>
      <c r="B436" s="31"/>
      <c r="C436" s="31"/>
      <c r="D436" s="31"/>
      <c r="E436" s="31"/>
      <c r="F436" s="32"/>
      <c r="G436" s="32"/>
      <c r="H436" s="31"/>
      <c r="I436" s="31"/>
      <c r="J436" s="33"/>
      <c r="K436" s="34"/>
      <c r="L436" s="34"/>
      <c r="M436" s="34"/>
      <c r="N436" s="39" t="str">
        <f aca="false">IF($K436="","",$K436-N($L436)-N($M436))</f>
        <v/>
      </c>
      <c r="O436" s="31"/>
      <c r="P436" s="31"/>
      <c r="Q436" s="31"/>
      <c r="R436" s="32"/>
      <c r="S436" s="32"/>
      <c r="T436" s="32"/>
      <c r="U436" s="32"/>
      <c r="V436" s="31"/>
      <c r="W436" s="40" t="str">
        <f aca="false">IF(OR($F436="",$J436=""),"",$F436+$J436)</f>
        <v/>
      </c>
      <c r="X436" s="32"/>
      <c r="Y436" s="34"/>
      <c r="Z436" s="31"/>
      <c r="AA436" s="31"/>
      <c r="AB436" s="32"/>
      <c r="AC436" s="31"/>
      <c r="AD436" s="32"/>
      <c r="AE436" s="31"/>
      <c r="AF436" s="41" t="str">
        <f aca="false">IF(OR($R436="",$S436=""),"",$S436-$R436)</f>
        <v/>
      </c>
      <c r="AG436" s="41" t="str">
        <f aca="false">IF(OR($S436="",$T436=""),"",$T436-$S436)</f>
        <v/>
      </c>
      <c r="AH436" s="41" t="str">
        <f aca="false">IF(OR($T436="",$U436=""),"",$U436-$T436)</f>
        <v/>
      </c>
      <c r="AI436" s="41" t="str">
        <f aca="false">IF(OR($R436="",$U436=""),"",$U436-$R436)</f>
        <v/>
      </c>
      <c r="AJ436" s="41" t="str">
        <f aca="false">IF(OR($U436="",$AB436=""),"",$AB436-$U436)</f>
        <v/>
      </c>
      <c r="AK436" s="41" t="str">
        <f aca="false">IF(OR($R436="",$AD436=""),"",$AD436-$R436)</f>
        <v/>
      </c>
      <c r="AL436" s="31"/>
      <c r="AM436" s="32"/>
      <c r="AN436" s="31"/>
    </row>
    <row r="437" customFormat="false" ht="15" hidden="false" customHeight="true" outlineLevel="0" collapsed="false">
      <c r="A437" s="38" t="str">
        <f aca="false">IF($B437="","",ROW()-3)</f>
        <v/>
      </c>
      <c r="B437" s="31"/>
      <c r="C437" s="31"/>
      <c r="D437" s="31"/>
      <c r="E437" s="31"/>
      <c r="F437" s="32"/>
      <c r="G437" s="32"/>
      <c r="H437" s="31"/>
      <c r="I437" s="31"/>
      <c r="J437" s="33"/>
      <c r="K437" s="34"/>
      <c r="L437" s="34"/>
      <c r="M437" s="34"/>
      <c r="N437" s="39" t="str">
        <f aca="false">IF($K437="","",$K437-N($L437)-N($M437))</f>
        <v/>
      </c>
      <c r="O437" s="31"/>
      <c r="P437" s="31"/>
      <c r="Q437" s="31"/>
      <c r="R437" s="32"/>
      <c r="S437" s="32"/>
      <c r="T437" s="32"/>
      <c r="U437" s="32"/>
      <c r="V437" s="31"/>
      <c r="W437" s="40" t="str">
        <f aca="false">IF(OR($F437="",$J437=""),"",$F437+$J437)</f>
        <v/>
      </c>
      <c r="X437" s="32"/>
      <c r="Y437" s="34"/>
      <c r="Z437" s="31"/>
      <c r="AA437" s="31"/>
      <c r="AB437" s="32"/>
      <c r="AC437" s="31"/>
      <c r="AD437" s="32"/>
      <c r="AE437" s="31"/>
      <c r="AF437" s="41" t="str">
        <f aca="false">IF(OR($R437="",$S437=""),"",$S437-$R437)</f>
        <v/>
      </c>
      <c r="AG437" s="41" t="str">
        <f aca="false">IF(OR($S437="",$T437=""),"",$T437-$S437)</f>
        <v/>
      </c>
      <c r="AH437" s="41" t="str">
        <f aca="false">IF(OR($T437="",$U437=""),"",$U437-$T437)</f>
        <v/>
      </c>
      <c r="AI437" s="41" t="str">
        <f aca="false">IF(OR($R437="",$U437=""),"",$U437-$R437)</f>
        <v/>
      </c>
      <c r="AJ437" s="41" t="str">
        <f aca="false">IF(OR($U437="",$AB437=""),"",$AB437-$U437)</f>
        <v/>
      </c>
      <c r="AK437" s="41" t="str">
        <f aca="false">IF(OR($R437="",$AD437=""),"",$AD437-$R437)</f>
        <v/>
      </c>
      <c r="AL437" s="31"/>
      <c r="AM437" s="32"/>
      <c r="AN437" s="31"/>
    </row>
    <row r="438" customFormat="false" ht="15" hidden="false" customHeight="true" outlineLevel="0" collapsed="false">
      <c r="A438" s="38" t="str">
        <f aca="false">IF($B438="","",ROW()-3)</f>
        <v/>
      </c>
      <c r="B438" s="31"/>
      <c r="C438" s="31"/>
      <c r="D438" s="31"/>
      <c r="E438" s="31"/>
      <c r="F438" s="32"/>
      <c r="G438" s="32"/>
      <c r="H438" s="31"/>
      <c r="I438" s="31"/>
      <c r="J438" s="33"/>
      <c r="K438" s="34"/>
      <c r="L438" s="34"/>
      <c r="M438" s="34"/>
      <c r="N438" s="39" t="str">
        <f aca="false">IF($K438="","",$K438-N($L438)-N($M438))</f>
        <v/>
      </c>
      <c r="O438" s="31"/>
      <c r="P438" s="31"/>
      <c r="Q438" s="31"/>
      <c r="R438" s="32"/>
      <c r="S438" s="32"/>
      <c r="T438" s="32"/>
      <c r="U438" s="32"/>
      <c r="V438" s="31"/>
      <c r="W438" s="40" t="str">
        <f aca="false">IF(OR($F438="",$J438=""),"",$F438+$J438)</f>
        <v/>
      </c>
      <c r="X438" s="32"/>
      <c r="Y438" s="34"/>
      <c r="Z438" s="31"/>
      <c r="AA438" s="31"/>
      <c r="AB438" s="32"/>
      <c r="AC438" s="31"/>
      <c r="AD438" s="32"/>
      <c r="AE438" s="31"/>
      <c r="AF438" s="41" t="str">
        <f aca="false">IF(OR($R438="",$S438=""),"",$S438-$R438)</f>
        <v/>
      </c>
      <c r="AG438" s="41" t="str">
        <f aca="false">IF(OR($S438="",$T438=""),"",$T438-$S438)</f>
        <v/>
      </c>
      <c r="AH438" s="41" t="str">
        <f aca="false">IF(OR($T438="",$U438=""),"",$U438-$T438)</f>
        <v/>
      </c>
      <c r="AI438" s="41" t="str">
        <f aca="false">IF(OR($R438="",$U438=""),"",$U438-$R438)</f>
        <v/>
      </c>
      <c r="AJ438" s="41" t="str">
        <f aca="false">IF(OR($U438="",$AB438=""),"",$AB438-$U438)</f>
        <v/>
      </c>
      <c r="AK438" s="41" t="str">
        <f aca="false">IF(OR($R438="",$AD438=""),"",$AD438-$R438)</f>
        <v/>
      </c>
      <c r="AL438" s="31"/>
      <c r="AM438" s="32"/>
      <c r="AN438" s="31"/>
    </row>
    <row r="439" customFormat="false" ht="15" hidden="false" customHeight="true" outlineLevel="0" collapsed="false">
      <c r="A439" s="38" t="str">
        <f aca="false">IF($B439="","",ROW()-3)</f>
        <v/>
      </c>
      <c r="B439" s="31"/>
      <c r="C439" s="31"/>
      <c r="D439" s="31"/>
      <c r="E439" s="31"/>
      <c r="F439" s="32"/>
      <c r="G439" s="32"/>
      <c r="H439" s="31"/>
      <c r="I439" s="31"/>
      <c r="J439" s="33"/>
      <c r="K439" s="34"/>
      <c r="L439" s="34"/>
      <c r="M439" s="34"/>
      <c r="N439" s="39" t="str">
        <f aca="false">IF($K439="","",$K439-N($L439)-N($M439))</f>
        <v/>
      </c>
      <c r="O439" s="31"/>
      <c r="P439" s="31"/>
      <c r="Q439" s="31"/>
      <c r="R439" s="32"/>
      <c r="S439" s="32"/>
      <c r="T439" s="32"/>
      <c r="U439" s="32"/>
      <c r="V439" s="31"/>
      <c r="W439" s="40" t="str">
        <f aca="false">IF(OR($F439="",$J439=""),"",$F439+$J439)</f>
        <v/>
      </c>
      <c r="X439" s="32"/>
      <c r="Y439" s="34"/>
      <c r="Z439" s="31"/>
      <c r="AA439" s="31"/>
      <c r="AB439" s="32"/>
      <c r="AC439" s="31"/>
      <c r="AD439" s="32"/>
      <c r="AE439" s="31"/>
      <c r="AF439" s="41" t="str">
        <f aca="false">IF(OR($R439="",$S439=""),"",$S439-$R439)</f>
        <v/>
      </c>
      <c r="AG439" s="41" t="str">
        <f aca="false">IF(OR($S439="",$T439=""),"",$T439-$S439)</f>
        <v/>
      </c>
      <c r="AH439" s="41" t="str">
        <f aca="false">IF(OR($T439="",$U439=""),"",$U439-$T439)</f>
        <v/>
      </c>
      <c r="AI439" s="41" t="str">
        <f aca="false">IF(OR($R439="",$U439=""),"",$U439-$R439)</f>
        <v/>
      </c>
      <c r="AJ439" s="41" t="str">
        <f aca="false">IF(OR($U439="",$AB439=""),"",$AB439-$U439)</f>
        <v/>
      </c>
      <c r="AK439" s="41" t="str">
        <f aca="false">IF(OR($R439="",$AD439=""),"",$AD439-$R439)</f>
        <v/>
      </c>
      <c r="AL439" s="31"/>
      <c r="AM439" s="32"/>
      <c r="AN439" s="31"/>
    </row>
    <row r="440" customFormat="false" ht="15" hidden="false" customHeight="true" outlineLevel="0" collapsed="false">
      <c r="A440" s="38" t="str">
        <f aca="false">IF($B440="","",ROW()-3)</f>
        <v/>
      </c>
      <c r="B440" s="31"/>
      <c r="C440" s="31"/>
      <c r="D440" s="31"/>
      <c r="E440" s="31"/>
      <c r="F440" s="32"/>
      <c r="G440" s="32"/>
      <c r="H440" s="31"/>
      <c r="I440" s="31"/>
      <c r="J440" s="33"/>
      <c r="K440" s="34"/>
      <c r="L440" s="34"/>
      <c r="M440" s="34"/>
      <c r="N440" s="39" t="str">
        <f aca="false">IF($K440="","",$K440-N($L440)-N($M440))</f>
        <v/>
      </c>
      <c r="O440" s="31"/>
      <c r="P440" s="31"/>
      <c r="Q440" s="31"/>
      <c r="R440" s="32"/>
      <c r="S440" s="32"/>
      <c r="T440" s="32"/>
      <c r="U440" s="32"/>
      <c r="V440" s="31"/>
      <c r="W440" s="40" t="str">
        <f aca="false">IF(OR($F440="",$J440=""),"",$F440+$J440)</f>
        <v/>
      </c>
      <c r="X440" s="32"/>
      <c r="Y440" s="34"/>
      <c r="Z440" s="31"/>
      <c r="AA440" s="31"/>
      <c r="AB440" s="32"/>
      <c r="AC440" s="31"/>
      <c r="AD440" s="32"/>
      <c r="AE440" s="31"/>
      <c r="AF440" s="41" t="str">
        <f aca="false">IF(OR($R440="",$S440=""),"",$S440-$R440)</f>
        <v/>
      </c>
      <c r="AG440" s="41" t="str">
        <f aca="false">IF(OR($S440="",$T440=""),"",$T440-$S440)</f>
        <v/>
      </c>
      <c r="AH440" s="41" t="str">
        <f aca="false">IF(OR($T440="",$U440=""),"",$U440-$T440)</f>
        <v/>
      </c>
      <c r="AI440" s="41" t="str">
        <f aca="false">IF(OR($R440="",$U440=""),"",$U440-$R440)</f>
        <v/>
      </c>
      <c r="AJ440" s="41" t="str">
        <f aca="false">IF(OR($U440="",$AB440=""),"",$AB440-$U440)</f>
        <v/>
      </c>
      <c r="AK440" s="41" t="str">
        <f aca="false">IF(OR($R440="",$AD440=""),"",$AD440-$R440)</f>
        <v/>
      </c>
      <c r="AL440" s="31"/>
      <c r="AM440" s="32"/>
      <c r="AN440" s="31"/>
    </row>
    <row r="441" customFormat="false" ht="15" hidden="false" customHeight="true" outlineLevel="0" collapsed="false">
      <c r="A441" s="38" t="str">
        <f aca="false">IF($B441="","",ROW()-3)</f>
        <v/>
      </c>
      <c r="B441" s="31"/>
      <c r="C441" s="31"/>
      <c r="D441" s="31"/>
      <c r="E441" s="31"/>
      <c r="F441" s="32"/>
      <c r="G441" s="32"/>
      <c r="H441" s="31"/>
      <c r="I441" s="31"/>
      <c r="J441" s="33"/>
      <c r="K441" s="34"/>
      <c r="L441" s="34"/>
      <c r="M441" s="34"/>
      <c r="N441" s="39" t="str">
        <f aca="false">IF($K441="","",$K441-N($L441)-N($M441))</f>
        <v/>
      </c>
      <c r="O441" s="31"/>
      <c r="P441" s="31"/>
      <c r="Q441" s="31"/>
      <c r="R441" s="32"/>
      <c r="S441" s="32"/>
      <c r="T441" s="32"/>
      <c r="U441" s="32"/>
      <c r="V441" s="31"/>
      <c r="W441" s="40" t="str">
        <f aca="false">IF(OR($F441="",$J441=""),"",$F441+$J441)</f>
        <v/>
      </c>
      <c r="X441" s="32"/>
      <c r="Y441" s="34"/>
      <c r="Z441" s="31"/>
      <c r="AA441" s="31"/>
      <c r="AB441" s="32"/>
      <c r="AC441" s="31"/>
      <c r="AD441" s="32"/>
      <c r="AE441" s="31"/>
      <c r="AF441" s="41" t="str">
        <f aca="false">IF(OR($R441="",$S441=""),"",$S441-$R441)</f>
        <v/>
      </c>
      <c r="AG441" s="41" t="str">
        <f aca="false">IF(OR($S441="",$T441=""),"",$T441-$S441)</f>
        <v/>
      </c>
      <c r="AH441" s="41" t="str">
        <f aca="false">IF(OR($T441="",$U441=""),"",$U441-$T441)</f>
        <v/>
      </c>
      <c r="AI441" s="41" t="str">
        <f aca="false">IF(OR($R441="",$U441=""),"",$U441-$R441)</f>
        <v/>
      </c>
      <c r="AJ441" s="41" t="str">
        <f aca="false">IF(OR($U441="",$AB441=""),"",$AB441-$U441)</f>
        <v/>
      </c>
      <c r="AK441" s="41" t="str">
        <f aca="false">IF(OR($R441="",$AD441=""),"",$AD441-$R441)</f>
        <v/>
      </c>
      <c r="AL441" s="31"/>
      <c r="AM441" s="32"/>
      <c r="AN441" s="31"/>
    </row>
    <row r="442" customFormat="false" ht="15" hidden="false" customHeight="true" outlineLevel="0" collapsed="false">
      <c r="A442" s="38" t="str">
        <f aca="false">IF($B442="","",ROW()-3)</f>
        <v/>
      </c>
      <c r="B442" s="31"/>
      <c r="C442" s="31"/>
      <c r="D442" s="31"/>
      <c r="E442" s="31"/>
      <c r="F442" s="32"/>
      <c r="G442" s="32"/>
      <c r="H442" s="31"/>
      <c r="I442" s="31"/>
      <c r="J442" s="33"/>
      <c r="K442" s="34"/>
      <c r="L442" s="34"/>
      <c r="M442" s="34"/>
      <c r="N442" s="39" t="str">
        <f aca="false">IF($K442="","",$K442-N($L442)-N($M442))</f>
        <v/>
      </c>
      <c r="O442" s="31"/>
      <c r="P442" s="31"/>
      <c r="Q442" s="31"/>
      <c r="R442" s="32"/>
      <c r="S442" s="32"/>
      <c r="T442" s="32"/>
      <c r="U442" s="32"/>
      <c r="V442" s="31"/>
      <c r="W442" s="40" t="str">
        <f aca="false">IF(OR($F442="",$J442=""),"",$F442+$J442)</f>
        <v/>
      </c>
      <c r="X442" s="32"/>
      <c r="Y442" s="34"/>
      <c r="Z442" s="31"/>
      <c r="AA442" s="31"/>
      <c r="AB442" s="32"/>
      <c r="AC442" s="31"/>
      <c r="AD442" s="32"/>
      <c r="AE442" s="31"/>
      <c r="AF442" s="41" t="str">
        <f aca="false">IF(OR($R442="",$S442=""),"",$S442-$R442)</f>
        <v/>
      </c>
      <c r="AG442" s="41" t="str">
        <f aca="false">IF(OR($S442="",$T442=""),"",$T442-$S442)</f>
        <v/>
      </c>
      <c r="AH442" s="41" t="str">
        <f aca="false">IF(OR($T442="",$U442=""),"",$U442-$T442)</f>
        <v/>
      </c>
      <c r="AI442" s="41" t="str">
        <f aca="false">IF(OR($R442="",$U442=""),"",$U442-$R442)</f>
        <v/>
      </c>
      <c r="AJ442" s="41" t="str">
        <f aca="false">IF(OR($U442="",$AB442=""),"",$AB442-$U442)</f>
        <v/>
      </c>
      <c r="AK442" s="41" t="str">
        <f aca="false">IF(OR($R442="",$AD442=""),"",$AD442-$R442)</f>
        <v/>
      </c>
      <c r="AL442" s="31"/>
      <c r="AM442" s="32"/>
      <c r="AN442" s="31"/>
    </row>
    <row r="443" customFormat="false" ht="15" hidden="false" customHeight="true" outlineLevel="0" collapsed="false">
      <c r="A443" s="38" t="str">
        <f aca="false">IF($B443="","",ROW()-3)</f>
        <v/>
      </c>
      <c r="B443" s="31"/>
      <c r="C443" s="31"/>
      <c r="D443" s="31"/>
      <c r="E443" s="31"/>
      <c r="F443" s="32"/>
      <c r="G443" s="32"/>
      <c r="H443" s="31"/>
      <c r="I443" s="31"/>
      <c r="J443" s="33"/>
      <c r="K443" s="34"/>
      <c r="L443" s="34"/>
      <c r="M443" s="34"/>
      <c r="N443" s="39" t="str">
        <f aca="false">IF($K443="","",$K443-N($L443)-N($M443))</f>
        <v/>
      </c>
      <c r="O443" s="31"/>
      <c r="P443" s="31"/>
      <c r="Q443" s="31"/>
      <c r="R443" s="32"/>
      <c r="S443" s="32"/>
      <c r="T443" s="32"/>
      <c r="U443" s="32"/>
      <c r="V443" s="31"/>
      <c r="W443" s="40" t="str">
        <f aca="false">IF(OR($F443="",$J443=""),"",$F443+$J443)</f>
        <v/>
      </c>
      <c r="X443" s="32"/>
      <c r="Y443" s="34"/>
      <c r="Z443" s="31"/>
      <c r="AA443" s="31"/>
      <c r="AB443" s="32"/>
      <c r="AC443" s="31"/>
      <c r="AD443" s="32"/>
      <c r="AE443" s="31"/>
      <c r="AF443" s="41" t="str">
        <f aca="false">IF(OR($R443="",$S443=""),"",$S443-$R443)</f>
        <v/>
      </c>
      <c r="AG443" s="41" t="str">
        <f aca="false">IF(OR($S443="",$T443=""),"",$T443-$S443)</f>
        <v/>
      </c>
      <c r="AH443" s="41" t="str">
        <f aca="false">IF(OR($T443="",$U443=""),"",$U443-$T443)</f>
        <v/>
      </c>
      <c r="AI443" s="41" t="str">
        <f aca="false">IF(OR($R443="",$U443=""),"",$U443-$R443)</f>
        <v/>
      </c>
      <c r="AJ443" s="41" t="str">
        <f aca="false">IF(OR($U443="",$AB443=""),"",$AB443-$U443)</f>
        <v/>
      </c>
      <c r="AK443" s="41" t="str">
        <f aca="false">IF(OR($R443="",$AD443=""),"",$AD443-$R443)</f>
        <v/>
      </c>
      <c r="AL443" s="31"/>
      <c r="AM443" s="32"/>
      <c r="AN443" s="31"/>
    </row>
    <row r="444" customFormat="false" ht="15" hidden="false" customHeight="true" outlineLevel="0" collapsed="false">
      <c r="A444" s="38" t="str">
        <f aca="false">IF($B444="","",ROW()-3)</f>
        <v/>
      </c>
      <c r="B444" s="31"/>
      <c r="C444" s="31"/>
      <c r="D444" s="31"/>
      <c r="E444" s="31"/>
      <c r="F444" s="32"/>
      <c r="G444" s="32"/>
      <c r="H444" s="31"/>
      <c r="I444" s="31"/>
      <c r="J444" s="33"/>
      <c r="K444" s="34"/>
      <c r="L444" s="34"/>
      <c r="M444" s="34"/>
      <c r="N444" s="39" t="str">
        <f aca="false">IF($K444="","",$K444-N($L444)-N($M444))</f>
        <v/>
      </c>
      <c r="O444" s="31"/>
      <c r="P444" s="31"/>
      <c r="Q444" s="31"/>
      <c r="R444" s="32"/>
      <c r="S444" s="32"/>
      <c r="T444" s="32"/>
      <c r="U444" s="32"/>
      <c r="V444" s="31"/>
      <c r="W444" s="40" t="str">
        <f aca="false">IF(OR($F444="",$J444=""),"",$F444+$J444)</f>
        <v/>
      </c>
      <c r="X444" s="32"/>
      <c r="Y444" s="34"/>
      <c r="Z444" s="31"/>
      <c r="AA444" s="31"/>
      <c r="AB444" s="32"/>
      <c r="AC444" s="31"/>
      <c r="AD444" s="32"/>
      <c r="AE444" s="31"/>
      <c r="AF444" s="41" t="str">
        <f aca="false">IF(OR($R444="",$S444=""),"",$S444-$R444)</f>
        <v/>
      </c>
      <c r="AG444" s="41" t="str">
        <f aca="false">IF(OR($S444="",$T444=""),"",$T444-$S444)</f>
        <v/>
      </c>
      <c r="AH444" s="41" t="str">
        <f aca="false">IF(OR($T444="",$U444=""),"",$U444-$T444)</f>
        <v/>
      </c>
      <c r="AI444" s="41" t="str">
        <f aca="false">IF(OR($R444="",$U444=""),"",$U444-$R444)</f>
        <v/>
      </c>
      <c r="AJ444" s="41" t="str">
        <f aca="false">IF(OR($U444="",$AB444=""),"",$AB444-$U444)</f>
        <v/>
      </c>
      <c r="AK444" s="41" t="str">
        <f aca="false">IF(OR($R444="",$AD444=""),"",$AD444-$R444)</f>
        <v/>
      </c>
      <c r="AL444" s="31"/>
      <c r="AM444" s="32"/>
      <c r="AN444" s="31"/>
    </row>
    <row r="445" customFormat="false" ht="15" hidden="false" customHeight="true" outlineLevel="0" collapsed="false">
      <c r="A445" s="38" t="str">
        <f aca="false">IF($B445="","",ROW()-3)</f>
        <v/>
      </c>
      <c r="B445" s="31"/>
      <c r="C445" s="31"/>
      <c r="D445" s="31"/>
      <c r="E445" s="31"/>
      <c r="F445" s="32"/>
      <c r="G445" s="32"/>
      <c r="H445" s="31"/>
      <c r="I445" s="31"/>
      <c r="J445" s="33"/>
      <c r="K445" s="34"/>
      <c r="L445" s="34"/>
      <c r="M445" s="34"/>
      <c r="N445" s="39" t="str">
        <f aca="false">IF($K445="","",$K445-N($L445)-N($M445))</f>
        <v/>
      </c>
      <c r="O445" s="31"/>
      <c r="P445" s="31"/>
      <c r="Q445" s="31"/>
      <c r="R445" s="32"/>
      <c r="S445" s="32"/>
      <c r="T445" s="32"/>
      <c r="U445" s="32"/>
      <c r="V445" s="31"/>
      <c r="W445" s="40" t="str">
        <f aca="false">IF(OR($F445="",$J445=""),"",$F445+$J445)</f>
        <v/>
      </c>
      <c r="X445" s="32"/>
      <c r="Y445" s="34"/>
      <c r="Z445" s="31"/>
      <c r="AA445" s="31"/>
      <c r="AB445" s="32"/>
      <c r="AC445" s="31"/>
      <c r="AD445" s="32"/>
      <c r="AE445" s="31"/>
      <c r="AF445" s="41" t="str">
        <f aca="false">IF(OR($R445="",$S445=""),"",$S445-$R445)</f>
        <v/>
      </c>
      <c r="AG445" s="41" t="str">
        <f aca="false">IF(OR($S445="",$T445=""),"",$T445-$S445)</f>
        <v/>
      </c>
      <c r="AH445" s="41" t="str">
        <f aca="false">IF(OR($T445="",$U445=""),"",$U445-$T445)</f>
        <v/>
      </c>
      <c r="AI445" s="41" t="str">
        <f aca="false">IF(OR($R445="",$U445=""),"",$U445-$R445)</f>
        <v/>
      </c>
      <c r="AJ445" s="41" t="str">
        <f aca="false">IF(OR($U445="",$AB445=""),"",$AB445-$U445)</f>
        <v/>
      </c>
      <c r="AK445" s="41" t="str">
        <f aca="false">IF(OR($R445="",$AD445=""),"",$AD445-$R445)</f>
        <v/>
      </c>
      <c r="AL445" s="31"/>
      <c r="AM445" s="32"/>
      <c r="AN445" s="31"/>
    </row>
    <row r="446" customFormat="false" ht="15" hidden="false" customHeight="true" outlineLevel="0" collapsed="false">
      <c r="A446" s="38" t="str">
        <f aca="false">IF($B446="","",ROW()-3)</f>
        <v/>
      </c>
      <c r="B446" s="31"/>
      <c r="C446" s="31"/>
      <c r="D446" s="31"/>
      <c r="E446" s="31"/>
      <c r="F446" s="32"/>
      <c r="G446" s="32"/>
      <c r="H446" s="31"/>
      <c r="I446" s="31"/>
      <c r="J446" s="33"/>
      <c r="K446" s="34"/>
      <c r="L446" s="34"/>
      <c r="M446" s="34"/>
      <c r="N446" s="39" t="str">
        <f aca="false">IF($K446="","",$K446-N($L446)-N($M446))</f>
        <v/>
      </c>
      <c r="O446" s="31"/>
      <c r="P446" s="31"/>
      <c r="Q446" s="31"/>
      <c r="R446" s="32"/>
      <c r="S446" s="32"/>
      <c r="T446" s="32"/>
      <c r="U446" s="32"/>
      <c r="V446" s="31"/>
      <c r="W446" s="40" t="str">
        <f aca="false">IF(OR($F446="",$J446=""),"",$F446+$J446)</f>
        <v/>
      </c>
      <c r="X446" s="32"/>
      <c r="Y446" s="34"/>
      <c r="Z446" s="31"/>
      <c r="AA446" s="31"/>
      <c r="AB446" s="32"/>
      <c r="AC446" s="31"/>
      <c r="AD446" s="32"/>
      <c r="AE446" s="31"/>
      <c r="AF446" s="41" t="str">
        <f aca="false">IF(OR($R446="",$S446=""),"",$S446-$R446)</f>
        <v/>
      </c>
      <c r="AG446" s="41" t="str">
        <f aca="false">IF(OR($S446="",$T446=""),"",$T446-$S446)</f>
        <v/>
      </c>
      <c r="AH446" s="41" t="str">
        <f aca="false">IF(OR($T446="",$U446=""),"",$U446-$T446)</f>
        <v/>
      </c>
      <c r="AI446" s="41" t="str">
        <f aca="false">IF(OR($R446="",$U446=""),"",$U446-$R446)</f>
        <v/>
      </c>
      <c r="AJ446" s="41" t="str">
        <f aca="false">IF(OR($U446="",$AB446=""),"",$AB446-$U446)</f>
        <v/>
      </c>
      <c r="AK446" s="41" t="str">
        <f aca="false">IF(OR($R446="",$AD446=""),"",$AD446-$R446)</f>
        <v/>
      </c>
      <c r="AL446" s="31"/>
      <c r="AM446" s="32"/>
      <c r="AN446" s="31"/>
    </row>
    <row r="447" customFormat="false" ht="15" hidden="false" customHeight="true" outlineLevel="0" collapsed="false">
      <c r="A447" s="38" t="str">
        <f aca="false">IF($B447="","",ROW()-3)</f>
        <v/>
      </c>
      <c r="B447" s="31"/>
      <c r="C447" s="31"/>
      <c r="D447" s="31"/>
      <c r="E447" s="31"/>
      <c r="F447" s="32"/>
      <c r="G447" s="32"/>
      <c r="H447" s="31"/>
      <c r="I447" s="31"/>
      <c r="J447" s="33"/>
      <c r="K447" s="34"/>
      <c r="L447" s="34"/>
      <c r="M447" s="34"/>
      <c r="N447" s="39" t="str">
        <f aca="false">IF($K447="","",$K447-N($L447)-N($M447))</f>
        <v/>
      </c>
      <c r="O447" s="31"/>
      <c r="P447" s="31"/>
      <c r="Q447" s="31"/>
      <c r="R447" s="32"/>
      <c r="S447" s="32"/>
      <c r="T447" s="32"/>
      <c r="U447" s="32"/>
      <c r="V447" s="31"/>
      <c r="W447" s="40" t="str">
        <f aca="false">IF(OR($F447="",$J447=""),"",$F447+$J447)</f>
        <v/>
      </c>
      <c r="X447" s="32"/>
      <c r="Y447" s="34"/>
      <c r="Z447" s="31"/>
      <c r="AA447" s="31"/>
      <c r="AB447" s="32"/>
      <c r="AC447" s="31"/>
      <c r="AD447" s="32"/>
      <c r="AE447" s="31"/>
      <c r="AF447" s="41" t="str">
        <f aca="false">IF(OR($R447="",$S447=""),"",$S447-$R447)</f>
        <v/>
      </c>
      <c r="AG447" s="41" t="str">
        <f aca="false">IF(OR($S447="",$T447=""),"",$T447-$S447)</f>
        <v/>
      </c>
      <c r="AH447" s="41" t="str">
        <f aca="false">IF(OR($T447="",$U447=""),"",$U447-$T447)</f>
        <v/>
      </c>
      <c r="AI447" s="41" t="str">
        <f aca="false">IF(OR($R447="",$U447=""),"",$U447-$R447)</f>
        <v/>
      </c>
      <c r="AJ447" s="41" t="str">
        <f aca="false">IF(OR($U447="",$AB447=""),"",$AB447-$U447)</f>
        <v/>
      </c>
      <c r="AK447" s="41" t="str">
        <f aca="false">IF(OR($R447="",$AD447=""),"",$AD447-$R447)</f>
        <v/>
      </c>
      <c r="AL447" s="31"/>
      <c r="AM447" s="32"/>
      <c r="AN447" s="31"/>
    </row>
    <row r="448" customFormat="false" ht="15" hidden="false" customHeight="true" outlineLevel="0" collapsed="false">
      <c r="A448" s="38" t="str">
        <f aca="false">IF($B448="","",ROW()-3)</f>
        <v/>
      </c>
      <c r="B448" s="31"/>
      <c r="C448" s="31"/>
      <c r="D448" s="31"/>
      <c r="E448" s="31"/>
      <c r="F448" s="32"/>
      <c r="G448" s="32"/>
      <c r="H448" s="31"/>
      <c r="I448" s="31"/>
      <c r="J448" s="33"/>
      <c r="K448" s="34"/>
      <c r="L448" s="34"/>
      <c r="M448" s="34"/>
      <c r="N448" s="39" t="str">
        <f aca="false">IF($K448="","",$K448-N($L448)-N($M448))</f>
        <v/>
      </c>
      <c r="O448" s="31"/>
      <c r="P448" s="31"/>
      <c r="Q448" s="31"/>
      <c r="R448" s="32"/>
      <c r="S448" s="32"/>
      <c r="T448" s="32"/>
      <c r="U448" s="32"/>
      <c r="V448" s="31"/>
      <c r="W448" s="40" t="str">
        <f aca="false">IF(OR($F448="",$J448=""),"",$F448+$J448)</f>
        <v/>
      </c>
      <c r="X448" s="32"/>
      <c r="Y448" s="34"/>
      <c r="Z448" s="31"/>
      <c r="AA448" s="31"/>
      <c r="AB448" s="32"/>
      <c r="AC448" s="31"/>
      <c r="AD448" s="32"/>
      <c r="AE448" s="31"/>
      <c r="AF448" s="41" t="str">
        <f aca="false">IF(OR($R448="",$S448=""),"",$S448-$R448)</f>
        <v/>
      </c>
      <c r="AG448" s="41" t="str">
        <f aca="false">IF(OR($S448="",$T448=""),"",$T448-$S448)</f>
        <v/>
      </c>
      <c r="AH448" s="41" t="str">
        <f aca="false">IF(OR($T448="",$U448=""),"",$U448-$T448)</f>
        <v/>
      </c>
      <c r="AI448" s="41" t="str">
        <f aca="false">IF(OR($R448="",$U448=""),"",$U448-$R448)</f>
        <v/>
      </c>
      <c r="AJ448" s="41" t="str">
        <f aca="false">IF(OR($U448="",$AB448=""),"",$AB448-$U448)</f>
        <v/>
      </c>
      <c r="AK448" s="41" t="str">
        <f aca="false">IF(OR($R448="",$AD448=""),"",$AD448-$R448)</f>
        <v/>
      </c>
      <c r="AL448" s="31"/>
      <c r="AM448" s="32"/>
      <c r="AN448" s="31"/>
    </row>
    <row r="449" customFormat="false" ht="15" hidden="false" customHeight="true" outlineLevel="0" collapsed="false">
      <c r="A449" s="38" t="str">
        <f aca="false">IF($B449="","",ROW()-3)</f>
        <v/>
      </c>
      <c r="B449" s="31"/>
      <c r="C449" s="31"/>
      <c r="D449" s="31"/>
      <c r="E449" s="31"/>
      <c r="F449" s="32"/>
      <c r="G449" s="32"/>
      <c r="H449" s="31"/>
      <c r="I449" s="31"/>
      <c r="J449" s="33"/>
      <c r="K449" s="34"/>
      <c r="L449" s="34"/>
      <c r="M449" s="34"/>
      <c r="N449" s="39" t="str">
        <f aca="false">IF($K449="","",$K449-N($L449)-N($M449))</f>
        <v/>
      </c>
      <c r="O449" s="31"/>
      <c r="P449" s="31"/>
      <c r="Q449" s="31"/>
      <c r="R449" s="32"/>
      <c r="S449" s="32"/>
      <c r="T449" s="32"/>
      <c r="U449" s="32"/>
      <c r="V449" s="31"/>
      <c r="W449" s="40" t="str">
        <f aca="false">IF(OR($F449="",$J449=""),"",$F449+$J449)</f>
        <v/>
      </c>
      <c r="X449" s="32"/>
      <c r="Y449" s="34"/>
      <c r="Z449" s="31"/>
      <c r="AA449" s="31"/>
      <c r="AB449" s="32"/>
      <c r="AC449" s="31"/>
      <c r="AD449" s="32"/>
      <c r="AE449" s="31"/>
      <c r="AF449" s="41" t="str">
        <f aca="false">IF(OR($R449="",$S449=""),"",$S449-$R449)</f>
        <v/>
      </c>
      <c r="AG449" s="41" t="str">
        <f aca="false">IF(OR($S449="",$T449=""),"",$T449-$S449)</f>
        <v/>
      </c>
      <c r="AH449" s="41" t="str">
        <f aca="false">IF(OR($T449="",$U449=""),"",$U449-$T449)</f>
        <v/>
      </c>
      <c r="AI449" s="41" t="str">
        <f aca="false">IF(OR($R449="",$U449=""),"",$U449-$R449)</f>
        <v/>
      </c>
      <c r="AJ449" s="41" t="str">
        <f aca="false">IF(OR($U449="",$AB449=""),"",$AB449-$U449)</f>
        <v/>
      </c>
      <c r="AK449" s="41" t="str">
        <f aca="false">IF(OR($R449="",$AD449=""),"",$AD449-$R449)</f>
        <v/>
      </c>
      <c r="AL449" s="31"/>
      <c r="AM449" s="32"/>
      <c r="AN449" s="31"/>
    </row>
    <row r="450" customFormat="false" ht="15" hidden="false" customHeight="true" outlineLevel="0" collapsed="false">
      <c r="A450" s="38" t="str">
        <f aca="false">IF($B450="","",ROW()-3)</f>
        <v/>
      </c>
      <c r="B450" s="31"/>
      <c r="C450" s="31"/>
      <c r="D450" s="31"/>
      <c r="E450" s="31"/>
      <c r="F450" s="32"/>
      <c r="G450" s="32"/>
      <c r="H450" s="31"/>
      <c r="I450" s="31"/>
      <c r="J450" s="33"/>
      <c r="K450" s="34"/>
      <c r="L450" s="34"/>
      <c r="M450" s="34"/>
      <c r="N450" s="39" t="str">
        <f aca="false">IF($K450="","",$K450-N($L450)-N($M450))</f>
        <v/>
      </c>
      <c r="O450" s="31"/>
      <c r="P450" s="31"/>
      <c r="Q450" s="31"/>
      <c r="R450" s="32"/>
      <c r="S450" s="32"/>
      <c r="T450" s="32"/>
      <c r="U450" s="32"/>
      <c r="V450" s="31"/>
      <c r="W450" s="40" t="str">
        <f aca="false">IF(OR($F450="",$J450=""),"",$F450+$J450)</f>
        <v/>
      </c>
      <c r="X450" s="32"/>
      <c r="Y450" s="34"/>
      <c r="Z450" s="31"/>
      <c r="AA450" s="31"/>
      <c r="AB450" s="32"/>
      <c r="AC450" s="31"/>
      <c r="AD450" s="32"/>
      <c r="AE450" s="31"/>
      <c r="AF450" s="41" t="str">
        <f aca="false">IF(OR($R450="",$S450=""),"",$S450-$R450)</f>
        <v/>
      </c>
      <c r="AG450" s="41" t="str">
        <f aca="false">IF(OR($S450="",$T450=""),"",$T450-$S450)</f>
        <v/>
      </c>
      <c r="AH450" s="41" t="str">
        <f aca="false">IF(OR($T450="",$U450=""),"",$U450-$T450)</f>
        <v/>
      </c>
      <c r="AI450" s="41" t="str">
        <f aca="false">IF(OR($R450="",$U450=""),"",$U450-$R450)</f>
        <v/>
      </c>
      <c r="AJ450" s="41" t="str">
        <f aca="false">IF(OR($U450="",$AB450=""),"",$AB450-$U450)</f>
        <v/>
      </c>
      <c r="AK450" s="41" t="str">
        <f aca="false">IF(OR($R450="",$AD450=""),"",$AD450-$R450)</f>
        <v/>
      </c>
      <c r="AL450" s="31"/>
      <c r="AM450" s="32"/>
      <c r="AN450" s="31"/>
    </row>
    <row r="451" customFormat="false" ht="15" hidden="false" customHeight="true" outlineLevel="0" collapsed="false">
      <c r="A451" s="38" t="str">
        <f aca="false">IF($B451="","",ROW()-3)</f>
        <v/>
      </c>
      <c r="B451" s="31"/>
      <c r="C451" s="31"/>
      <c r="D451" s="31"/>
      <c r="E451" s="31"/>
      <c r="F451" s="32"/>
      <c r="G451" s="32"/>
      <c r="H451" s="31"/>
      <c r="I451" s="31"/>
      <c r="J451" s="33"/>
      <c r="K451" s="34"/>
      <c r="L451" s="34"/>
      <c r="M451" s="34"/>
      <c r="N451" s="39" t="str">
        <f aca="false">IF($K451="","",$K451-N($L451)-N($M451))</f>
        <v/>
      </c>
      <c r="O451" s="31"/>
      <c r="P451" s="31"/>
      <c r="Q451" s="31"/>
      <c r="R451" s="32"/>
      <c r="S451" s="32"/>
      <c r="T451" s="32"/>
      <c r="U451" s="32"/>
      <c r="V451" s="31"/>
      <c r="W451" s="40" t="str">
        <f aca="false">IF(OR($F451="",$J451=""),"",$F451+$J451)</f>
        <v/>
      </c>
      <c r="X451" s="32"/>
      <c r="Y451" s="34"/>
      <c r="Z451" s="31"/>
      <c r="AA451" s="31"/>
      <c r="AB451" s="32"/>
      <c r="AC451" s="31"/>
      <c r="AD451" s="32"/>
      <c r="AE451" s="31"/>
      <c r="AF451" s="41" t="str">
        <f aca="false">IF(OR($R451="",$S451=""),"",$S451-$R451)</f>
        <v/>
      </c>
      <c r="AG451" s="41" t="str">
        <f aca="false">IF(OR($S451="",$T451=""),"",$T451-$S451)</f>
        <v/>
      </c>
      <c r="AH451" s="41" t="str">
        <f aca="false">IF(OR($T451="",$U451=""),"",$U451-$T451)</f>
        <v/>
      </c>
      <c r="AI451" s="41" t="str">
        <f aca="false">IF(OR($R451="",$U451=""),"",$U451-$R451)</f>
        <v/>
      </c>
      <c r="AJ451" s="41" t="str">
        <f aca="false">IF(OR($U451="",$AB451=""),"",$AB451-$U451)</f>
        <v/>
      </c>
      <c r="AK451" s="41" t="str">
        <f aca="false">IF(OR($R451="",$AD451=""),"",$AD451-$R451)</f>
        <v/>
      </c>
      <c r="AL451" s="31"/>
      <c r="AM451" s="32"/>
      <c r="AN451" s="31"/>
    </row>
    <row r="452" customFormat="false" ht="15" hidden="false" customHeight="true" outlineLevel="0" collapsed="false">
      <c r="A452" s="38" t="str">
        <f aca="false">IF($B452="","",ROW()-3)</f>
        <v/>
      </c>
      <c r="B452" s="31"/>
      <c r="C452" s="31"/>
      <c r="D452" s="31"/>
      <c r="E452" s="31"/>
      <c r="F452" s="32"/>
      <c r="G452" s="32"/>
      <c r="H452" s="31"/>
      <c r="I452" s="31"/>
      <c r="J452" s="33"/>
      <c r="K452" s="34"/>
      <c r="L452" s="34"/>
      <c r="M452" s="34"/>
      <c r="N452" s="39" t="str">
        <f aca="false">IF($K452="","",$K452-N($L452)-N($M452))</f>
        <v/>
      </c>
      <c r="O452" s="31"/>
      <c r="P452" s="31"/>
      <c r="Q452" s="31"/>
      <c r="R452" s="32"/>
      <c r="S452" s="32"/>
      <c r="T452" s="32"/>
      <c r="U452" s="32"/>
      <c r="V452" s="31"/>
      <c r="W452" s="40" t="str">
        <f aca="false">IF(OR($F452="",$J452=""),"",$F452+$J452)</f>
        <v/>
      </c>
      <c r="X452" s="32"/>
      <c r="Y452" s="34"/>
      <c r="Z452" s="31"/>
      <c r="AA452" s="31"/>
      <c r="AB452" s="32"/>
      <c r="AC452" s="31"/>
      <c r="AD452" s="32"/>
      <c r="AE452" s="31"/>
      <c r="AF452" s="41" t="str">
        <f aca="false">IF(OR($R452="",$S452=""),"",$S452-$R452)</f>
        <v/>
      </c>
      <c r="AG452" s="41" t="str">
        <f aca="false">IF(OR($S452="",$T452=""),"",$T452-$S452)</f>
        <v/>
      </c>
      <c r="AH452" s="41" t="str">
        <f aca="false">IF(OR($T452="",$U452=""),"",$U452-$T452)</f>
        <v/>
      </c>
      <c r="AI452" s="41" t="str">
        <f aca="false">IF(OR($R452="",$U452=""),"",$U452-$R452)</f>
        <v/>
      </c>
      <c r="AJ452" s="41" t="str">
        <f aca="false">IF(OR($U452="",$AB452=""),"",$AB452-$U452)</f>
        <v/>
      </c>
      <c r="AK452" s="41" t="str">
        <f aca="false">IF(OR($R452="",$AD452=""),"",$AD452-$R452)</f>
        <v/>
      </c>
      <c r="AL452" s="31"/>
      <c r="AM452" s="32"/>
      <c r="AN452" s="31"/>
    </row>
    <row r="453" customFormat="false" ht="15" hidden="false" customHeight="true" outlineLevel="0" collapsed="false">
      <c r="A453" s="38" t="str">
        <f aca="false">IF($B453="","",ROW()-3)</f>
        <v/>
      </c>
      <c r="B453" s="31"/>
      <c r="C453" s="31"/>
      <c r="D453" s="31"/>
      <c r="E453" s="31"/>
      <c r="F453" s="32"/>
      <c r="G453" s="32"/>
      <c r="H453" s="31"/>
      <c r="I453" s="31"/>
      <c r="J453" s="33"/>
      <c r="K453" s="34"/>
      <c r="L453" s="34"/>
      <c r="M453" s="34"/>
      <c r="N453" s="39" t="str">
        <f aca="false">IF($K453="","",$K453-N($L453)-N($M453))</f>
        <v/>
      </c>
      <c r="O453" s="31"/>
      <c r="P453" s="31"/>
      <c r="Q453" s="31"/>
      <c r="R453" s="32"/>
      <c r="S453" s="32"/>
      <c r="T453" s="32"/>
      <c r="U453" s="32"/>
      <c r="V453" s="31"/>
      <c r="W453" s="40" t="str">
        <f aca="false">IF(OR($F453="",$J453=""),"",$F453+$J453)</f>
        <v/>
      </c>
      <c r="X453" s="32"/>
      <c r="Y453" s="34"/>
      <c r="Z453" s="31"/>
      <c r="AA453" s="31"/>
      <c r="AB453" s="32"/>
      <c r="AC453" s="31"/>
      <c r="AD453" s="32"/>
      <c r="AE453" s="31"/>
      <c r="AF453" s="41" t="str">
        <f aca="false">IF(OR($R453="",$S453=""),"",$S453-$R453)</f>
        <v/>
      </c>
      <c r="AG453" s="41" t="str">
        <f aca="false">IF(OR($S453="",$T453=""),"",$T453-$S453)</f>
        <v/>
      </c>
      <c r="AH453" s="41" t="str">
        <f aca="false">IF(OR($T453="",$U453=""),"",$U453-$T453)</f>
        <v/>
      </c>
      <c r="AI453" s="41" t="str">
        <f aca="false">IF(OR($R453="",$U453=""),"",$U453-$R453)</f>
        <v/>
      </c>
      <c r="AJ453" s="41" t="str">
        <f aca="false">IF(OR($U453="",$AB453=""),"",$AB453-$U453)</f>
        <v/>
      </c>
      <c r="AK453" s="41" t="str">
        <f aca="false">IF(OR($R453="",$AD453=""),"",$AD453-$R453)</f>
        <v/>
      </c>
      <c r="AL453" s="31"/>
      <c r="AM453" s="32"/>
      <c r="AN453" s="31"/>
    </row>
    <row r="454" customFormat="false" ht="15" hidden="false" customHeight="true" outlineLevel="0" collapsed="false">
      <c r="A454" s="38" t="str">
        <f aca="false">IF($B454="","",ROW()-3)</f>
        <v/>
      </c>
      <c r="B454" s="31"/>
      <c r="C454" s="31"/>
      <c r="D454" s="31"/>
      <c r="E454" s="31"/>
      <c r="F454" s="32"/>
      <c r="G454" s="32"/>
      <c r="H454" s="31"/>
      <c r="I454" s="31"/>
      <c r="J454" s="33"/>
      <c r="K454" s="34"/>
      <c r="L454" s="34"/>
      <c r="M454" s="34"/>
      <c r="N454" s="39" t="str">
        <f aca="false">IF($K454="","",$K454-N($L454)-N($M454))</f>
        <v/>
      </c>
      <c r="O454" s="31"/>
      <c r="P454" s="31"/>
      <c r="Q454" s="31"/>
      <c r="R454" s="32"/>
      <c r="S454" s="32"/>
      <c r="T454" s="32"/>
      <c r="U454" s="32"/>
      <c r="V454" s="31"/>
      <c r="W454" s="40" t="str">
        <f aca="false">IF(OR($F454="",$J454=""),"",$F454+$J454)</f>
        <v/>
      </c>
      <c r="X454" s="32"/>
      <c r="Y454" s="34"/>
      <c r="Z454" s="31"/>
      <c r="AA454" s="31"/>
      <c r="AB454" s="32"/>
      <c r="AC454" s="31"/>
      <c r="AD454" s="32"/>
      <c r="AE454" s="31"/>
      <c r="AF454" s="41" t="str">
        <f aca="false">IF(OR($R454="",$S454=""),"",$S454-$R454)</f>
        <v/>
      </c>
      <c r="AG454" s="41" t="str">
        <f aca="false">IF(OR($S454="",$T454=""),"",$T454-$S454)</f>
        <v/>
      </c>
      <c r="AH454" s="41" t="str">
        <f aca="false">IF(OR($T454="",$U454=""),"",$U454-$T454)</f>
        <v/>
      </c>
      <c r="AI454" s="41" t="str">
        <f aca="false">IF(OR($R454="",$U454=""),"",$U454-$R454)</f>
        <v/>
      </c>
      <c r="AJ454" s="41" t="str">
        <f aca="false">IF(OR($U454="",$AB454=""),"",$AB454-$U454)</f>
        <v/>
      </c>
      <c r="AK454" s="41" t="str">
        <f aca="false">IF(OR($R454="",$AD454=""),"",$AD454-$R454)</f>
        <v/>
      </c>
      <c r="AL454" s="31"/>
      <c r="AM454" s="32"/>
      <c r="AN454" s="31"/>
    </row>
    <row r="455" customFormat="false" ht="15" hidden="false" customHeight="true" outlineLevel="0" collapsed="false">
      <c r="A455" s="38" t="str">
        <f aca="false">IF($B455="","",ROW()-3)</f>
        <v/>
      </c>
      <c r="B455" s="31"/>
      <c r="C455" s="31"/>
      <c r="D455" s="31"/>
      <c r="E455" s="31"/>
      <c r="F455" s="32"/>
      <c r="G455" s="32"/>
      <c r="H455" s="31"/>
      <c r="I455" s="31"/>
      <c r="J455" s="33"/>
      <c r="K455" s="34"/>
      <c r="L455" s="34"/>
      <c r="M455" s="34"/>
      <c r="N455" s="39" t="str">
        <f aca="false">IF($K455="","",$K455-N($L455)-N($M455))</f>
        <v/>
      </c>
      <c r="O455" s="31"/>
      <c r="P455" s="31"/>
      <c r="Q455" s="31"/>
      <c r="R455" s="32"/>
      <c r="S455" s="32"/>
      <c r="T455" s="32"/>
      <c r="U455" s="32"/>
      <c r="V455" s="31"/>
      <c r="W455" s="40" t="str">
        <f aca="false">IF(OR($F455="",$J455=""),"",$F455+$J455)</f>
        <v/>
      </c>
      <c r="X455" s="32"/>
      <c r="Y455" s="34"/>
      <c r="Z455" s="31"/>
      <c r="AA455" s="31"/>
      <c r="AB455" s="32"/>
      <c r="AC455" s="31"/>
      <c r="AD455" s="32"/>
      <c r="AE455" s="31"/>
      <c r="AF455" s="41" t="str">
        <f aca="false">IF(OR($R455="",$S455=""),"",$S455-$R455)</f>
        <v/>
      </c>
      <c r="AG455" s="41" t="str">
        <f aca="false">IF(OR($S455="",$T455=""),"",$T455-$S455)</f>
        <v/>
      </c>
      <c r="AH455" s="41" t="str">
        <f aca="false">IF(OR($T455="",$U455=""),"",$U455-$T455)</f>
        <v/>
      </c>
      <c r="AI455" s="41" t="str">
        <f aca="false">IF(OR($R455="",$U455=""),"",$U455-$R455)</f>
        <v/>
      </c>
      <c r="AJ455" s="41" t="str">
        <f aca="false">IF(OR($U455="",$AB455=""),"",$AB455-$U455)</f>
        <v/>
      </c>
      <c r="AK455" s="41" t="str">
        <f aca="false">IF(OR($R455="",$AD455=""),"",$AD455-$R455)</f>
        <v/>
      </c>
      <c r="AL455" s="31"/>
      <c r="AM455" s="32"/>
      <c r="AN455" s="31"/>
    </row>
    <row r="456" customFormat="false" ht="15" hidden="false" customHeight="true" outlineLevel="0" collapsed="false">
      <c r="A456" s="38" t="str">
        <f aca="false">IF($B456="","",ROW()-3)</f>
        <v/>
      </c>
      <c r="B456" s="31"/>
      <c r="C456" s="31"/>
      <c r="D456" s="31"/>
      <c r="E456" s="31"/>
      <c r="F456" s="32"/>
      <c r="G456" s="32"/>
      <c r="H456" s="31"/>
      <c r="I456" s="31"/>
      <c r="J456" s="33"/>
      <c r="K456" s="34"/>
      <c r="L456" s="34"/>
      <c r="M456" s="34"/>
      <c r="N456" s="39" t="str">
        <f aca="false">IF($K456="","",$K456-N($L456)-N($M456))</f>
        <v/>
      </c>
      <c r="O456" s="31"/>
      <c r="P456" s="31"/>
      <c r="Q456" s="31"/>
      <c r="R456" s="32"/>
      <c r="S456" s="32"/>
      <c r="T456" s="32"/>
      <c r="U456" s="32"/>
      <c r="V456" s="31"/>
      <c r="W456" s="40" t="str">
        <f aca="false">IF(OR($F456="",$J456=""),"",$F456+$J456)</f>
        <v/>
      </c>
      <c r="X456" s="32"/>
      <c r="Y456" s="34"/>
      <c r="Z456" s="31"/>
      <c r="AA456" s="31"/>
      <c r="AB456" s="32"/>
      <c r="AC456" s="31"/>
      <c r="AD456" s="32"/>
      <c r="AE456" s="31"/>
      <c r="AF456" s="41" t="str">
        <f aca="false">IF(OR($R456="",$S456=""),"",$S456-$R456)</f>
        <v/>
      </c>
      <c r="AG456" s="41" t="str">
        <f aca="false">IF(OR($S456="",$T456=""),"",$T456-$S456)</f>
        <v/>
      </c>
      <c r="AH456" s="41" t="str">
        <f aca="false">IF(OR($T456="",$U456=""),"",$U456-$T456)</f>
        <v/>
      </c>
      <c r="AI456" s="41" t="str">
        <f aca="false">IF(OR($R456="",$U456=""),"",$U456-$R456)</f>
        <v/>
      </c>
      <c r="AJ456" s="41" t="str">
        <f aca="false">IF(OR($U456="",$AB456=""),"",$AB456-$U456)</f>
        <v/>
      </c>
      <c r="AK456" s="41" t="str">
        <f aca="false">IF(OR($R456="",$AD456=""),"",$AD456-$R456)</f>
        <v/>
      </c>
      <c r="AL456" s="31"/>
      <c r="AM456" s="32"/>
      <c r="AN456" s="31"/>
    </row>
    <row r="457" customFormat="false" ht="15" hidden="false" customHeight="true" outlineLevel="0" collapsed="false">
      <c r="A457" s="38" t="str">
        <f aca="false">IF($B457="","",ROW()-3)</f>
        <v/>
      </c>
      <c r="B457" s="31"/>
      <c r="C457" s="31"/>
      <c r="D457" s="31"/>
      <c r="E457" s="31"/>
      <c r="F457" s="32"/>
      <c r="G457" s="32"/>
      <c r="H457" s="31"/>
      <c r="I457" s="31"/>
      <c r="J457" s="33"/>
      <c r="K457" s="34"/>
      <c r="L457" s="34"/>
      <c r="M457" s="34"/>
      <c r="N457" s="39" t="str">
        <f aca="false">IF($K457="","",$K457-N($L457)-N($M457))</f>
        <v/>
      </c>
      <c r="O457" s="31"/>
      <c r="P457" s="31"/>
      <c r="Q457" s="31"/>
      <c r="R457" s="32"/>
      <c r="S457" s="32"/>
      <c r="T457" s="32"/>
      <c r="U457" s="32"/>
      <c r="V457" s="31"/>
      <c r="W457" s="40" t="str">
        <f aca="false">IF(OR($F457="",$J457=""),"",$F457+$J457)</f>
        <v/>
      </c>
      <c r="X457" s="32"/>
      <c r="Y457" s="34"/>
      <c r="Z457" s="31"/>
      <c r="AA457" s="31"/>
      <c r="AB457" s="32"/>
      <c r="AC457" s="31"/>
      <c r="AD457" s="32"/>
      <c r="AE457" s="31"/>
      <c r="AF457" s="41" t="str">
        <f aca="false">IF(OR($R457="",$S457=""),"",$S457-$R457)</f>
        <v/>
      </c>
      <c r="AG457" s="41" t="str">
        <f aca="false">IF(OR($S457="",$T457=""),"",$T457-$S457)</f>
        <v/>
      </c>
      <c r="AH457" s="41" t="str">
        <f aca="false">IF(OR($T457="",$U457=""),"",$U457-$T457)</f>
        <v/>
      </c>
      <c r="AI457" s="41" t="str">
        <f aca="false">IF(OR($R457="",$U457=""),"",$U457-$R457)</f>
        <v/>
      </c>
      <c r="AJ457" s="41" t="str">
        <f aca="false">IF(OR($U457="",$AB457=""),"",$AB457-$U457)</f>
        <v/>
      </c>
      <c r="AK457" s="41" t="str">
        <f aca="false">IF(OR($R457="",$AD457=""),"",$AD457-$R457)</f>
        <v/>
      </c>
      <c r="AL457" s="31"/>
      <c r="AM457" s="32"/>
      <c r="AN457" s="31"/>
    </row>
    <row r="458" customFormat="false" ht="15" hidden="false" customHeight="true" outlineLevel="0" collapsed="false">
      <c r="A458" s="38" t="str">
        <f aca="false">IF($B458="","",ROW()-3)</f>
        <v/>
      </c>
      <c r="B458" s="31"/>
      <c r="C458" s="31"/>
      <c r="D458" s="31"/>
      <c r="E458" s="31"/>
      <c r="F458" s="32"/>
      <c r="G458" s="32"/>
      <c r="H458" s="31"/>
      <c r="I458" s="31"/>
      <c r="J458" s="33"/>
      <c r="K458" s="34"/>
      <c r="L458" s="34"/>
      <c r="M458" s="34"/>
      <c r="N458" s="39" t="str">
        <f aca="false">IF($K458="","",$K458-N($L458)-N($M458))</f>
        <v/>
      </c>
      <c r="O458" s="31"/>
      <c r="P458" s="31"/>
      <c r="Q458" s="31"/>
      <c r="R458" s="32"/>
      <c r="S458" s="32"/>
      <c r="T458" s="32"/>
      <c r="U458" s="32"/>
      <c r="V458" s="31"/>
      <c r="W458" s="40" t="str">
        <f aca="false">IF(OR($F458="",$J458=""),"",$F458+$J458)</f>
        <v/>
      </c>
      <c r="X458" s="32"/>
      <c r="Y458" s="34"/>
      <c r="Z458" s="31"/>
      <c r="AA458" s="31"/>
      <c r="AB458" s="32"/>
      <c r="AC458" s="31"/>
      <c r="AD458" s="32"/>
      <c r="AE458" s="31"/>
      <c r="AF458" s="41" t="str">
        <f aca="false">IF(OR($R458="",$S458=""),"",$S458-$R458)</f>
        <v/>
      </c>
      <c r="AG458" s="41" t="str">
        <f aca="false">IF(OR($S458="",$T458=""),"",$T458-$S458)</f>
        <v/>
      </c>
      <c r="AH458" s="41" t="str">
        <f aca="false">IF(OR($T458="",$U458=""),"",$U458-$T458)</f>
        <v/>
      </c>
      <c r="AI458" s="41" t="str">
        <f aca="false">IF(OR($R458="",$U458=""),"",$U458-$R458)</f>
        <v/>
      </c>
      <c r="AJ458" s="41" t="str">
        <f aca="false">IF(OR($U458="",$AB458=""),"",$AB458-$U458)</f>
        <v/>
      </c>
      <c r="AK458" s="41" t="str">
        <f aca="false">IF(OR($R458="",$AD458=""),"",$AD458-$R458)</f>
        <v/>
      </c>
      <c r="AL458" s="31"/>
      <c r="AM458" s="32"/>
      <c r="AN458" s="31"/>
    </row>
    <row r="459" customFormat="false" ht="15" hidden="false" customHeight="true" outlineLevel="0" collapsed="false">
      <c r="A459" s="38" t="str">
        <f aca="false">IF($B459="","",ROW()-3)</f>
        <v/>
      </c>
      <c r="B459" s="31"/>
      <c r="C459" s="31"/>
      <c r="D459" s="31"/>
      <c r="E459" s="31"/>
      <c r="F459" s="32"/>
      <c r="G459" s="32"/>
      <c r="H459" s="31"/>
      <c r="I459" s="31"/>
      <c r="J459" s="33"/>
      <c r="K459" s="34"/>
      <c r="L459" s="34"/>
      <c r="M459" s="34"/>
      <c r="N459" s="39" t="str">
        <f aca="false">IF($K459="","",$K459-N($L459)-N($M459))</f>
        <v/>
      </c>
      <c r="O459" s="31"/>
      <c r="P459" s="31"/>
      <c r="Q459" s="31"/>
      <c r="R459" s="32"/>
      <c r="S459" s="32"/>
      <c r="T459" s="32"/>
      <c r="U459" s="32"/>
      <c r="V459" s="31"/>
      <c r="W459" s="40" t="str">
        <f aca="false">IF(OR($F459="",$J459=""),"",$F459+$J459)</f>
        <v/>
      </c>
      <c r="X459" s="32"/>
      <c r="Y459" s="34"/>
      <c r="Z459" s="31"/>
      <c r="AA459" s="31"/>
      <c r="AB459" s="32"/>
      <c r="AC459" s="31"/>
      <c r="AD459" s="32"/>
      <c r="AE459" s="31"/>
      <c r="AF459" s="41" t="str">
        <f aca="false">IF(OR($R459="",$S459=""),"",$S459-$R459)</f>
        <v/>
      </c>
      <c r="AG459" s="41" t="str">
        <f aca="false">IF(OR($S459="",$T459=""),"",$T459-$S459)</f>
        <v/>
      </c>
      <c r="AH459" s="41" t="str">
        <f aca="false">IF(OR($T459="",$U459=""),"",$U459-$T459)</f>
        <v/>
      </c>
      <c r="AI459" s="41" t="str">
        <f aca="false">IF(OR($R459="",$U459=""),"",$U459-$R459)</f>
        <v/>
      </c>
      <c r="AJ459" s="41" t="str">
        <f aca="false">IF(OR($U459="",$AB459=""),"",$AB459-$U459)</f>
        <v/>
      </c>
      <c r="AK459" s="41" t="str">
        <f aca="false">IF(OR($R459="",$AD459=""),"",$AD459-$R459)</f>
        <v/>
      </c>
      <c r="AL459" s="31"/>
      <c r="AM459" s="32"/>
      <c r="AN459" s="31"/>
    </row>
    <row r="460" customFormat="false" ht="15" hidden="false" customHeight="true" outlineLevel="0" collapsed="false">
      <c r="A460" s="38" t="str">
        <f aca="false">IF($B460="","",ROW()-3)</f>
        <v/>
      </c>
      <c r="B460" s="31"/>
      <c r="C460" s="31"/>
      <c r="D460" s="31"/>
      <c r="E460" s="31"/>
      <c r="F460" s="32"/>
      <c r="G460" s="32"/>
      <c r="H460" s="31"/>
      <c r="I460" s="31"/>
      <c r="J460" s="33"/>
      <c r="K460" s="34"/>
      <c r="L460" s="34"/>
      <c r="M460" s="34"/>
      <c r="N460" s="39" t="str">
        <f aca="false">IF($K460="","",$K460-N($L460)-N($M460))</f>
        <v/>
      </c>
      <c r="O460" s="31"/>
      <c r="P460" s="31"/>
      <c r="Q460" s="31"/>
      <c r="R460" s="32"/>
      <c r="S460" s="32"/>
      <c r="T460" s="32"/>
      <c r="U460" s="32"/>
      <c r="V460" s="31"/>
      <c r="W460" s="40" t="str">
        <f aca="false">IF(OR($F460="",$J460=""),"",$F460+$J460)</f>
        <v/>
      </c>
      <c r="X460" s="32"/>
      <c r="Y460" s="34"/>
      <c r="Z460" s="31"/>
      <c r="AA460" s="31"/>
      <c r="AB460" s="32"/>
      <c r="AC460" s="31"/>
      <c r="AD460" s="32"/>
      <c r="AE460" s="31"/>
      <c r="AF460" s="41" t="str">
        <f aca="false">IF(OR($R460="",$S460=""),"",$S460-$R460)</f>
        <v/>
      </c>
      <c r="AG460" s="41" t="str">
        <f aca="false">IF(OR($S460="",$T460=""),"",$T460-$S460)</f>
        <v/>
      </c>
      <c r="AH460" s="41" t="str">
        <f aca="false">IF(OR($T460="",$U460=""),"",$U460-$T460)</f>
        <v/>
      </c>
      <c r="AI460" s="41" t="str">
        <f aca="false">IF(OR($R460="",$U460=""),"",$U460-$R460)</f>
        <v/>
      </c>
      <c r="AJ460" s="41" t="str">
        <f aca="false">IF(OR($U460="",$AB460=""),"",$AB460-$U460)</f>
        <v/>
      </c>
      <c r="AK460" s="41" t="str">
        <f aca="false">IF(OR($R460="",$AD460=""),"",$AD460-$R460)</f>
        <v/>
      </c>
      <c r="AL460" s="31"/>
      <c r="AM460" s="32"/>
      <c r="AN460" s="31"/>
    </row>
    <row r="461" customFormat="false" ht="15" hidden="false" customHeight="true" outlineLevel="0" collapsed="false">
      <c r="A461" s="38" t="str">
        <f aca="false">IF($B461="","",ROW()-3)</f>
        <v/>
      </c>
      <c r="B461" s="31"/>
      <c r="C461" s="31"/>
      <c r="D461" s="31"/>
      <c r="E461" s="31"/>
      <c r="F461" s="32"/>
      <c r="G461" s="32"/>
      <c r="H461" s="31"/>
      <c r="I461" s="31"/>
      <c r="J461" s="33"/>
      <c r="K461" s="34"/>
      <c r="L461" s="34"/>
      <c r="M461" s="34"/>
      <c r="N461" s="39" t="str">
        <f aca="false">IF($K461="","",$K461-N($L461)-N($M461))</f>
        <v/>
      </c>
      <c r="O461" s="31"/>
      <c r="P461" s="31"/>
      <c r="Q461" s="31"/>
      <c r="R461" s="32"/>
      <c r="S461" s="32"/>
      <c r="T461" s="32"/>
      <c r="U461" s="32"/>
      <c r="V461" s="31"/>
      <c r="W461" s="40" t="str">
        <f aca="false">IF(OR($F461="",$J461=""),"",$F461+$J461)</f>
        <v/>
      </c>
      <c r="X461" s="32"/>
      <c r="Y461" s="34"/>
      <c r="Z461" s="31"/>
      <c r="AA461" s="31"/>
      <c r="AB461" s="32"/>
      <c r="AC461" s="31"/>
      <c r="AD461" s="32"/>
      <c r="AE461" s="31"/>
      <c r="AF461" s="41" t="str">
        <f aca="false">IF(OR($R461="",$S461=""),"",$S461-$R461)</f>
        <v/>
      </c>
      <c r="AG461" s="41" t="str">
        <f aca="false">IF(OR($S461="",$T461=""),"",$T461-$S461)</f>
        <v/>
      </c>
      <c r="AH461" s="41" t="str">
        <f aca="false">IF(OR($T461="",$U461=""),"",$U461-$T461)</f>
        <v/>
      </c>
      <c r="AI461" s="41" t="str">
        <f aca="false">IF(OR($R461="",$U461=""),"",$U461-$R461)</f>
        <v/>
      </c>
      <c r="AJ461" s="41" t="str">
        <f aca="false">IF(OR($U461="",$AB461=""),"",$AB461-$U461)</f>
        <v/>
      </c>
      <c r="AK461" s="41" t="str">
        <f aca="false">IF(OR($R461="",$AD461=""),"",$AD461-$R461)</f>
        <v/>
      </c>
      <c r="AL461" s="31"/>
      <c r="AM461" s="32"/>
      <c r="AN461" s="31"/>
    </row>
    <row r="462" customFormat="false" ht="15" hidden="false" customHeight="true" outlineLevel="0" collapsed="false">
      <c r="A462" s="38" t="str">
        <f aca="false">IF($B462="","",ROW()-3)</f>
        <v/>
      </c>
      <c r="B462" s="31"/>
      <c r="C462" s="31"/>
      <c r="D462" s="31"/>
      <c r="E462" s="31"/>
      <c r="F462" s="32"/>
      <c r="G462" s="32"/>
      <c r="H462" s="31"/>
      <c r="I462" s="31"/>
      <c r="J462" s="33"/>
      <c r="K462" s="34"/>
      <c r="L462" s="34"/>
      <c r="M462" s="34"/>
      <c r="N462" s="39" t="str">
        <f aca="false">IF($K462="","",$K462-N($L462)-N($M462))</f>
        <v/>
      </c>
      <c r="O462" s="31"/>
      <c r="P462" s="31"/>
      <c r="Q462" s="31"/>
      <c r="R462" s="32"/>
      <c r="S462" s="32"/>
      <c r="T462" s="32"/>
      <c r="U462" s="32"/>
      <c r="V462" s="31"/>
      <c r="W462" s="40" t="str">
        <f aca="false">IF(OR($F462="",$J462=""),"",$F462+$J462)</f>
        <v/>
      </c>
      <c r="X462" s="32"/>
      <c r="Y462" s="34"/>
      <c r="Z462" s="31"/>
      <c r="AA462" s="31"/>
      <c r="AB462" s="32"/>
      <c r="AC462" s="31"/>
      <c r="AD462" s="32"/>
      <c r="AE462" s="31"/>
      <c r="AF462" s="41" t="str">
        <f aca="false">IF(OR($R462="",$S462=""),"",$S462-$R462)</f>
        <v/>
      </c>
      <c r="AG462" s="41" t="str">
        <f aca="false">IF(OR($S462="",$T462=""),"",$T462-$S462)</f>
        <v/>
      </c>
      <c r="AH462" s="41" t="str">
        <f aca="false">IF(OR($T462="",$U462=""),"",$U462-$T462)</f>
        <v/>
      </c>
      <c r="AI462" s="41" t="str">
        <f aca="false">IF(OR($R462="",$U462=""),"",$U462-$R462)</f>
        <v/>
      </c>
      <c r="AJ462" s="41" t="str">
        <f aca="false">IF(OR($U462="",$AB462=""),"",$AB462-$U462)</f>
        <v/>
      </c>
      <c r="AK462" s="41" t="str">
        <f aca="false">IF(OR($R462="",$AD462=""),"",$AD462-$R462)</f>
        <v/>
      </c>
      <c r="AL462" s="31"/>
      <c r="AM462" s="32"/>
      <c r="AN462" s="31"/>
    </row>
    <row r="463" customFormat="false" ht="15" hidden="false" customHeight="true" outlineLevel="0" collapsed="false">
      <c r="A463" s="38" t="str">
        <f aca="false">IF($B463="","",ROW()-3)</f>
        <v/>
      </c>
      <c r="B463" s="31"/>
      <c r="C463" s="31"/>
      <c r="D463" s="31"/>
      <c r="E463" s="31"/>
      <c r="F463" s="32"/>
      <c r="G463" s="32"/>
      <c r="H463" s="31"/>
      <c r="I463" s="31"/>
      <c r="J463" s="33"/>
      <c r="K463" s="34"/>
      <c r="L463" s="34"/>
      <c r="M463" s="34"/>
      <c r="N463" s="39" t="str">
        <f aca="false">IF($K463="","",$K463-N($L463)-N($M463))</f>
        <v/>
      </c>
      <c r="O463" s="31"/>
      <c r="P463" s="31"/>
      <c r="Q463" s="31"/>
      <c r="R463" s="32"/>
      <c r="S463" s="32"/>
      <c r="T463" s="32"/>
      <c r="U463" s="32"/>
      <c r="V463" s="31"/>
      <c r="W463" s="40" t="str">
        <f aca="false">IF(OR($F463="",$J463=""),"",$F463+$J463)</f>
        <v/>
      </c>
      <c r="X463" s="32"/>
      <c r="Y463" s="34"/>
      <c r="Z463" s="31"/>
      <c r="AA463" s="31"/>
      <c r="AB463" s="32"/>
      <c r="AC463" s="31"/>
      <c r="AD463" s="32"/>
      <c r="AE463" s="31"/>
      <c r="AF463" s="41" t="str">
        <f aca="false">IF(OR($R463="",$S463=""),"",$S463-$R463)</f>
        <v/>
      </c>
      <c r="AG463" s="41" t="str">
        <f aca="false">IF(OR($S463="",$T463=""),"",$T463-$S463)</f>
        <v/>
      </c>
      <c r="AH463" s="41" t="str">
        <f aca="false">IF(OR($T463="",$U463=""),"",$U463-$T463)</f>
        <v/>
      </c>
      <c r="AI463" s="41" t="str">
        <f aca="false">IF(OR($R463="",$U463=""),"",$U463-$R463)</f>
        <v/>
      </c>
      <c r="AJ463" s="41" t="str">
        <f aca="false">IF(OR($U463="",$AB463=""),"",$AB463-$U463)</f>
        <v/>
      </c>
      <c r="AK463" s="41" t="str">
        <f aca="false">IF(OR($R463="",$AD463=""),"",$AD463-$R463)</f>
        <v/>
      </c>
      <c r="AL463" s="31"/>
      <c r="AM463" s="32"/>
      <c r="AN463" s="31"/>
    </row>
    <row r="464" customFormat="false" ht="15" hidden="false" customHeight="true" outlineLevel="0" collapsed="false">
      <c r="A464" s="38" t="str">
        <f aca="false">IF($B464="","",ROW()-3)</f>
        <v/>
      </c>
      <c r="B464" s="31"/>
      <c r="C464" s="31"/>
      <c r="D464" s="31"/>
      <c r="E464" s="31"/>
      <c r="F464" s="32"/>
      <c r="G464" s="32"/>
      <c r="H464" s="31"/>
      <c r="I464" s="31"/>
      <c r="J464" s="33"/>
      <c r="K464" s="34"/>
      <c r="L464" s="34"/>
      <c r="M464" s="34"/>
      <c r="N464" s="39" t="str">
        <f aca="false">IF($K464="","",$K464-N($L464)-N($M464))</f>
        <v/>
      </c>
      <c r="O464" s="31"/>
      <c r="P464" s="31"/>
      <c r="Q464" s="31"/>
      <c r="R464" s="32"/>
      <c r="S464" s="32"/>
      <c r="T464" s="32"/>
      <c r="U464" s="32"/>
      <c r="V464" s="31"/>
      <c r="W464" s="40" t="str">
        <f aca="false">IF(OR($F464="",$J464=""),"",$F464+$J464)</f>
        <v/>
      </c>
      <c r="X464" s="32"/>
      <c r="Y464" s="34"/>
      <c r="Z464" s="31"/>
      <c r="AA464" s="31"/>
      <c r="AB464" s="32"/>
      <c r="AC464" s="31"/>
      <c r="AD464" s="32"/>
      <c r="AE464" s="31"/>
      <c r="AF464" s="41" t="str">
        <f aca="false">IF(OR($R464="",$S464=""),"",$S464-$R464)</f>
        <v/>
      </c>
      <c r="AG464" s="41" t="str">
        <f aca="false">IF(OR($S464="",$T464=""),"",$T464-$S464)</f>
        <v/>
      </c>
      <c r="AH464" s="41" t="str">
        <f aca="false">IF(OR($T464="",$U464=""),"",$U464-$T464)</f>
        <v/>
      </c>
      <c r="AI464" s="41" t="str">
        <f aca="false">IF(OR($R464="",$U464=""),"",$U464-$R464)</f>
        <v/>
      </c>
      <c r="AJ464" s="41" t="str">
        <f aca="false">IF(OR($U464="",$AB464=""),"",$AB464-$U464)</f>
        <v/>
      </c>
      <c r="AK464" s="41" t="str">
        <f aca="false">IF(OR($R464="",$AD464=""),"",$AD464-$R464)</f>
        <v/>
      </c>
      <c r="AL464" s="31"/>
      <c r="AM464" s="32"/>
      <c r="AN464" s="31"/>
    </row>
    <row r="465" customFormat="false" ht="15" hidden="false" customHeight="true" outlineLevel="0" collapsed="false">
      <c r="A465" s="38" t="str">
        <f aca="false">IF($B465="","",ROW()-3)</f>
        <v/>
      </c>
      <c r="B465" s="31"/>
      <c r="C465" s="31"/>
      <c r="D465" s="31"/>
      <c r="E465" s="31"/>
      <c r="F465" s="32"/>
      <c r="G465" s="32"/>
      <c r="H465" s="31"/>
      <c r="I465" s="31"/>
      <c r="J465" s="33"/>
      <c r="K465" s="34"/>
      <c r="L465" s="34"/>
      <c r="M465" s="34"/>
      <c r="N465" s="39" t="str">
        <f aca="false">IF($K465="","",$K465-N($L465)-N($M465))</f>
        <v/>
      </c>
      <c r="O465" s="31"/>
      <c r="P465" s="31"/>
      <c r="Q465" s="31"/>
      <c r="R465" s="32"/>
      <c r="S465" s="32"/>
      <c r="T465" s="32"/>
      <c r="U465" s="32"/>
      <c r="V465" s="31"/>
      <c r="W465" s="40" t="str">
        <f aca="false">IF(OR($F465="",$J465=""),"",$F465+$J465)</f>
        <v/>
      </c>
      <c r="X465" s="32"/>
      <c r="Y465" s="34"/>
      <c r="Z465" s="31"/>
      <c r="AA465" s="31"/>
      <c r="AB465" s="32"/>
      <c r="AC465" s="31"/>
      <c r="AD465" s="32"/>
      <c r="AE465" s="31"/>
      <c r="AF465" s="41" t="str">
        <f aca="false">IF(OR($R465="",$S465=""),"",$S465-$R465)</f>
        <v/>
      </c>
      <c r="AG465" s="41" t="str">
        <f aca="false">IF(OR($S465="",$T465=""),"",$T465-$S465)</f>
        <v/>
      </c>
      <c r="AH465" s="41" t="str">
        <f aca="false">IF(OR($T465="",$U465=""),"",$U465-$T465)</f>
        <v/>
      </c>
      <c r="AI465" s="41" t="str">
        <f aca="false">IF(OR($R465="",$U465=""),"",$U465-$R465)</f>
        <v/>
      </c>
      <c r="AJ465" s="41" t="str">
        <f aca="false">IF(OR($U465="",$AB465=""),"",$AB465-$U465)</f>
        <v/>
      </c>
      <c r="AK465" s="41" t="str">
        <f aca="false">IF(OR($R465="",$AD465=""),"",$AD465-$R465)</f>
        <v/>
      </c>
      <c r="AL465" s="31"/>
      <c r="AM465" s="32"/>
      <c r="AN465" s="31"/>
    </row>
    <row r="466" customFormat="false" ht="15" hidden="false" customHeight="true" outlineLevel="0" collapsed="false">
      <c r="A466" s="38" t="str">
        <f aca="false">IF($B466="","",ROW()-3)</f>
        <v/>
      </c>
      <c r="B466" s="31"/>
      <c r="C466" s="31"/>
      <c r="D466" s="31"/>
      <c r="E466" s="31"/>
      <c r="F466" s="32"/>
      <c r="G466" s="32"/>
      <c r="H466" s="31"/>
      <c r="I466" s="31"/>
      <c r="J466" s="33"/>
      <c r="K466" s="34"/>
      <c r="L466" s="34"/>
      <c r="M466" s="34"/>
      <c r="N466" s="39" t="str">
        <f aca="false">IF($K466="","",$K466-N($L466)-N($M466))</f>
        <v/>
      </c>
      <c r="O466" s="31"/>
      <c r="P466" s="31"/>
      <c r="Q466" s="31"/>
      <c r="R466" s="32"/>
      <c r="S466" s="32"/>
      <c r="T466" s="32"/>
      <c r="U466" s="32"/>
      <c r="V466" s="31"/>
      <c r="W466" s="40" t="str">
        <f aca="false">IF(OR($F466="",$J466=""),"",$F466+$J466)</f>
        <v/>
      </c>
      <c r="X466" s="32"/>
      <c r="Y466" s="34"/>
      <c r="Z466" s="31"/>
      <c r="AA466" s="31"/>
      <c r="AB466" s="32"/>
      <c r="AC466" s="31"/>
      <c r="AD466" s="32"/>
      <c r="AE466" s="31"/>
      <c r="AF466" s="41" t="str">
        <f aca="false">IF(OR($R466="",$S466=""),"",$S466-$R466)</f>
        <v/>
      </c>
      <c r="AG466" s="41" t="str">
        <f aca="false">IF(OR($S466="",$T466=""),"",$T466-$S466)</f>
        <v/>
      </c>
      <c r="AH466" s="41" t="str">
        <f aca="false">IF(OR($T466="",$U466=""),"",$U466-$T466)</f>
        <v/>
      </c>
      <c r="AI466" s="41" t="str">
        <f aca="false">IF(OR($R466="",$U466=""),"",$U466-$R466)</f>
        <v/>
      </c>
      <c r="AJ466" s="41" t="str">
        <f aca="false">IF(OR($U466="",$AB466=""),"",$AB466-$U466)</f>
        <v/>
      </c>
      <c r="AK466" s="41" t="str">
        <f aca="false">IF(OR($R466="",$AD466=""),"",$AD466-$R466)</f>
        <v/>
      </c>
      <c r="AL466" s="31"/>
      <c r="AM466" s="32"/>
      <c r="AN466" s="31"/>
    </row>
    <row r="467" customFormat="false" ht="15" hidden="false" customHeight="true" outlineLevel="0" collapsed="false">
      <c r="A467" s="38" t="str">
        <f aca="false">IF($B467="","",ROW()-3)</f>
        <v/>
      </c>
      <c r="B467" s="31"/>
      <c r="C467" s="31"/>
      <c r="D467" s="31"/>
      <c r="E467" s="31"/>
      <c r="F467" s="32"/>
      <c r="G467" s="32"/>
      <c r="H467" s="31"/>
      <c r="I467" s="31"/>
      <c r="J467" s="33"/>
      <c r="K467" s="34"/>
      <c r="L467" s="34"/>
      <c r="M467" s="34"/>
      <c r="N467" s="39" t="str">
        <f aca="false">IF($K467="","",$K467-N($L467)-N($M467))</f>
        <v/>
      </c>
      <c r="O467" s="31"/>
      <c r="P467" s="31"/>
      <c r="Q467" s="31"/>
      <c r="R467" s="32"/>
      <c r="S467" s="32"/>
      <c r="T467" s="32"/>
      <c r="U467" s="32"/>
      <c r="V467" s="31"/>
      <c r="W467" s="40" t="str">
        <f aca="false">IF(OR($F467="",$J467=""),"",$F467+$J467)</f>
        <v/>
      </c>
      <c r="X467" s="32"/>
      <c r="Y467" s="34"/>
      <c r="Z467" s="31"/>
      <c r="AA467" s="31"/>
      <c r="AB467" s="32"/>
      <c r="AC467" s="31"/>
      <c r="AD467" s="32"/>
      <c r="AE467" s="31"/>
      <c r="AF467" s="41" t="str">
        <f aca="false">IF(OR($R467="",$S467=""),"",$S467-$R467)</f>
        <v/>
      </c>
      <c r="AG467" s="41" t="str">
        <f aca="false">IF(OR($S467="",$T467=""),"",$T467-$S467)</f>
        <v/>
      </c>
      <c r="AH467" s="41" t="str">
        <f aca="false">IF(OR($T467="",$U467=""),"",$U467-$T467)</f>
        <v/>
      </c>
      <c r="AI467" s="41" t="str">
        <f aca="false">IF(OR($R467="",$U467=""),"",$U467-$R467)</f>
        <v/>
      </c>
      <c r="AJ467" s="41" t="str">
        <f aca="false">IF(OR($U467="",$AB467=""),"",$AB467-$U467)</f>
        <v/>
      </c>
      <c r="AK467" s="41" t="str">
        <f aca="false">IF(OR($R467="",$AD467=""),"",$AD467-$R467)</f>
        <v/>
      </c>
      <c r="AL467" s="31"/>
      <c r="AM467" s="32"/>
      <c r="AN467" s="31"/>
    </row>
    <row r="468" customFormat="false" ht="15" hidden="false" customHeight="true" outlineLevel="0" collapsed="false">
      <c r="A468" s="38" t="str">
        <f aca="false">IF($B468="","",ROW()-3)</f>
        <v/>
      </c>
      <c r="B468" s="31"/>
      <c r="C468" s="31"/>
      <c r="D468" s="31"/>
      <c r="E468" s="31"/>
      <c r="F468" s="32"/>
      <c r="G468" s="32"/>
      <c r="H468" s="31"/>
      <c r="I468" s="31"/>
      <c r="J468" s="33"/>
      <c r="K468" s="34"/>
      <c r="L468" s="34"/>
      <c r="M468" s="34"/>
      <c r="N468" s="39" t="str">
        <f aca="false">IF($K468="","",$K468-N($L468)-N($M468))</f>
        <v/>
      </c>
      <c r="O468" s="31"/>
      <c r="P468" s="31"/>
      <c r="Q468" s="31"/>
      <c r="R468" s="32"/>
      <c r="S468" s="32"/>
      <c r="T468" s="32"/>
      <c r="U468" s="32"/>
      <c r="V468" s="31"/>
      <c r="W468" s="40" t="str">
        <f aca="false">IF(OR($F468="",$J468=""),"",$F468+$J468)</f>
        <v/>
      </c>
      <c r="X468" s="32"/>
      <c r="Y468" s="34"/>
      <c r="Z468" s="31"/>
      <c r="AA468" s="31"/>
      <c r="AB468" s="32"/>
      <c r="AC468" s="31"/>
      <c r="AD468" s="32"/>
      <c r="AE468" s="31"/>
      <c r="AF468" s="41" t="str">
        <f aca="false">IF(OR($R468="",$S468=""),"",$S468-$R468)</f>
        <v/>
      </c>
      <c r="AG468" s="41" t="str">
        <f aca="false">IF(OR($S468="",$T468=""),"",$T468-$S468)</f>
        <v/>
      </c>
      <c r="AH468" s="41" t="str">
        <f aca="false">IF(OR($T468="",$U468=""),"",$U468-$T468)</f>
        <v/>
      </c>
      <c r="AI468" s="41" t="str">
        <f aca="false">IF(OR($R468="",$U468=""),"",$U468-$R468)</f>
        <v/>
      </c>
      <c r="AJ468" s="41" t="str">
        <f aca="false">IF(OR($U468="",$AB468=""),"",$AB468-$U468)</f>
        <v/>
      </c>
      <c r="AK468" s="41" t="str">
        <f aca="false">IF(OR($R468="",$AD468=""),"",$AD468-$R468)</f>
        <v/>
      </c>
      <c r="AL468" s="31"/>
      <c r="AM468" s="32"/>
      <c r="AN468" s="31"/>
    </row>
    <row r="469" customFormat="false" ht="15" hidden="false" customHeight="true" outlineLevel="0" collapsed="false">
      <c r="A469" s="38" t="str">
        <f aca="false">IF($B469="","",ROW()-3)</f>
        <v/>
      </c>
      <c r="B469" s="31"/>
      <c r="C469" s="31"/>
      <c r="D469" s="31"/>
      <c r="E469" s="31"/>
      <c r="F469" s="32"/>
      <c r="G469" s="32"/>
      <c r="H469" s="31"/>
      <c r="I469" s="31"/>
      <c r="J469" s="33"/>
      <c r="K469" s="34"/>
      <c r="L469" s="34"/>
      <c r="M469" s="34"/>
      <c r="N469" s="39" t="str">
        <f aca="false">IF($K469="","",$K469-N($L469)-N($M469))</f>
        <v/>
      </c>
      <c r="O469" s="31"/>
      <c r="P469" s="31"/>
      <c r="Q469" s="31"/>
      <c r="R469" s="32"/>
      <c r="S469" s="32"/>
      <c r="T469" s="32"/>
      <c r="U469" s="32"/>
      <c r="V469" s="31"/>
      <c r="W469" s="40" t="str">
        <f aca="false">IF(OR($F469="",$J469=""),"",$F469+$J469)</f>
        <v/>
      </c>
      <c r="X469" s="32"/>
      <c r="Y469" s="34"/>
      <c r="Z469" s="31"/>
      <c r="AA469" s="31"/>
      <c r="AB469" s="32"/>
      <c r="AC469" s="31"/>
      <c r="AD469" s="32"/>
      <c r="AE469" s="31"/>
      <c r="AF469" s="41" t="str">
        <f aca="false">IF(OR($R469="",$S469=""),"",$S469-$R469)</f>
        <v/>
      </c>
      <c r="AG469" s="41" t="str">
        <f aca="false">IF(OR($S469="",$T469=""),"",$T469-$S469)</f>
        <v/>
      </c>
      <c r="AH469" s="41" t="str">
        <f aca="false">IF(OR($T469="",$U469=""),"",$U469-$T469)</f>
        <v/>
      </c>
      <c r="AI469" s="41" t="str">
        <f aca="false">IF(OR($R469="",$U469=""),"",$U469-$R469)</f>
        <v/>
      </c>
      <c r="AJ469" s="41" t="str">
        <f aca="false">IF(OR($U469="",$AB469=""),"",$AB469-$U469)</f>
        <v/>
      </c>
      <c r="AK469" s="41" t="str">
        <f aca="false">IF(OR($R469="",$AD469=""),"",$AD469-$R469)</f>
        <v/>
      </c>
      <c r="AL469" s="31"/>
      <c r="AM469" s="32"/>
      <c r="AN469" s="31"/>
    </row>
    <row r="470" customFormat="false" ht="15" hidden="false" customHeight="true" outlineLevel="0" collapsed="false">
      <c r="A470" s="38" t="str">
        <f aca="false">IF($B470="","",ROW()-3)</f>
        <v/>
      </c>
      <c r="B470" s="31"/>
      <c r="C470" s="31"/>
      <c r="D470" s="31"/>
      <c r="E470" s="31"/>
      <c r="F470" s="32"/>
      <c r="G470" s="32"/>
      <c r="H470" s="31"/>
      <c r="I470" s="31"/>
      <c r="J470" s="33"/>
      <c r="K470" s="34"/>
      <c r="L470" s="34"/>
      <c r="M470" s="34"/>
      <c r="N470" s="39" t="str">
        <f aca="false">IF($K470="","",$K470-N($L470)-N($M470))</f>
        <v/>
      </c>
      <c r="O470" s="31"/>
      <c r="P470" s="31"/>
      <c r="Q470" s="31"/>
      <c r="R470" s="32"/>
      <c r="S470" s="32"/>
      <c r="T470" s="32"/>
      <c r="U470" s="32"/>
      <c r="V470" s="31"/>
      <c r="W470" s="40" t="str">
        <f aca="false">IF(OR($F470="",$J470=""),"",$F470+$J470)</f>
        <v/>
      </c>
      <c r="X470" s="32"/>
      <c r="Y470" s="34"/>
      <c r="Z470" s="31"/>
      <c r="AA470" s="31"/>
      <c r="AB470" s="32"/>
      <c r="AC470" s="31"/>
      <c r="AD470" s="32"/>
      <c r="AE470" s="31"/>
      <c r="AF470" s="41" t="str">
        <f aca="false">IF(OR($R470="",$S470=""),"",$S470-$R470)</f>
        <v/>
      </c>
      <c r="AG470" s="41" t="str">
        <f aca="false">IF(OR($S470="",$T470=""),"",$T470-$S470)</f>
        <v/>
      </c>
      <c r="AH470" s="41" t="str">
        <f aca="false">IF(OR($T470="",$U470=""),"",$U470-$T470)</f>
        <v/>
      </c>
      <c r="AI470" s="41" t="str">
        <f aca="false">IF(OR($R470="",$U470=""),"",$U470-$R470)</f>
        <v/>
      </c>
      <c r="AJ470" s="41" t="str">
        <f aca="false">IF(OR($U470="",$AB470=""),"",$AB470-$U470)</f>
        <v/>
      </c>
      <c r="AK470" s="41" t="str">
        <f aca="false">IF(OR($R470="",$AD470=""),"",$AD470-$R470)</f>
        <v/>
      </c>
      <c r="AL470" s="31"/>
      <c r="AM470" s="32"/>
      <c r="AN470" s="31"/>
    </row>
    <row r="471" customFormat="false" ht="15" hidden="false" customHeight="true" outlineLevel="0" collapsed="false">
      <c r="A471" s="38" t="str">
        <f aca="false">IF($B471="","",ROW()-3)</f>
        <v/>
      </c>
      <c r="B471" s="31"/>
      <c r="C471" s="31"/>
      <c r="D471" s="31"/>
      <c r="E471" s="31"/>
      <c r="F471" s="32"/>
      <c r="G471" s="32"/>
      <c r="H471" s="31"/>
      <c r="I471" s="31"/>
      <c r="J471" s="33"/>
      <c r="K471" s="34"/>
      <c r="L471" s="34"/>
      <c r="M471" s="34"/>
      <c r="N471" s="39" t="str">
        <f aca="false">IF($K471="","",$K471-N($L471)-N($M471))</f>
        <v/>
      </c>
      <c r="O471" s="31"/>
      <c r="P471" s="31"/>
      <c r="Q471" s="31"/>
      <c r="R471" s="32"/>
      <c r="S471" s="32"/>
      <c r="T471" s="32"/>
      <c r="U471" s="32"/>
      <c r="V471" s="31"/>
      <c r="W471" s="40" t="str">
        <f aca="false">IF(OR($F471="",$J471=""),"",$F471+$J471)</f>
        <v/>
      </c>
      <c r="X471" s="32"/>
      <c r="Y471" s="34"/>
      <c r="Z471" s="31"/>
      <c r="AA471" s="31"/>
      <c r="AB471" s="32"/>
      <c r="AC471" s="31"/>
      <c r="AD471" s="32"/>
      <c r="AE471" s="31"/>
      <c r="AF471" s="41" t="str">
        <f aca="false">IF(OR($R471="",$S471=""),"",$S471-$R471)</f>
        <v/>
      </c>
      <c r="AG471" s="41" t="str">
        <f aca="false">IF(OR($S471="",$T471=""),"",$T471-$S471)</f>
        <v/>
      </c>
      <c r="AH471" s="41" t="str">
        <f aca="false">IF(OR($T471="",$U471=""),"",$U471-$T471)</f>
        <v/>
      </c>
      <c r="AI471" s="41" t="str">
        <f aca="false">IF(OR($R471="",$U471=""),"",$U471-$R471)</f>
        <v/>
      </c>
      <c r="AJ471" s="41" t="str">
        <f aca="false">IF(OR($U471="",$AB471=""),"",$AB471-$U471)</f>
        <v/>
      </c>
      <c r="AK471" s="41" t="str">
        <f aca="false">IF(OR($R471="",$AD471=""),"",$AD471-$R471)</f>
        <v/>
      </c>
      <c r="AL471" s="31"/>
      <c r="AM471" s="32"/>
      <c r="AN471" s="31"/>
    </row>
    <row r="472" customFormat="false" ht="15" hidden="false" customHeight="true" outlineLevel="0" collapsed="false">
      <c r="A472" s="38" t="str">
        <f aca="false">IF($B472="","",ROW()-3)</f>
        <v/>
      </c>
      <c r="B472" s="31"/>
      <c r="C472" s="31"/>
      <c r="D472" s="31"/>
      <c r="E472" s="31"/>
      <c r="F472" s="32"/>
      <c r="G472" s="32"/>
      <c r="H472" s="31"/>
      <c r="I472" s="31"/>
      <c r="J472" s="33"/>
      <c r="K472" s="34"/>
      <c r="L472" s="34"/>
      <c r="M472" s="34"/>
      <c r="N472" s="39" t="str">
        <f aca="false">IF($K472="","",$K472-N($L472)-N($M472))</f>
        <v/>
      </c>
      <c r="O472" s="31"/>
      <c r="P472" s="31"/>
      <c r="Q472" s="31"/>
      <c r="R472" s="32"/>
      <c r="S472" s="32"/>
      <c r="T472" s="32"/>
      <c r="U472" s="32"/>
      <c r="V472" s="31"/>
      <c r="W472" s="40" t="str">
        <f aca="false">IF(OR($F472="",$J472=""),"",$F472+$J472)</f>
        <v/>
      </c>
      <c r="X472" s="32"/>
      <c r="Y472" s="34"/>
      <c r="Z472" s="31"/>
      <c r="AA472" s="31"/>
      <c r="AB472" s="32"/>
      <c r="AC472" s="31"/>
      <c r="AD472" s="32"/>
      <c r="AE472" s="31"/>
      <c r="AF472" s="41" t="str">
        <f aca="false">IF(OR($R472="",$S472=""),"",$S472-$R472)</f>
        <v/>
      </c>
      <c r="AG472" s="41" t="str">
        <f aca="false">IF(OR($S472="",$T472=""),"",$T472-$S472)</f>
        <v/>
      </c>
      <c r="AH472" s="41" t="str">
        <f aca="false">IF(OR($T472="",$U472=""),"",$U472-$T472)</f>
        <v/>
      </c>
      <c r="AI472" s="41" t="str">
        <f aca="false">IF(OR($R472="",$U472=""),"",$U472-$R472)</f>
        <v/>
      </c>
      <c r="AJ472" s="41" t="str">
        <f aca="false">IF(OR($U472="",$AB472=""),"",$AB472-$U472)</f>
        <v/>
      </c>
      <c r="AK472" s="41" t="str">
        <f aca="false">IF(OR($R472="",$AD472=""),"",$AD472-$R472)</f>
        <v/>
      </c>
      <c r="AL472" s="31"/>
      <c r="AM472" s="32"/>
      <c r="AN472" s="31"/>
    </row>
    <row r="473" customFormat="false" ht="15" hidden="false" customHeight="true" outlineLevel="0" collapsed="false">
      <c r="A473" s="38" t="str">
        <f aca="false">IF($B473="","",ROW()-3)</f>
        <v/>
      </c>
      <c r="B473" s="31"/>
      <c r="C473" s="31"/>
      <c r="D473" s="31"/>
      <c r="E473" s="31"/>
      <c r="F473" s="32"/>
      <c r="G473" s="32"/>
      <c r="H473" s="31"/>
      <c r="I473" s="31"/>
      <c r="J473" s="33"/>
      <c r="K473" s="34"/>
      <c r="L473" s="34"/>
      <c r="M473" s="34"/>
      <c r="N473" s="39" t="str">
        <f aca="false">IF($K473="","",$K473-N($L473)-N($M473))</f>
        <v/>
      </c>
      <c r="O473" s="31"/>
      <c r="P473" s="31"/>
      <c r="Q473" s="31"/>
      <c r="R473" s="32"/>
      <c r="S473" s="32"/>
      <c r="T473" s="32"/>
      <c r="U473" s="32"/>
      <c r="V473" s="31"/>
      <c r="W473" s="40" t="str">
        <f aca="false">IF(OR($F473="",$J473=""),"",$F473+$J473)</f>
        <v/>
      </c>
      <c r="X473" s="32"/>
      <c r="Y473" s="34"/>
      <c r="Z473" s="31"/>
      <c r="AA473" s="31"/>
      <c r="AB473" s="32"/>
      <c r="AC473" s="31"/>
      <c r="AD473" s="32"/>
      <c r="AE473" s="31"/>
      <c r="AF473" s="41" t="str">
        <f aca="false">IF(OR($R473="",$S473=""),"",$S473-$R473)</f>
        <v/>
      </c>
      <c r="AG473" s="41" t="str">
        <f aca="false">IF(OR($S473="",$T473=""),"",$T473-$S473)</f>
        <v/>
      </c>
      <c r="AH473" s="41" t="str">
        <f aca="false">IF(OR($T473="",$U473=""),"",$U473-$T473)</f>
        <v/>
      </c>
      <c r="AI473" s="41" t="str">
        <f aca="false">IF(OR($R473="",$U473=""),"",$U473-$R473)</f>
        <v/>
      </c>
      <c r="AJ473" s="41" t="str">
        <f aca="false">IF(OR($U473="",$AB473=""),"",$AB473-$U473)</f>
        <v/>
      </c>
      <c r="AK473" s="41" t="str">
        <f aca="false">IF(OR($R473="",$AD473=""),"",$AD473-$R473)</f>
        <v/>
      </c>
      <c r="AL473" s="31"/>
      <c r="AM473" s="32"/>
      <c r="AN473" s="31"/>
    </row>
    <row r="474" customFormat="false" ht="15" hidden="false" customHeight="true" outlineLevel="0" collapsed="false">
      <c r="A474" s="38" t="str">
        <f aca="false">IF($B474="","",ROW()-3)</f>
        <v/>
      </c>
      <c r="B474" s="31"/>
      <c r="C474" s="31"/>
      <c r="D474" s="31"/>
      <c r="E474" s="31"/>
      <c r="F474" s="32"/>
      <c r="G474" s="32"/>
      <c r="H474" s="31"/>
      <c r="I474" s="31"/>
      <c r="J474" s="33"/>
      <c r="K474" s="34"/>
      <c r="L474" s="34"/>
      <c r="M474" s="34"/>
      <c r="N474" s="39" t="str">
        <f aca="false">IF($K474="","",$K474-N($L474)-N($M474))</f>
        <v/>
      </c>
      <c r="O474" s="31"/>
      <c r="P474" s="31"/>
      <c r="Q474" s="31"/>
      <c r="R474" s="32"/>
      <c r="S474" s="32"/>
      <c r="T474" s="32"/>
      <c r="U474" s="32"/>
      <c r="V474" s="31"/>
      <c r="W474" s="40" t="str">
        <f aca="false">IF(OR($F474="",$J474=""),"",$F474+$J474)</f>
        <v/>
      </c>
      <c r="X474" s="32"/>
      <c r="Y474" s="34"/>
      <c r="Z474" s="31"/>
      <c r="AA474" s="31"/>
      <c r="AB474" s="32"/>
      <c r="AC474" s="31"/>
      <c r="AD474" s="32"/>
      <c r="AE474" s="31"/>
      <c r="AF474" s="41" t="str">
        <f aca="false">IF(OR($R474="",$S474=""),"",$S474-$R474)</f>
        <v/>
      </c>
      <c r="AG474" s="41" t="str">
        <f aca="false">IF(OR($S474="",$T474=""),"",$T474-$S474)</f>
        <v/>
      </c>
      <c r="AH474" s="41" t="str">
        <f aca="false">IF(OR($T474="",$U474=""),"",$U474-$T474)</f>
        <v/>
      </c>
      <c r="AI474" s="41" t="str">
        <f aca="false">IF(OR($R474="",$U474=""),"",$U474-$R474)</f>
        <v/>
      </c>
      <c r="AJ474" s="41" t="str">
        <f aca="false">IF(OR($U474="",$AB474=""),"",$AB474-$U474)</f>
        <v/>
      </c>
      <c r="AK474" s="41" t="str">
        <f aca="false">IF(OR($R474="",$AD474=""),"",$AD474-$R474)</f>
        <v/>
      </c>
      <c r="AL474" s="31"/>
      <c r="AM474" s="32"/>
      <c r="AN474" s="31"/>
    </row>
    <row r="475" customFormat="false" ht="15" hidden="false" customHeight="true" outlineLevel="0" collapsed="false">
      <c r="A475" s="38" t="str">
        <f aca="false">IF($B475="","",ROW()-3)</f>
        <v/>
      </c>
      <c r="B475" s="31"/>
      <c r="C475" s="31"/>
      <c r="D475" s="31"/>
      <c r="E475" s="31"/>
      <c r="F475" s="32"/>
      <c r="G475" s="32"/>
      <c r="H475" s="31"/>
      <c r="I475" s="31"/>
      <c r="J475" s="33"/>
      <c r="K475" s="34"/>
      <c r="L475" s="34"/>
      <c r="M475" s="34"/>
      <c r="N475" s="39" t="str">
        <f aca="false">IF($K475="","",$K475-N($L475)-N($M475))</f>
        <v/>
      </c>
      <c r="O475" s="31"/>
      <c r="P475" s="31"/>
      <c r="Q475" s="31"/>
      <c r="R475" s="32"/>
      <c r="S475" s="32"/>
      <c r="T475" s="32"/>
      <c r="U475" s="32"/>
      <c r="V475" s="31"/>
      <c r="W475" s="40" t="str">
        <f aca="false">IF(OR($F475="",$J475=""),"",$F475+$J475)</f>
        <v/>
      </c>
      <c r="X475" s="32"/>
      <c r="Y475" s="34"/>
      <c r="Z475" s="31"/>
      <c r="AA475" s="31"/>
      <c r="AB475" s="32"/>
      <c r="AC475" s="31"/>
      <c r="AD475" s="32"/>
      <c r="AE475" s="31"/>
      <c r="AF475" s="41" t="str">
        <f aca="false">IF(OR($R475="",$S475=""),"",$S475-$R475)</f>
        <v/>
      </c>
      <c r="AG475" s="41" t="str">
        <f aca="false">IF(OR($S475="",$T475=""),"",$T475-$S475)</f>
        <v/>
      </c>
      <c r="AH475" s="41" t="str">
        <f aca="false">IF(OR($T475="",$U475=""),"",$U475-$T475)</f>
        <v/>
      </c>
      <c r="AI475" s="41" t="str">
        <f aca="false">IF(OR($R475="",$U475=""),"",$U475-$R475)</f>
        <v/>
      </c>
      <c r="AJ475" s="41" t="str">
        <f aca="false">IF(OR($U475="",$AB475=""),"",$AB475-$U475)</f>
        <v/>
      </c>
      <c r="AK475" s="41" t="str">
        <f aca="false">IF(OR($R475="",$AD475=""),"",$AD475-$R475)</f>
        <v/>
      </c>
      <c r="AL475" s="31"/>
      <c r="AM475" s="32"/>
      <c r="AN475" s="31"/>
    </row>
    <row r="476" customFormat="false" ht="15" hidden="false" customHeight="true" outlineLevel="0" collapsed="false">
      <c r="A476" s="38" t="str">
        <f aca="false">IF($B476="","",ROW()-3)</f>
        <v/>
      </c>
      <c r="B476" s="31"/>
      <c r="C476" s="31"/>
      <c r="D476" s="31"/>
      <c r="E476" s="31"/>
      <c r="F476" s="32"/>
      <c r="G476" s="32"/>
      <c r="H476" s="31"/>
      <c r="I476" s="31"/>
      <c r="J476" s="33"/>
      <c r="K476" s="34"/>
      <c r="L476" s="34"/>
      <c r="M476" s="34"/>
      <c r="N476" s="39" t="str">
        <f aca="false">IF($K476="","",$K476-N($L476)-N($M476))</f>
        <v/>
      </c>
      <c r="O476" s="31"/>
      <c r="P476" s="31"/>
      <c r="Q476" s="31"/>
      <c r="R476" s="32"/>
      <c r="S476" s="32"/>
      <c r="T476" s="32"/>
      <c r="U476" s="32"/>
      <c r="V476" s="31"/>
      <c r="W476" s="40" t="str">
        <f aca="false">IF(OR($F476="",$J476=""),"",$F476+$J476)</f>
        <v/>
      </c>
      <c r="X476" s="32"/>
      <c r="Y476" s="34"/>
      <c r="Z476" s="31"/>
      <c r="AA476" s="31"/>
      <c r="AB476" s="32"/>
      <c r="AC476" s="31"/>
      <c r="AD476" s="32"/>
      <c r="AE476" s="31"/>
      <c r="AF476" s="41" t="str">
        <f aca="false">IF(OR($R476="",$S476=""),"",$S476-$R476)</f>
        <v/>
      </c>
      <c r="AG476" s="41" t="str">
        <f aca="false">IF(OR($S476="",$T476=""),"",$T476-$S476)</f>
        <v/>
      </c>
      <c r="AH476" s="41" t="str">
        <f aca="false">IF(OR($T476="",$U476=""),"",$U476-$T476)</f>
        <v/>
      </c>
      <c r="AI476" s="41" t="str">
        <f aca="false">IF(OR($R476="",$U476=""),"",$U476-$R476)</f>
        <v/>
      </c>
      <c r="AJ476" s="41" t="str">
        <f aca="false">IF(OR($U476="",$AB476=""),"",$AB476-$U476)</f>
        <v/>
      </c>
      <c r="AK476" s="41" t="str">
        <f aca="false">IF(OR($R476="",$AD476=""),"",$AD476-$R476)</f>
        <v/>
      </c>
      <c r="AL476" s="31"/>
      <c r="AM476" s="32"/>
      <c r="AN476" s="31"/>
    </row>
    <row r="477" customFormat="false" ht="15" hidden="false" customHeight="true" outlineLevel="0" collapsed="false">
      <c r="A477" s="38" t="str">
        <f aca="false">IF($B477="","",ROW()-3)</f>
        <v/>
      </c>
      <c r="B477" s="31"/>
      <c r="C477" s="31"/>
      <c r="D477" s="31"/>
      <c r="E477" s="31"/>
      <c r="F477" s="32"/>
      <c r="G477" s="32"/>
      <c r="H477" s="31"/>
      <c r="I477" s="31"/>
      <c r="J477" s="33"/>
      <c r="K477" s="34"/>
      <c r="L477" s="34"/>
      <c r="M477" s="34"/>
      <c r="N477" s="39" t="str">
        <f aca="false">IF($K477="","",$K477-N($L477)-N($M477))</f>
        <v/>
      </c>
      <c r="O477" s="31"/>
      <c r="P477" s="31"/>
      <c r="Q477" s="31"/>
      <c r="R477" s="32"/>
      <c r="S477" s="32"/>
      <c r="T477" s="32"/>
      <c r="U477" s="32"/>
      <c r="V477" s="31"/>
      <c r="W477" s="40" t="str">
        <f aca="false">IF(OR($F477="",$J477=""),"",$F477+$J477)</f>
        <v/>
      </c>
      <c r="X477" s="32"/>
      <c r="Y477" s="34"/>
      <c r="Z477" s="31"/>
      <c r="AA477" s="31"/>
      <c r="AB477" s="32"/>
      <c r="AC477" s="31"/>
      <c r="AD477" s="32"/>
      <c r="AE477" s="31"/>
      <c r="AF477" s="41" t="str">
        <f aca="false">IF(OR($R477="",$S477=""),"",$S477-$R477)</f>
        <v/>
      </c>
      <c r="AG477" s="41" t="str">
        <f aca="false">IF(OR($S477="",$T477=""),"",$T477-$S477)</f>
        <v/>
      </c>
      <c r="AH477" s="41" t="str">
        <f aca="false">IF(OR($T477="",$U477=""),"",$U477-$T477)</f>
        <v/>
      </c>
      <c r="AI477" s="41" t="str">
        <f aca="false">IF(OR($R477="",$U477=""),"",$U477-$R477)</f>
        <v/>
      </c>
      <c r="AJ477" s="41" t="str">
        <f aca="false">IF(OR($U477="",$AB477=""),"",$AB477-$U477)</f>
        <v/>
      </c>
      <c r="AK477" s="41" t="str">
        <f aca="false">IF(OR($R477="",$AD477=""),"",$AD477-$R477)</f>
        <v/>
      </c>
      <c r="AL477" s="31"/>
      <c r="AM477" s="32"/>
      <c r="AN477" s="31"/>
    </row>
    <row r="478" customFormat="false" ht="15" hidden="false" customHeight="true" outlineLevel="0" collapsed="false">
      <c r="A478" s="38" t="str">
        <f aca="false">IF($B478="","",ROW()-3)</f>
        <v/>
      </c>
      <c r="B478" s="31"/>
      <c r="C478" s="31"/>
      <c r="D478" s="31"/>
      <c r="E478" s="31"/>
      <c r="F478" s="32"/>
      <c r="G478" s="32"/>
      <c r="H478" s="31"/>
      <c r="I478" s="31"/>
      <c r="J478" s="33"/>
      <c r="K478" s="34"/>
      <c r="L478" s="34"/>
      <c r="M478" s="34"/>
      <c r="N478" s="39" t="str">
        <f aca="false">IF($K478="","",$K478-N($L478)-N($M478))</f>
        <v/>
      </c>
      <c r="O478" s="31"/>
      <c r="P478" s="31"/>
      <c r="Q478" s="31"/>
      <c r="R478" s="32"/>
      <c r="S478" s="32"/>
      <c r="T478" s="32"/>
      <c r="U478" s="32"/>
      <c r="V478" s="31"/>
      <c r="W478" s="40" t="str">
        <f aca="false">IF(OR($F478="",$J478=""),"",$F478+$J478)</f>
        <v/>
      </c>
      <c r="X478" s="32"/>
      <c r="Y478" s="34"/>
      <c r="Z478" s="31"/>
      <c r="AA478" s="31"/>
      <c r="AB478" s="32"/>
      <c r="AC478" s="31"/>
      <c r="AD478" s="32"/>
      <c r="AE478" s="31"/>
      <c r="AF478" s="41" t="str">
        <f aca="false">IF(OR($R478="",$S478=""),"",$S478-$R478)</f>
        <v/>
      </c>
      <c r="AG478" s="41" t="str">
        <f aca="false">IF(OR($S478="",$T478=""),"",$T478-$S478)</f>
        <v/>
      </c>
      <c r="AH478" s="41" t="str">
        <f aca="false">IF(OR($T478="",$U478=""),"",$U478-$T478)</f>
        <v/>
      </c>
      <c r="AI478" s="41" t="str">
        <f aca="false">IF(OR($R478="",$U478=""),"",$U478-$R478)</f>
        <v/>
      </c>
      <c r="AJ478" s="41" t="str">
        <f aca="false">IF(OR($U478="",$AB478=""),"",$AB478-$U478)</f>
        <v/>
      </c>
      <c r="AK478" s="41" t="str">
        <f aca="false">IF(OR($R478="",$AD478=""),"",$AD478-$R478)</f>
        <v/>
      </c>
      <c r="AL478" s="31"/>
      <c r="AM478" s="32"/>
      <c r="AN478" s="31"/>
    </row>
    <row r="479" customFormat="false" ht="15" hidden="false" customHeight="true" outlineLevel="0" collapsed="false">
      <c r="A479" s="38" t="str">
        <f aca="false">IF($B479="","",ROW()-3)</f>
        <v/>
      </c>
      <c r="B479" s="31"/>
      <c r="C479" s="31"/>
      <c r="D479" s="31"/>
      <c r="E479" s="31"/>
      <c r="F479" s="32"/>
      <c r="G479" s="32"/>
      <c r="H479" s="31"/>
      <c r="I479" s="31"/>
      <c r="J479" s="33"/>
      <c r="K479" s="34"/>
      <c r="L479" s="34"/>
      <c r="M479" s="34"/>
      <c r="N479" s="39" t="str">
        <f aca="false">IF($K479="","",$K479-N($L479)-N($M479))</f>
        <v/>
      </c>
      <c r="O479" s="31"/>
      <c r="P479" s="31"/>
      <c r="Q479" s="31"/>
      <c r="R479" s="32"/>
      <c r="S479" s="32"/>
      <c r="T479" s="32"/>
      <c r="U479" s="32"/>
      <c r="V479" s="31"/>
      <c r="W479" s="40" t="str">
        <f aca="false">IF(OR($F479="",$J479=""),"",$F479+$J479)</f>
        <v/>
      </c>
      <c r="X479" s="32"/>
      <c r="Y479" s="34"/>
      <c r="Z479" s="31"/>
      <c r="AA479" s="31"/>
      <c r="AB479" s="32"/>
      <c r="AC479" s="31"/>
      <c r="AD479" s="32"/>
      <c r="AE479" s="31"/>
      <c r="AF479" s="41" t="str">
        <f aca="false">IF(OR($R479="",$S479=""),"",$S479-$R479)</f>
        <v/>
      </c>
      <c r="AG479" s="41" t="str">
        <f aca="false">IF(OR($S479="",$T479=""),"",$T479-$S479)</f>
        <v/>
      </c>
      <c r="AH479" s="41" t="str">
        <f aca="false">IF(OR($T479="",$U479=""),"",$U479-$T479)</f>
        <v/>
      </c>
      <c r="AI479" s="41" t="str">
        <f aca="false">IF(OR($R479="",$U479=""),"",$U479-$R479)</f>
        <v/>
      </c>
      <c r="AJ479" s="41" t="str">
        <f aca="false">IF(OR($U479="",$AB479=""),"",$AB479-$U479)</f>
        <v/>
      </c>
      <c r="AK479" s="41" t="str">
        <f aca="false">IF(OR($R479="",$AD479=""),"",$AD479-$R479)</f>
        <v/>
      </c>
      <c r="AL479" s="31"/>
      <c r="AM479" s="32"/>
      <c r="AN479" s="31"/>
    </row>
    <row r="480" customFormat="false" ht="15" hidden="false" customHeight="true" outlineLevel="0" collapsed="false">
      <c r="A480" s="38" t="str">
        <f aca="false">IF($B480="","",ROW()-3)</f>
        <v/>
      </c>
      <c r="B480" s="31"/>
      <c r="C480" s="31"/>
      <c r="D480" s="31"/>
      <c r="E480" s="31"/>
      <c r="F480" s="32"/>
      <c r="G480" s="32"/>
      <c r="H480" s="31"/>
      <c r="I480" s="31"/>
      <c r="J480" s="33"/>
      <c r="K480" s="34"/>
      <c r="L480" s="34"/>
      <c r="M480" s="34"/>
      <c r="N480" s="39" t="str">
        <f aca="false">IF($K480="","",$K480-N($L480)-N($M480))</f>
        <v/>
      </c>
      <c r="O480" s="31"/>
      <c r="P480" s="31"/>
      <c r="Q480" s="31"/>
      <c r="R480" s="32"/>
      <c r="S480" s="32"/>
      <c r="T480" s="32"/>
      <c r="U480" s="32"/>
      <c r="V480" s="31"/>
      <c r="W480" s="40" t="str">
        <f aca="false">IF(OR($F480="",$J480=""),"",$F480+$J480)</f>
        <v/>
      </c>
      <c r="X480" s="32"/>
      <c r="Y480" s="34"/>
      <c r="Z480" s="31"/>
      <c r="AA480" s="31"/>
      <c r="AB480" s="32"/>
      <c r="AC480" s="31"/>
      <c r="AD480" s="32"/>
      <c r="AE480" s="31"/>
      <c r="AF480" s="41" t="str">
        <f aca="false">IF(OR($R480="",$S480=""),"",$S480-$R480)</f>
        <v/>
      </c>
      <c r="AG480" s="41" t="str">
        <f aca="false">IF(OR($S480="",$T480=""),"",$T480-$S480)</f>
        <v/>
      </c>
      <c r="AH480" s="41" t="str">
        <f aca="false">IF(OR($T480="",$U480=""),"",$U480-$T480)</f>
        <v/>
      </c>
      <c r="AI480" s="41" t="str">
        <f aca="false">IF(OR($R480="",$U480=""),"",$U480-$R480)</f>
        <v/>
      </c>
      <c r="AJ480" s="41" t="str">
        <f aca="false">IF(OR($U480="",$AB480=""),"",$AB480-$U480)</f>
        <v/>
      </c>
      <c r="AK480" s="41" t="str">
        <f aca="false">IF(OR($R480="",$AD480=""),"",$AD480-$R480)</f>
        <v/>
      </c>
      <c r="AL480" s="31"/>
      <c r="AM480" s="32"/>
      <c r="AN480" s="31"/>
    </row>
    <row r="481" customFormat="false" ht="15" hidden="false" customHeight="true" outlineLevel="0" collapsed="false">
      <c r="A481" s="38" t="str">
        <f aca="false">IF($B481="","",ROW()-3)</f>
        <v/>
      </c>
      <c r="B481" s="31"/>
      <c r="C481" s="31"/>
      <c r="D481" s="31"/>
      <c r="E481" s="31"/>
      <c r="F481" s="32"/>
      <c r="G481" s="32"/>
      <c r="H481" s="31"/>
      <c r="I481" s="31"/>
      <c r="J481" s="33"/>
      <c r="K481" s="34"/>
      <c r="L481" s="34"/>
      <c r="M481" s="34"/>
      <c r="N481" s="39" t="str">
        <f aca="false">IF($K481="","",$K481-N($L481)-N($M481))</f>
        <v/>
      </c>
      <c r="O481" s="31"/>
      <c r="P481" s="31"/>
      <c r="Q481" s="31"/>
      <c r="R481" s="32"/>
      <c r="S481" s="32"/>
      <c r="T481" s="32"/>
      <c r="U481" s="32"/>
      <c r="V481" s="31"/>
      <c r="W481" s="40" t="str">
        <f aca="false">IF(OR($F481="",$J481=""),"",$F481+$J481)</f>
        <v/>
      </c>
      <c r="X481" s="32"/>
      <c r="Y481" s="34"/>
      <c r="Z481" s="31"/>
      <c r="AA481" s="31"/>
      <c r="AB481" s="32"/>
      <c r="AC481" s="31"/>
      <c r="AD481" s="32"/>
      <c r="AE481" s="31"/>
      <c r="AF481" s="41" t="str">
        <f aca="false">IF(OR($R481="",$S481=""),"",$S481-$R481)</f>
        <v/>
      </c>
      <c r="AG481" s="41" t="str">
        <f aca="false">IF(OR($S481="",$T481=""),"",$T481-$S481)</f>
        <v/>
      </c>
      <c r="AH481" s="41" t="str">
        <f aca="false">IF(OR($T481="",$U481=""),"",$U481-$T481)</f>
        <v/>
      </c>
      <c r="AI481" s="41" t="str">
        <f aca="false">IF(OR($R481="",$U481=""),"",$U481-$R481)</f>
        <v/>
      </c>
      <c r="AJ481" s="41" t="str">
        <f aca="false">IF(OR($U481="",$AB481=""),"",$AB481-$U481)</f>
        <v/>
      </c>
      <c r="AK481" s="41" t="str">
        <f aca="false">IF(OR($R481="",$AD481=""),"",$AD481-$R481)</f>
        <v/>
      </c>
      <c r="AL481" s="31"/>
      <c r="AM481" s="32"/>
      <c r="AN481" s="31"/>
    </row>
    <row r="482" customFormat="false" ht="15" hidden="false" customHeight="true" outlineLevel="0" collapsed="false">
      <c r="A482" s="38" t="str">
        <f aca="false">IF($B482="","",ROW()-3)</f>
        <v/>
      </c>
      <c r="B482" s="31"/>
      <c r="C482" s="31"/>
      <c r="D482" s="31"/>
      <c r="E482" s="31"/>
      <c r="F482" s="32"/>
      <c r="G482" s="32"/>
      <c r="H482" s="31"/>
      <c r="I482" s="31"/>
      <c r="J482" s="33"/>
      <c r="K482" s="34"/>
      <c r="L482" s="34"/>
      <c r="M482" s="34"/>
      <c r="N482" s="39" t="str">
        <f aca="false">IF($K482="","",$K482-N($L482)-N($M482))</f>
        <v/>
      </c>
      <c r="O482" s="31"/>
      <c r="P482" s="31"/>
      <c r="Q482" s="31"/>
      <c r="R482" s="32"/>
      <c r="S482" s="32"/>
      <c r="T482" s="32"/>
      <c r="U482" s="32"/>
      <c r="V482" s="31"/>
      <c r="W482" s="40" t="str">
        <f aca="false">IF(OR($F482="",$J482=""),"",$F482+$J482)</f>
        <v/>
      </c>
      <c r="X482" s="32"/>
      <c r="Y482" s="34"/>
      <c r="Z482" s="31"/>
      <c r="AA482" s="31"/>
      <c r="AB482" s="32"/>
      <c r="AC482" s="31"/>
      <c r="AD482" s="32"/>
      <c r="AE482" s="31"/>
      <c r="AF482" s="41" t="str">
        <f aca="false">IF(OR($R482="",$S482=""),"",$S482-$R482)</f>
        <v/>
      </c>
      <c r="AG482" s="41" t="str">
        <f aca="false">IF(OR($S482="",$T482=""),"",$T482-$S482)</f>
        <v/>
      </c>
      <c r="AH482" s="41" t="str">
        <f aca="false">IF(OR($T482="",$U482=""),"",$U482-$T482)</f>
        <v/>
      </c>
      <c r="AI482" s="41" t="str">
        <f aca="false">IF(OR($R482="",$U482=""),"",$U482-$R482)</f>
        <v/>
      </c>
      <c r="AJ482" s="41" t="str">
        <f aca="false">IF(OR($U482="",$AB482=""),"",$AB482-$U482)</f>
        <v/>
      </c>
      <c r="AK482" s="41" t="str">
        <f aca="false">IF(OR($R482="",$AD482=""),"",$AD482-$R482)</f>
        <v/>
      </c>
      <c r="AL482" s="31"/>
      <c r="AM482" s="32"/>
      <c r="AN482" s="31"/>
    </row>
    <row r="483" customFormat="false" ht="15" hidden="false" customHeight="true" outlineLevel="0" collapsed="false">
      <c r="A483" s="38" t="str">
        <f aca="false">IF($B483="","",ROW()-3)</f>
        <v/>
      </c>
      <c r="B483" s="31"/>
      <c r="C483" s="31"/>
      <c r="D483" s="31"/>
      <c r="E483" s="31"/>
      <c r="F483" s="32"/>
      <c r="G483" s="32"/>
      <c r="H483" s="31"/>
      <c r="I483" s="31"/>
      <c r="J483" s="33"/>
      <c r="K483" s="34"/>
      <c r="L483" s="34"/>
      <c r="M483" s="34"/>
      <c r="N483" s="39" t="str">
        <f aca="false">IF($K483="","",$K483-N($L483)-N($M483))</f>
        <v/>
      </c>
      <c r="O483" s="31"/>
      <c r="P483" s="31"/>
      <c r="Q483" s="31"/>
      <c r="R483" s="32"/>
      <c r="S483" s="32"/>
      <c r="T483" s="32"/>
      <c r="U483" s="32"/>
      <c r="V483" s="31"/>
      <c r="W483" s="40" t="str">
        <f aca="false">IF(OR($F483="",$J483=""),"",$F483+$J483)</f>
        <v/>
      </c>
      <c r="X483" s="32"/>
      <c r="Y483" s="34"/>
      <c r="Z483" s="31"/>
      <c r="AA483" s="31"/>
      <c r="AB483" s="32"/>
      <c r="AC483" s="31"/>
      <c r="AD483" s="32"/>
      <c r="AE483" s="31"/>
      <c r="AF483" s="41" t="str">
        <f aca="false">IF(OR($R483="",$S483=""),"",$S483-$R483)</f>
        <v/>
      </c>
      <c r="AG483" s="41" t="str">
        <f aca="false">IF(OR($S483="",$T483=""),"",$T483-$S483)</f>
        <v/>
      </c>
      <c r="AH483" s="41" t="str">
        <f aca="false">IF(OR($T483="",$U483=""),"",$U483-$T483)</f>
        <v/>
      </c>
      <c r="AI483" s="41" t="str">
        <f aca="false">IF(OR($R483="",$U483=""),"",$U483-$R483)</f>
        <v/>
      </c>
      <c r="AJ483" s="41" t="str">
        <f aca="false">IF(OR($U483="",$AB483=""),"",$AB483-$U483)</f>
        <v/>
      </c>
      <c r="AK483" s="41" t="str">
        <f aca="false">IF(OR($R483="",$AD483=""),"",$AD483-$R483)</f>
        <v/>
      </c>
      <c r="AL483" s="31"/>
      <c r="AM483" s="32"/>
      <c r="AN483" s="31"/>
    </row>
    <row r="484" customFormat="false" ht="15" hidden="false" customHeight="true" outlineLevel="0" collapsed="false">
      <c r="A484" s="38" t="str">
        <f aca="false">IF($B484="","",ROW()-3)</f>
        <v/>
      </c>
      <c r="B484" s="31"/>
      <c r="C484" s="31"/>
      <c r="D484" s="31"/>
      <c r="E484" s="31"/>
      <c r="F484" s="32"/>
      <c r="G484" s="32"/>
      <c r="H484" s="31"/>
      <c r="I484" s="31"/>
      <c r="J484" s="33"/>
      <c r="K484" s="34"/>
      <c r="L484" s="34"/>
      <c r="M484" s="34"/>
      <c r="N484" s="39" t="str">
        <f aca="false">IF($K484="","",$K484-N($L484)-N($M484))</f>
        <v/>
      </c>
      <c r="O484" s="31"/>
      <c r="P484" s="31"/>
      <c r="Q484" s="31"/>
      <c r="R484" s="32"/>
      <c r="S484" s="32"/>
      <c r="T484" s="32"/>
      <c r="U484" s="32"/>
      <c r="V484" s="31"/>
      <c r="W484" s="40" t="str">
        <f aca="false">IF(OR($F484="",$J484=""),"",$F484+$J484)</f>
        <v/>
      </c>
      <c r="X484" s="32"/>
      <c r="Y484" s="34"/>
      <c r="Z484" s="31"/>
      <c r="AA484" s="31"/>
      <c r="AB484" s="32"/>
      <c r="AC484" s="31"/>
      <c r="AD484" s="32"/>
      <c r="AE484" s="31"/>
      <c r="AF484" s="41" t="str">
        <f aca="false">IF(OR($R484="",$S484=""),"",$S484-$R484)</f>
        <v/>
      </c>
      <c r="AG484" s="41" t="str">
        <f aca="false">IF(OR($S484="",$T484=""),"",$T484-$S484)</f>
        <v/>
      </c>
      <c r="AH484" s="41" t="str">
        <f aca="false">IF(OR($T484="",$U484=""),"",$U484-$T484)</f>
        <v/>
      </c>
      <c r="AI484" s="41" t="str">
        <f aca="false">IF(OR($R484="",$U484=""),"",$U484-$R484)</f>
        <v/>
      </c>
      <c r="AJ484" s="41" t="str">
        <f aca="false">IF(OR($U484="",$AB484=""),"",$AB484-$U484)</f>
        <v/>
      </c>
      <c r="AK484" s="41" t="str">
        <f aca="false">IF(OR($R484="",$AD484=""),"",$AD484-$R484)</f>
        <v/>
      </c>
      <c r="AL484" s="31"/>
      <c r="AM484" s="32"/>
      <c r="AN484" s="31"/>
    </row>
    <row r="485" customFormat="false" ht="15" hidden="false" customHeight="true" outlineLevel="0" collapsed="false">
      <c r="A485" s="38" t="str">
        <f aca="false">IF($B485="","",ROW()-3)</f>
        <v/>
      </c>
      <c r="B485" s="31"/>
      <c r="C485" s="31"/>
      <c r="D485" s="31"/>
      <c r="E485" s="31"/>
      <c r="F485" s="32"/>
      <c r="G485" s="32"/>
      <c r="H485" s="31"/>
      <c r="I485" s="31"/>
      <c r="J485" s="33"/>
      <c r="K485" s="34"/>
      <c r="L485" s="34"/>
      <c r="M485" s="34"/>
      <c r="N485" s="39" t="str">
        <f aca="false">IF($K485="","",$K485-N($L485)-N($M485))</f>
        <v/>
      </c>
      <c r="O485" s="31"/>
      <c r="P485" s="31"/>
      <c r="Q485" s="31"/>
      <c r="R485" s="32"/>
      <c r="S485" s="32"/>
      <c r="T485" s="32"/>
      <c r="U485" s="32"/>
      <c r="V485" s="31"/>
      <c r="W485" s="40" t="str">
        <f aca="false">IF(OR($F485="",$J485=""),"",$F485+$J485)</f>
        <v/>
      </c>
      <c r="X485" s="32"/>
      <c r="Y485" s="34"/>
      <c r="Z485" s="31"/>
      <c r="AA485" s="31"/>
      <c r="AB485" s="32"/>
      <c r="AC485" s="31"/>
      <c r="AD485" s="32"/>
      <c r="AE485" s="31"/>
      <c r="AF485" s="41" t="str">
        <f aca="false">IF(OR($R485="",$S485=""),"",$S485-$R485)</f>
        <v/>
      </c>
      <c r="AG485" s="41" t="str">
        <f aca="false">IF(OR($S485="",$T485=""),"",$T485-$S485)</f>
        <v/>
      </c>
      <c r="AH485" s="41" t="str">
        <f aca="false">IF(OR($T485="",$U485=""),"",$U485-$T485)</f>
        <v/>
      </c>
      <c r="AI485" s="41" t="str">
        <f aca="false">IF(OR($R485="",$U485=""),"",$U485-$R485)</f>
        <v/>
      </c>
      <c r="AJ485" s="41" t="str">
        <f aca="false">IF(OR($U485="",$AB485=""),"",$AB485-$U485)</f>
        <v/>
      </c>
      <c r="AK485" s="41" t="str">
        <f aca="false">IF(OR($R485="",$AD485=""),"",$AD485-$R485)</f>
        <v/>
      </c>
      <c r="AL485" s="31"/>
      <c r="AM485" s="32"/>
      <c r="AN485" s="31"/>
    </row>
    <row r="486" customFormat="false" ht="15" hidden="false" customHeight="true" outlineLevel="0" collapsed="false">
      <c r="A486" s="38" t="str">
        <f aca="false">IF($B486="","",ROW()-3)</f>
        <v/>
      </c>
      <c r="B486" s="31"/>
      <c r="C486" s="31"/>
      <c r="D486" s="31"/>
      <c r="E486" s="31"/>
      <c r="F486" s="32"/>
      <c r="G486" s="32"/>
      <c r="H486" s="31"/>
      <c r="I486" s="31"/>
      <c r="J486" s="33"/>
      <c r="K486" s="34"/>
      <c r="L486" s="34"/>
      <c r="M486" s="34"/>
      <c r="N486" s="39" t="str">
        <f aca="false">IF($K486="","",$K486-N($L486)-N($M486))</f>
        <v/>
      </c>
      <c r="O486" s="31"/>
      <c r="P486" s="31"/>
      <c r="Q486" s="31"/>
      <c r="R486" s="32"/>
      <c r="S486" s="32"/>
      <c r="T486" s="32"/>
      <c r="U486" s="32"/>
      <c r="V486" s="31"/>
      <c r="W486" s="40" t="str">
        <f aca="false">IF(OR($F486="",$J486=""),"",$F486+$J486)</f>
        <v/>
      </c>
      <c r="X486" s="32"/>
      <c r="Y486" s="34"/>
      <c r="Z486" s="31"/>
      <c r="AA486" s="31"/>
      <c r="AB486" s="32"/>
      <c r="AC486" s="31"/>
      <c r="AD486" s="32"/>
      <c r="AE486" s="31"/>
      <c r="AF486" s="41" t="str">
        <f aca="false">IF(OR($R486="",$S486=""),"",$S486-$R486)</f>
        <v/>
      </c>
      <c r="AG486" s="41" t="str">
        <f aca="false">IF(OR($S486="",$T486=""),"",$T486-$S486)</f>
        <v/>
      </c>
      <c r="AH486" s="41" t="str">
        <f aca="false">IF(OR($T486="",$U486=""),"",$U486-$T486)</f>
        <v/>
      </c>
      <c r="AI486" s="41" t="str">
        <f aca="false">IF(OR($R486="",$U486=""),"",$U486-$R486)</f>
        <v/>
      </c>
      <c r="AJ486" s="41" t="str">
        <f aca="false">IF(OR($U486="",$AB486=""),"",$AB486-$U486)</f>
        <v/>
      </c>
      <c r="AK486" s="41" t="str">
        <f aca="false">IF(OR($R486="",$AD486=""),"",$AD486-$R486)</f>
        <v/>
      </c>
      <c r="AL486" s="31"/>
      <c r="AM486" s="32"/>
      <c r="AN486" s="31"/>
    </row>
    <row r="487" customFormat="false" ht="15" hidden="false" customHeight="true" outlineLevel="0" collapsed="false">
      <c r="A487" s="38" t="str">
        <f aca="false">IF($B487="","",ROW()-3)</f>
        <v/>
      </c>
      <c r="B487" s="31"/>
      <c r="C487" s="31"/>
      <c r="D487" s="31"/>
      <c r="E487" s="31"/>
      <c r="F487" s="32"/>
      <c r="G487" s="32"/>
      <c r="H487" s="31"/>
      <c r="I487" s="31"/>
      <c r="J487" s="33"/>
      <c r="K487" s="34"/>
      <c r="L487" s="34"/>
      <c r="M487" s="34"/>
      <c r="N487" s="39" t="str">
        <f aca="false">IF($K487="","",$K487-N($L487)-N($M487))</f>
        <v/>
      </c>
      <c r="O487" s="31"/>
      <c r="P487" s="31"/>
      <c r="Q487" s="31"/>
      <c r="R487" s="32"/>
      <c r="S487" s="32"/>
      <c r="T487" s="32"/>
      <c r="U487" s="32"/>
      <c r="V487" s="31"/>
      <c r="W487" s="40" t="str">
        <f aca="false">IF(OR($F487="",$J487=""),"",$F487+$J487)</f>
        <v/>
      </c>
      <c r="X487" s="32"/>
      <c r="Y487" s="34"/>
      <c r="Z487" s="31"/>
      <c r="AA487" s="31"/>
      <c r="AB487" s="32"/>
      <c r="AC487" s="31"/>
      <c r="AD487" s="32"/>
      <c r="AE487" s="31"/>
      <c r="AF487" s="41" t="str">
        <f aca="false">IF(OR($R487="",$S487=""),"",$S487-$R487)</f>
        <v/>
      </c>
      <c r="AG487" s="41" t="str">
        <f aca="false">IF(OR($S487="",$T487=""),"",$T487-$S487)</f>
        <v/>
      </c>
      <c r="AH487" s="41" t="str">
        <f aca="false">IF(OR($T487="",$U487=""),"",$U487-$T487)</f>
        <v/>
      </c>
      <c r="AI487" s="41" t="str">
        <f aca="false">IF(OR($R487="",$U487=""),"",$U487-$R487)</f>
        <v/>
      </c>
      <c r="AJ487" s="41" t="str">
        <f aca="false">IF(OR($U487="",$AB487=""),"",$AB487-$U487)</f>
        <v/>
      </c>
      <c r="AK487" s="41" t="str">
        <f aca="false">IF(OR($R487="",$AD487=""),"",$AD487-$R487)</f>
        <v/>
      </c>
      <c r="AL487" s="31"/>
      <c r="AM487" s="32"/>
      <c r="AN487" s="31"/>
    </row>
    <row r="488" customFormat="false" ht="15" hidden="false" customHeight="true" outlineLevel="0" collapsed="false">
      <c r="A488" s="38" t="str">
        <f aca="false">IF($B488="","",ROW()-3)</f>
        <v/>
      </c>
      <c r="B488" s="31"/>
      <c r="C488" s="31"/>
      <c r="D488" s="31"/>
      <c r="E488" s="31"/>
      <c r="F488" s="32"/>
      <c r="G488" s="32"/>
      <c r="H488" s="31"/>
      <c r="I488" s="31"/>
      <c r="J488" s="33"/>
      <c r="K488" s="34"/>
      <c r="L488" s="34"/>
      <c r="M488" s="34"/>
      <c r="N488" s="39" t="str">
        <f aca="false">IF($K488="","",$K488-N($L488)-N($M488))</f>
        <v/>
      </c>
      <c r="O488" s="31"/>
      <c r="P488" s="31"/>
      <c r="Q488" s="31"/>
      <c r="R488" s="32"/>
      <c r="S488" s="32"/>
      <c r="T488" s="32"/>
      <c r="U488" s="32"/>
      <c r="V488" s="31"/>
      <c r="W488" s="40" t="str">
        <f aca="false">IF(OR($F488="",$J488=""),"",$F488+$J488)</f>
        <v/>
      </c>
      <c r="X488" s="32"/>
      <c r="Y488" s="34"/>
      <c r="Z488" s="31"/>
      <c r="AA488" s="31"/>
      <c r="AB488" s="32"/>
      <c r="AC488" s="31"/>
      <c r="AD488" s="32"/>
      <c r="AE488" s="31"/>
      <c r="AF488" s="41" t="str">
        <f aca="false">IF(OR($R488="",$S488=""),"",$S488-$R488)</f>
        <v/>
      </c>
      <c r="AG488" s="41" t="str">
        <f aca="false">IF(OR($S488="",$T488=""),"",$T488-$S488)</f>
        <v/>
      </c>
      <c r="AH488" s="41" t="str">
        <f aca="false">IF(OR($T488="",$U488=""),"",$U488-$T488)</f>
        <v/>
      </c>
      <c r="AI488" s="41" t="str">
        <f aca="false">IF(OR($R488="",$U488=""),"",$U488-$R488)</f>
        <v/>
      </c>
      <c r="AJ488" s="41" t="str">
        <f aca="false">IF(OR($U488="",$AB488=""),"",$AB488-$U488)</f>
        <v/>
      </c>
      <c r="AK488" s="41" t="str">
        <f aca="false">IF(OR($R488="",$AD488=""),"",$AD488-$R488)</f>
        <v/>
      </c>
      <c r="AL488" s="31"/>
      <c r="AM488" s="32"/>
      <c r="AN488" s="31"/>
    </row>
    <row r="489" customFormat="false" ht="15" hidden="false" customHeight="true" outlineLevel="0" collapsed="false">
      <c r="A489" s="38" t="str">
        <f aca="false">IF($B489="","",ROW()-3)</f>
        <v/>
      </c>
      <c r="B489" s="31"/>
      <c r="C489" s="31"/>
      <c r="D489" s="31"/>
      <c r="E489" s="31"/>
      <c r="F489" s="32"/>
      <c r="G489" s="32"/>
      <c r="H489" s="31"/>
      <c r="I489" s="31"/>
      <c r="J489" s="33"/>
      <c r="K489" s="34"/>
      <c r="L489" s="34"/>
      <c r="M489" s="34"/>
      <c r="N489" s="39" t="str">
        <f aca="false">IF($K489="","",$K489-N($L489)-N($M489))</f>
        <v/>
      </c>
      <c r="O489" s="31"/>
      <c r="P489" s="31"/>
      <c r="Q489" s="31"/>
      <c r="R489" s="32"/>
      <c r="S489" s="32"/>
      <c r="T489" s="32"/>
      <c r="U489" s="32"/>
      <c r="V489" s="31"/>
      <c r="W489" s="40" t="str">
        <f aca="false">IF(OR($F489="",$J489=""),"",$F489+$J489)</f>
        <v/>
      </c>
      <c r="X489" s="32"/>
      <c r="Y489" s="34"/>
      <c r="Z489" s="31"/>
      <c r="AA489" s="31"/>
      <c r="AB489" s="32"/>
      <c r="AC489" s="31"/>
      <c r="AD489" s="32"/>
      <c r="AE489" s="31"/>
      <c r="AF489" s="41" t="str">
        <f aca="false">IF(OR($R489="",$S489=""),"",$S489-$R489)</f>
        <v/>
      </c>
      <c r="AG489" s="41" t="str">
        <f aca="false">IF(OR($S489="",$T489=""),"",$T489-$S489)</f>
        <v/>
      </c>
      <c r="AH489" s="41" t="str">
        <f aca="false">IF(OR($T489="",$U489=""),"",$U489-$T489)</f>
        <v/>
      </c>
      <c r="AI489" s="41" t="str">
        <f aca="false">IF(OR($R489="",$U489=""),"",$U489-$R489)</f>
        <v/>
      </c>
      <c r="AJ489" s="41" t="str">
        <f aca="false">IF(OR($U489="",$AB489=""),"",$AB489-$U489)</f>
        <v/>
      </c>
      <c r="AK489" s="41" t="str">
        <f aca="false">IF(OR($R489="",$AD489=""),"",$AD489-$R489)</f>
        <v/>
      </c>
      <c r="AL489" s="31"/>
      <c r="AM489" s="32"/>
      <c r="AN489" s="31"/>
    </row>
    <row r="490" customFormat="false" ht="15" hidden="false" customHeight="true" outlineLevel="0" collapsed="false">
      <c r="A490" s="38" t="str">
        <f aca="false">IF($B490="","",ROW()-3)</f>
        <v/>
      </c>
      <c r="B490" s="31"/>
      <c r="C490" s="31"/>
      <c r="D490" s="31"/>
      <c r="E490" s="31"/>
      <c r="F490" s="32"/>
      <c r="G490" s="32"/>
      <c r="H490" s="31"/>
      <c r="I490" s="31"/>
      <c r="J490" s="33"/>
      <c r="K490" s="34"/>
      <c r="L490" s="34"/>
      <c r="M490" s="34"/>
      <c r="N490" s="39" t="str">
        <f aca="false">IF($K490="","",$K490-N($L490)-N($M490))</f>
        <v/>
      </c>
      <c r="O490" s="31"/>
      <c r="P490" s="31"/>
      <c r="Q490" s="31"/>
      <c r="R490" s="32"/>
      <c r="S490" s="32"/>
      <c r="T490" s="32"/>
      <c r="U490" s="32"/>
      <c r="V490" s="31"/>
      <c r="W490" s="40" t="str">
        <f aca="false">IF(OR($F490="",$J490=""),"",$F490+$J490)</f>
        <v/>
      </c>
      <c r="X490" s="32"/>
      <c r="Y490" s="34"/>
      <c r="Z490" s="31"/>
      <c r="AA490" s="31"/>
      <c r="AB490" s="32"/>
      <c r="AC490" s="31"/>
      <c r="AD490" s="32"/>
      <c r="AE490" s="31"/>
      <c r="AF490" s="41" t="str">
        <f aca="false">IF(OR($R490="",$S490=""),"",$S490-$R490)</f>
        <v/>
      </c>
      <c r="AG490" s="41" t="str">
        <f aca="false">IF(OR($S490="",$T490=""),"",$T490-$S490)</f>
        <v/>
      </c>
      <c r="AH490" s="41" t="str">
        <f aca="false">IF(OR($T490="",$U490=""),"",$U490-$T490)</f>
        <v/>
      </c>
      <c r="AI490" s="41" t="str">
        <f aca="false">IF(OR($R490="",$U490=""),"",$U490-$R490)</f>
        <v/>
      </c>
      <c r="AJ490" s="41" t="str">
        <f aca="false">IF(OR($U490="",$AB490=""),"",$AB490-$U490)</f>
        <v/>
      </c>
      <c r="AK490" s="41" t="str">
        <f aca="false">IF(OR($R490="",$AD490=""),"",$AD490-$R490)</f>
        <v/>
      </c>
      <c r="AL490" s="31"/>
      <c r="AM490" s="32"/>
      <c r="AN490" s="31"/>
    </row>
    <row r="491" customFormat="false" ht="15" hidden="false" customHeight="true" outlineLevel="0" collapsed="false">
      <c r="A491" s="38" t="str">
        <f aca="false">IF($B491="","",ROW()-3)</f>
        <v/>
      </c>
      <c r="B491" s="31"/>
      <c r="C491" s="31"/>
      <c r="D491" s="31"/>
      <c r="E491" s="31"/>
      <c r="F491" s="32"/>
      <c r="G491" s="32"/>
      <c r="H491" s="31"/>
      <c r="I491" s="31"/>
      <c r="J491" s="33"/>
      <c r="K491" s="34"/>
      <c r="L491" s="34"/>
      <c r="M491" s="34"/>
      <c r="N491" s="39" t="str">
        <f aca="false">IF($K491="","",$K491-N($L491)-N($M491))</f>
        <v/>
      </c>
      <c r="O491" s="31"/>
      <c r="P491" s="31"/>
      <c r="Q491" s="31"/>
      <c r="R491" s="32"/>
      <c r="S491" s="32"/>
      <c r="T491" s="32"/>
      <c r="U491" s="32"/>
      <c r="V491" s="31"/>
      <c r="W491" s="40" t="str">
        <f aca="false">IF(OR($F491="",$J491=""),"",$F491+$J491)</f>
        <v/>
      </c>
      <c r="X491" s="32"/>
      <c r="Y491" s="34"/>
      <c r="Z491" s="31"/>
      <c r="AA491" s="31"/>
      <c r="AB491" s="32"/>
      <c r="AC491" s="31"/>
      <c r="AD491" s="32"/>
      <c r="AE491" s="31"/>
      <c r="AF491" s="41" t="str">
        <f aca="false">IF(OR($R491="",$S491=""),"",$S491-$R491)</f>
        <v/>
      </c>
      <c r="AG491" s="41" t="str">
        <f aca="false">IF(OR($S491="",$T491=""),"",$T491-$S491)</f>
        <v/>
      </c>
      <c r="AH491" s="41" t="str">
        <f aca="false">IF(OR($T491="",$U491=""),"",$U491-$T491)</f>
        <v/>
      </c>
      <c r="AI491" s="41" t="str">
        <f aca="false">IF(OR($R491="",$U491=""),"",$U491-$R491)</f>
        <v/>
      </c>
      <c r="AJ491" s="41" t="str">
        <f aca="false">IF(OR($U491="",$AB491=""),"",$AB491-$U491)</f>
        <v/>
      </c>
      <c r="AK491" s="41" t="str">
        <f aca="false">IF(OR($R491="",$AD491=""),"",$AD491-$R491)</f>
        <v/>
      </c>
      <c r="AL491" s="31"/>
      <c r="AM491" s="32"/>
      <c r="AN491" s="31"/>
    </row>
    <row r="492" customFormat="false" ht="15" hidden="false" customHeight="true" outlineLevel="0" collapsed="false">
      <c r="A492" s="38" t="str">
        <f aca="false">IF($B492="","",ROW()-3)</f>
        <v/>
      </c>
      <c r="B492" s="31"/>
      <c r="C492" s="31"/>
      <c r="D492" s="31"/>
      <c r="E492" s="31"/>
      <c r="F492" s="32"/>
      <c r="G492" s="32"/>
      <c r="H492" s="31"/>
      <c r="I492" s="31"/>
      <c r="J492" s="33"/>
      <c r="K492" s="34"/>
      <c r="L492" s="34"/>
      <c r="M492" s="34"/>
      <c r="N492" s="39" t="str">
        <f aca="false">IF($K492="","",$K492-N($L492)-N($M492))</f>
        <v/>
      </c>
      <c r="O492" s="31"/>
      <c r="P492" s="31"/>
      <c r="Q492" s="31"/>
      <c r="R492" s="32"/>
      <c r="S492" s="32"/>
      <c r="T492" s="32"/>
      <c r="U492" s="32"/>
      <c r="V492" s="31"/>
      <c r="W492" s="40" t="str">
        <f aca="false">IF(OR($F492="",$J492=""),"",$F492+$J492)</f>
        <v/>
      </c>
      <c r="X492" s="32"/>
      <c r="Y492" s="34"/>
      <c r="Z492" s="31"/>
      <c r="AA492" s="31"/>
      <c r="AB492" s="32"/>
      <c r="AC492" s="31"/>
      <c r="AD492" s="32"/>
      <c r="AE492" s="31"/>
      <c r="AF492" s="41" t="str">
        <f aca="false">IF(OR($R492="",$S492=""),"",$S492-$R492)</f>
        <v/>
      </c>
      <c r="AG492" s="41" t="str">
        <f aca="false">IF(OR($S492="",$T492=""),"",$T492-$S492)</f>
        <v/>
      </c>
      <c r="AH492" s="41" t="str">
        <f aca="false">IF(OR($T492="",$U492=""),"",$U492-$T492)</f>
        <v/>
      </c>
      <c r="AI492" s="41" t="str">
        <f aca="false">IF(OR($R492="",$U492=""),"",$U492-$R492)</f>
        <v/>
      </c>
      <c r="AJ492" s="41" t="str">
        <f aca="false">IF(OR($U492="",$AB492=""),"",$AB492-$U492)</f>
        <v/>
      </c>
      <c r="AK492" s="41" t="str">
        <f aca="false">IF(OR($R492="",$AD492=""),"",$AD492-$R492)</f>
        <v/>
      </c>
      <c r="AL492" s="31"/>
      <c r="AM492" s="32"/>
      <c r="AN492" s="31"/>
    </row>
    <row r="493" customFormat="false" ht="15" hidden="false" customHeight="true" outlineLevel="0" collapsed="false">
      <c r="A493" s="38" t="str">
        <f aca="false">IF($B493="","",ROW()-3)</f>
        <v/>
      </c>
      <c r="B493" s="31"/>
      <c r="C493" s="31"/>
      <c r="D493" s="31"/>
      <c r="E493" s="31"/>
      <c r="F493" s="32"/>
      <c r="G493" s="32"/>
      <c r="H493" s="31"/>
      <c r="I493" s="31"/>
      <c r="J493" s="33"/>
      <c r="K493" s="34"/>
      <c r="L493" s="34"/>
      <c r="M493" s="34"/>
      <c r="N493" s="39" t="str">
        <f aca="false">IF($K493="","",$K493-N($L493)-N($M493))</f>
        <v/>
      </c>
      <c r="O493" s="31"/>
      <c r="P493" s="31"/>
      <c r="Q493" s="31"/>
      <c r="R493" s="32"/>
      <c r="S493" s="32"/>
      <c r="T493" s="32"/>
      <c r="U493" s="32"/>
      <c r="V493" s="31"/>
      <c r="W493" s="40" t="str">
        <f aca="false">IF(OR($F493="",$J493=""),"",$F493+$J493)</f>
        <v/>
      </c>
      <c r="X493" s="32"/>
      <c r="Y493" s="34"/>
      <c r="Z493" s="31"/>
      <c r="AA493" s="31"/>
      <c r="AB493" s="32"/>
      <c r="AC493" s="31"/>
      <c r="AD493" s="32"/>
      <c r="AE493" s="31"/>
      <c r="AF493" s="41" t="str">
        <f aca="false">IF(OR($R493="",$S493=""),"",$S493-$R493)</f>
        <v/>
      </c>
      <c r="AG493" s="41" t="str">
        <f aca="false">IF(OR($S493="",$T493=""),"",$T493-$S493)</f>
        <v/>
      </c>
      <c r="AH493" s="41" t="str">
        <f aca="false">IF(OR($T493="",$U493=""),"",$U493-$T493)</f>
        <v/>
      </c>
      <c r="AI493" s="41" t="str">
        <f aca="false">IF(OR($R493="",$U493=""),"",$U493-$R493)</f>
        <v/>
      </c>
      <c r="AJ493" s="41" t="str">
        <f aca="false">IF(OR($U493="",$AB493=""),"",$AB493-$U493)</f>
        <v/>
      </c>
      <c r="AK493" s="41" t="str">
        <f aca="false">IF(OR($R493="",$AD493=""),"",$AD493-$R493)</f>
        <v/>
      </c>
      <c r="AL493" s="31"/>
      <c r="AM493" s="32"/>
      <c r="AN493" s="31"/>
    </row>
    <row r="494" customFormat="false" ht="15" hidden="false" customHeight="true" outlineLevel="0" collapsed="false">
      <c r="A494" s="38" t="str">
        <f aca="false">IF($B494="","",ROW()-3)</f>
        <v/>
      </c>
      <c r="B494" s="31"/>
      <c r="C494" s="31"/>
      <c r="D494" s="31"/>
      <c r="E494" s="31"/>
      <c r="F494" s="32"/>
      <c r="G494" s="32"/>
      <c r="H494" s="31"/>
      <c r="I494" s="31"/>
      <c r="J494" s="33"/>
      <c r="K494" s="34"/>
      <c r="L494" s="34"/>
      <c r="M494" s="34"/>
      <c r="N494" s="39" t="str">
        <f aca="false">IF($K494="","",$K494-N($L494)-N($M494))</f>
        <v/>
      </c>
      <c r="O494" s="31"/>
      <c r="P494" s="31"/>
      <c r="Q494" s="31"/>
      <c r="R494" s="32"/>
      <c r="S494" s="32"/>
      <c r="T494" s="32"/>
      <c r="U494" s="32"/>
      <c r="V494" s="31"/>
      <c r="W494" s="40" t="str">
        <f aca="false">IF(OR($F494="",$J494=""),"",$F494+$J494)</f>
        <v/>
      </c>
      <c r="X494" s="32"/>
      <c r="Y494" s="34"/>
      <c r="Z494" s="31"/>
      <c r="AA494" s="31"/>
      <c r="AB494" s="32"/>
      <c r="AC494" s="31"/>
      <c r="AD494" s="32"/>
      <c r="AE494" s="31"/>
      <c r="AF494" s="41" t="str">
        <f aca="false">IF(OR($R494="",$S494=""),"",$S494-$R494)</f>
        <v/>
      </c>
      <c r="AG494" s="41" t="str">
        <f aca="false">IF(OR($S494="",$T494=""),"",$T494-$S494)</f>
        <v/>
      </c>
      <c r="AH494" s="41" t="str">
        <f aca="false">IF(OR($T494="",$U494=""),"",$U494-$T494)</f>
        <v/>
      </c>
      <c r="AI494" s="41" t="str">
        <f aca="false">IF(OR($R494="",$U494=""),"",$U494-$R494)</f>
        <v/>
      </c>
      <c r="AJ494" s="41" t="str">
        <f aca="false">IF(OR($U494="",$AB494=""),"",$AB494-$U494)</f>
        <v/>
      </c>
      <c r="AK494" s="41" t="str">
        <f aca="false">IF(OR($R494="",$AD494=""),"",$AD494-$R494)</f>
        <v/>
      </c>
      <c r="AL494" s="31"/>
      <c r="AM494" s="32"/>
      <c r="AN494" s="31"/>
    </row>
    <row r="495" customFormat="false" ht="15" hidden="false" customHeight="true" outlineLevel="0" collapsed="false">
      <c r="A495" s="38" t="str">
        <f aca="false">IF($B495="","",ROW()-3)</f>
        <v/>
      </c>
      <c r="B495" s="31"/>
      <c r="C495" s="31"/>
      <c r="D495" s="31"/>
      <c r="E495" s="31"/>
      <c r="F495" s="32"/>
      <c r="G495" s="32"/>
      <c r="H495" s="31"/>
      <c r="I495" s="31"/>
      <c r="J495" s="33"/>
      <c r="K495" s="34"/>
      <c r="L495" s="34"/>
      <c r="M495" s="34"/>
      <c r="N495" s="39" t="str">
        <f aca="false">IF($K495="","",$K495-N($L495)-N($M495))</f>
        <v/>
      </c>
      <c r="O495" s="31"/>
      <c r="P495" s="31"/>
      <c r="Q495" s="31"/>
      <c r="R495" s="32"/>
      <c r="S495" s="32"/>
      <c r="T495" s="32"/>
      <c r="U495" s="32"/>
      <c r="V495" s="31"/>
      <c r="W495" s="40" t="str">
        <f aca="false">IF(OR($F495="",$J495=""),"",$F495+$J495)</f>
        <v/>
      </c>
      <c r="X495" s="32"/>
      <c r="Y495" s="34"/>
      <c r="Z495" s="31"/>
      <c r="AA495" s="31"/>
      <c r="AB495" s="32"/>
      <c r="AC495" s="31"/>
      <c r="AD495" s="32"/>
      <c r="AE495" s="31"/>
      <c r="AF495" s="41" t="str">
        <f aca="false">IF(OR($R495="",$S495=""),"",$S495-$R495)</f>
        <v/>
      </c>
      <c r="AG495" s="41" t="str">
        <f aca="false">IF(OR($S495="",$T495=""),"",$T495-$S495)</f>
        <v/>
      </c>
      <c r="AH495" s="41" t="str">
        <f aca="false">IF(OR($T495="",$U495=""),"",$U495-$T495)</f>
        <v/>
      </c>
      <c r="AI495" s="41" t="str">
        <f aca="false">IF(OR($R495="",$U495=""),"",$U495-$R495)</f>
        <v/>
      </c>
      <c r="AJ495" s="41" t="str">
        <f aca="false">IF(OR($U495="",$AB495=""),"",$AB495-$U495)</f>
        <v/>
      </c>
      <c r="AK495" s="41" t="str">
        <f aca="false">IF(OR($R495="",$AD495=""),"",$AD495-$R495)</f>
        <v/>
      </c>
      <c r="AL495" s="31"/>
      <c r="AM495" s="32"/>
      <c r="AN495" s="31"/>
    </row>
    <row r="496" customFormat="false" ht="15" hidden="false" customHeight="true" outlineLevel="0" collapsed="false">
      <c r="A496" s="38" t="str">
        <f aca="false">IF($B496="","",ROW()-3)</f>
        <v/>
      </c>
      <c r="B496" s="31"/>
      <c r="C496" s="31"/>
      <c r="D496" s="31"/>
      <c r="E496" s="31"/>
      <c r="F496" s="32"/>
      <c r="G496" s="32"/>
      <c r="H496" s="31"/>
      <c r="I496" s="31"/>
      <c r="J496" s="33"/>
      <c r="K496" s="34"/>
      <c r="L496" s="34"/>
      <c r="M496" s="34"/>
      <c r="N496" s="39" t="str">
        <f aca="false">IF($K496="","",$K496-N($L496)-N($M496))</f>
        <v/>
      </c>
      <c r="O496" s="31"/>
      <c r="P496" s="31"/>
      <c r="Q496" s="31"/>
      <c r="R496" s="32"/>
      <c r="S496" s="32"/>
      <c r="T496" s="32"/>
      <c r="U496" s="32"/>
      <c r="V496" s="31"/>
      <c r="W496" s="40" t="str">
        <f aca="false">IF(OR($F496="",$J496=""),"",$F496+$J496)</f>
        <v/>
      </c>
      <c r="X496" s="32"/>
      <c r="Y496" s="34"/>
      <c r="Z496" s="31"/>
      <c r="AA496" s="31"/>
      <c r="AB496" s="32"/>
      <c r="AC496" s="31"/>
      <c r="AD496" s="32"/>
      <c r="AE496" s="31"/>
      <c r="AF496" s="41" t="str">
        <f aca="false">IF(OR($R496="",$S496=""),"",$S496-$R496)</f>
        <v/>
      </c>
      <c r="AG496" s="41" t="str">
        <f aca="false">IF(OR($S496="",$T496=""),"",$T496-$S496)</f>
        <v/>
      </c>
      <c r="AH496" s="41" t="str">
        <f aca="false">IF(OR($T496="",$U496=""),"",$U496-$T496)</f>
        <v/>
      </c>
      <c r="AI496" s="41" t="str">
        <f aca="false">IF(OR($R496="",$U496=""),"",$U496-$R496)</f>
        <v/>
      </c>
      <c r="AJ496" s="41" t="str">
        <f aca="false">IF(OR($U496="",$AB496=""),"",$AB496-$U496)</f>
        <v/>
      </c>
      <c r="AK496" s="41" t="str">
        <f aca="false">IF(OR($R496="",$AD496=""),"",$AD496-$R496)</f>
        <v/>
      </c>
      <c r="AL496" s="31"/>
      <c r="AM496" s="32"/>
      <c r="AN496" s="31"/>
    </row>
    <row r="497" customFormat="false" ht="15" hidden="false" customHeight="true" outlineLevel="0" collapsed="false">
      <c r="A497" s="38" t="str">
        <f aca="false">IF($B497="","",ROW()-3)</f>
        <v/>
      </c>
      <c r="B497" s="31"/>
      <c r="C497" s="31"/>
      <c r="D497" s="31"/>
      <c r="E497" s="31"/>
      <c r="F497" s="32"/>
      <c r="G497" s="32"/>
      <c r="H497" s="31"/>
      <c r="I497" s="31"/>
      <c r="J497" s="33"/>
      <c r="K497" s="34"/>
      <c r="L497" s="34"/>
      <c r="M497" s="34"/>
      <c r="N497" s="39" t="str">
        <f aca="false">IF($K497="","",$K497-N($L497)-N($M497))</f>
        <v/>
      </c>
      <c r="O497" s="31"/>
      <c r="P497" s="31"/>
      <c r="Q497" s="31"/>
      <c r="R497" s="32"/>
      <c r="S497" s="32"/>
      <c r="T497" s="32"/>
      <c r="U497" s="32"/>
      <c r="V497" s="31"/>
      <c r="W497" s="40" t="str">
        <f aca="false">IF(OR($F497="",$J497=""),"",$F497+$J497)</f>
        <v/>
      </c>
      <c r="X497" s="32"/>
      <c r="Y497" s="34"/>
      <c r="Z497" s="31"/>
      <c r="AA497" s="31"/>
      <c r="AB497" s="32"/>
      <c r="AC497" s="31"/>
      <c r="AD497" s="32"/>
      <c r="AE497" s="31"/>
      <c r="AF497" s="41" t="str">
        <f aca="false">IF(OR($R497="",$S497=""),"",$S497-$R497)</f>
        <v/>
      </c>
      <c r="AG497" s="41" t="str">
        <f aca="false">IF(OR($S497="",$T497=""),"",$T497-$S497)</f>
        <v/>
      </c>
      <c r="AH497" s="41" t="str">
        <f aca="false">IF(OR($T497="",$U497=""),"",$U497-$T497)</f>
        <v/>
      </c>
      <c r="AI497" s="41" t="str">
        <f aca="false">IF(OR($R497="",$U497=""),"",$U497-$R497)</f>
        <v/>
      </c>
      <c r="AJ497" s="41" t="str">
        <f aca="false">IF(OR($U497="",$AB497=""),"",$AB497-$U497)</f>
        <v/>
      </c>
      <c r="AK497" s="41" t="str">
        <f aca="false">IF(OR($R497="",$AD497=""),"",$AD497-$R497)</f>
        <v/>
      </c>
      <c r="AL497" s="31"/>
      <c r="AM497" s="32"/>
      <c r="AN497" s="31"/>
    </row>
    <row r="498" customFormat="false" ht="15" hidden="false" customHeight="true" outlineLevel="0" collapsed="false">
      <c r="A498" s="38" t="str">
        <f aca="false">IF($B498="","",ROW()-3)</f>
        <v/>
      </c>
      <c r="B498" s="31"/>
      <c r="C498" s="31"/>
      <c r="D498" s="31"/>
      <c r="E498" s="31"/>
      <c r="F498" s="32"/>
      <c r="G498" s="32"/>
      <c r="H498" s="31"/>
      <c r="I498" s="31"/>
      <c r="J498" s="33"/>
      <c r="K498" s="34"/>
      <c r="L498" s="34"/>
      <c r="M498" s="34"/>
      <c r="N498" s="39" t="str">
        <f aca="false">IF($K498="","",$K498-N($L498)-N($M498))</f>
        <v/>
      </c>
      <c r="O498" s="31"/>
      <c r="P498" s="31"/>
      <c r="Q498" s="31"/>
      <c r="R498" s="32"/>
      <c r="S498" s="32"/>
      <c r="T498" s="32"/>
      <c r="U498" s="32"/>
      <c r="V498" s="31"/>
      <c r="W498" s="40" t="str">
        <f aca="false">IF(OR($F498="",$J498=""),"",$F498+$J498)</f>
        <v/>
      </c>
      <c r="X498" s="32"/>
      <c r="Y498" s="34"/>
      <c r="Z498" s="31"/>
      <c r="AA498" s="31"/>
      <c r="AB498" s="32"/>
      <c r="AC498" s="31"/>
      <c r="AD498" s="32"/>
      <c r="AE498" s="31"/>
      <c r="AF498" s="41" t="str">
        <f aca="false">IF(OR($R498="",$S498=""),"",$S498-$R498)</f>
        <v/>
      </c>
      <c r="AG498" s="41" t="str">
        <f aca="false">IF(OR($S498="",$T498=""),"",$T498-$S498)</f>
        <v/>
      </c>
      <c r="AH498" s="41" t="str">
        <f aca="false">IF(OR($T498="",$U498=""),"",$U498-$T498)</f>
        <v/>
      </c>
      <c r="AI498" s="41" t="str">
        <f aca="false">IF(OR($R498="",$U498=""),"",$U498-$R498)</f>
        <v/>
      </c>
      <c r="AJ498" s="41" t="str">
        <f aca="false">IF(OR($U498="",$AB498=""),"",$AB498-$U498)</f>
        <v/>
      </c>
      <c r="AK498" s="41" t="str">
        <f aca="false">IF(OR($R498="",$AD498=""),"",$AD498-$R498)</f>
        <v/>
      </c>
      <c r="AL498" s="31"/>
      <c r="AM498" s="32"/>
      <c r="AN498" s="31"/>
    </row>
    <row r="499" customFormat="false" ht="15" hidden="false" customHeight="true" outlineLevel="0" collapsed="false">
      <c r="A499" s="38" t="str">
        <f aca="false">IF($B499="","",ROW()-3)</f>
        <v/>
      </c>
      <c r="B499" s="31"/>
      <c r="C499" s="31"/>
      <c r="D499" s="31"/>
      <c r="E499" s="31"/>
      <c r="F499" s="32"/>
      <c r="G499" s="32"/>
      <c r="H499" s="31"/>
      <c r="I499" s="31"/>
      <c r="J499" s="33"/>
      <c r="K499" s="34"/>
      <c r="L499" s="34"/>
      <c r="M499" s="34"/>
      <c r="N499" s="39" t="str">
        <f aca="false">IF($K499="","",$K499-N($L499)-N($M499))</f>
        <v/>
      </c>
      <c r="O499" s="31"/>
      <c r="P499" s="31"/>
      <c r="Q499" s="31"/>
      <c r="R499" s="32"/>
      <c r="S499" s="32"/>
      <c r="T499" s="32"/>
      <c r="U499" s="32"/>
      <c r="V499" s="31"/>
      <c r="W499" s="40" t="str">
        <f aca="false">IF(OR($F499="",$J499=""),"",$F499+$J499)</f>
        <v/>
      </c>
      <c r="X499" s="32"/>
      <c r="Y499" s="34"/>
      <c r="Z499" s="31"/>
      <c r="AA499" s="31"/>
      <c r="AB499" s="32"/>
      <c r="AC499" s="31"/>
      <c r="AD499" s="32"/>
      <c r="AE499" s="31"/>
      <c r="AF499" s="41" t="str">
        <f aca="false">IF(OR($R499="",$S499=""),"",$S499-$R499)</f>
        <v/>
      </c>
      <c r="AG499" s="41" t="str">
        <f aca="false">IF(OR($S499="",$T499=""),"",$T499-$S499)</f>
        <v/>
      </c>
      <c r="AH499" s="41" t="str">
        <f aca="false">IF(OR($T499="",$U499=""),"",$U499-$T499)</f>
        <v/>
      </c>
      <c r="AI499" s="41" t="str">
        <f aca="false">IF(OR($R499="",$U499=""),"",$U499-$R499)</f>
        <v/>
      </c>
      <c r="AJ499" s="41" t="str">
        <f aca="false">IF(OR($U499="",$AB499=""),"",$AB499-$U499)</f>
        <v/>
      </c>
      <c r="AK499" s="41" t="str">
        <f aca="false">IF(OR($R499="",$AD499=""),"",$AD499-$R499)</f>
        <v/>
      </c>
      <c r="AL499" s="31"/>
      <c r="AM499" s="32"/>
      <c r="AN499" s="31"/>
    </row>
    <row r="500" customFormat="false" ht="15" hidden="false" customHeight="true" outlineLevel="0" collapsed="false">
      <c r="A500" s="38" t="str">
        <f aca="false">IF($B500="","",ROW()-3)</f>
        <v/>
      </c>
      <c r="B500" s="31"/>
      <c r="C500" s="31"/>
      <c r="D500" s="31"/>
      <c r="E500" s="31"/>
      <c r="F500" s="32"/>
      <c r="G500" s="32"/>
      <c r="H500" s="31"/>
      <c r="I500" s="31"/>
      <c r="J500" s="33"/>
      <c r="K500" s="34"/>
      <c r="L500" s="34"/>
      <c r="M500" s="34"/>
      <c r="N500" s="39" t="str">
        <f aca="false">IF($K500="","",$K500-N($L500)-N($M500))</f>
        <v/>
      </c>
      <c r="O500" s="31"/>
      <c r="P500" s="31"/>
      <c r="Q500" s="31"/>
      <c r="R500" s="32"/>
      <c r="S500" s="32"/>
      <c r="T500" s="32"/>
      <c r="U500" s="32"/>
      <c r="V500" s="31"/>
      <c r="W500" s="40" t="str">
        <f aca="false">IF(OR($F500="",$J500=""),"",$F500+$J500)</f>
        <v/>
      </c>
      <c r="X500" s="32"/>
      <c r="Y500" s="34"/>
      <c r="Z500" s="31"/>
      <c r="AA500" s="31"/>
      <c r="AB500" s="32"/>
      <c r="AC500" s="31"/>
      <c r="AD500" s="32"/>
      <c r="AE500" s="31"/>
      <c r="AF500" s="41" t="str">
        <f aca="false">IF(OR($R500="",$S500=""),"",$S500-$R500)</f>
        <v/>
      </c>
      <c r="AG500" s="41" t="str">
        <f aca="false">IF(OR($S500="",$T500=""),"",$T500-$S500)</f>
        <v/>
      </c>
      <c r="AH500" s="41" t="str">
        <f aca="false">IF(OR($T500="",$U500=""),"",$U500-$T500)</f>
        <v/>
      </c>
      <c r="AI500" s="41" t="str">
        <f aca="false">IF(OR($R500="",$U500=""),"",$U500-$R500)</f>
        <v/>
      </c>
      <c r="AJ500" s="41" t="str">
        <f aca="false">IF(OR($U500="",$AB500=""),"",$AB500-$U500)</f>
        <v/>
      </c>
      <c r="AK500" s="41" t="str">
        <f aca="false">IF(OR($R500="",$AD500=""),"",$AD500-$R500)</f>
        <v/>
      </c>
      <c r="AL500" s="31"/>
      <c r="AM500" s="32"/>
      <c r="AN500" s="31"/>
    </row>
    <row r="501" customFormat="false" ht="15" hidden="false" customHeight="true" outlineLevel="0" collapsed="false">
      <c r="A501" s="38" t="str">
        <f aca="false">IF($B501="","",ROW()-3)</f>
        <v/>
      </c>
      <c r="B501" s="31"/>
      <c r="C501" s="31"/>
      <c r="D501" s="31"/>
      <c r="E501" s="31"/>
      <c r="F501" s="32"/>
      <c r="G501" s="32"/>
      <c r="H501" s="31"/>
      <c r="I501" s="31"/>
      <c r="J501" s="33"/>
      <c r="K501" s="34"/>
      <c r="L501" s="34"/>
      <c r="M501" s="34"/>
      <c r="N501" s="39" t="str">
        <f aca="false">IF($K501="","",$K501-N($L501)-N($M501))</f>
        <v/>
      </c>
      <c r="O501" s="31"/>
      <c r="P501" s="31"/>
      <c r="Q501" s="31"/>
      <c r="R501" s="32"/>
      <c r="S501" s="32"/>
      <c r="T501" s="32"/>
      <c r="U501" s="32"/>
      <c r="V501" s="31"/>
      <c r="W501" s="40" t="str">
        <f aca="false">IF(OR($F501="",$J501=""),"",$F501+$J501)</f>
        <v/>
      </c>
      <c r="X501" s="32"/>
      <c r="Y501" s="34"/>
      <c r="Z501" s="31"/>
      <c r="AA501" s="31"/>
      <c r="AB501" s="32"/>
      <c r="AC501" s="31"/>
      <c r="AD501" s="32"/>
      <c r="AE501" s="31"/>
      <c r="AF501" s="41" t="str">
        <f aca="false">IF(OR($R501="",$S501=""),"",$S501-$R501)</f>
        <v/>
      </c>
      <c r="AG501" s="41" t="str">
        <f aca="false">IF(OR($S501="",$T501=""),"",$T501-$S501)</f>
        <v/>
      </c>
      <c r="AH501" s="41" t="str">
        <f aca="false">IF(OR($T501="",$U501=""),"",$U501-$T501)</f>
        <v/>
      </c>
      <c r="AI501" s="41" t="str">
        <f aca="false">IF(OR($R501="",$U501=""),"",$U501-$R501)</f>
        <v/>
      </c>
      <c r="AJ501" s="41" t="str">
        <f aca="false">IF(OR($U501="",$AB501=""),"",$AB501-$U501)</f>
        <v/>
      </c>
      <c r="AK501" s="41" t="str">
        <f aca="false">IF(OR($R501="",$AD501=""),"",$AD501-$R501)</f>
        <v/>
      </c>
      <c r="AL501" s="31"/>
      <c r="AM501" s="32"/>
      <c r="AN501" s="31"/>
    </row>
    <row r="502" customFormat="false" ht="15" hidden="false" customHeight="true" outlineLevel="0" collapsed="false">
      <c r="A502" s="38" t="str">
        <f aca="false">IF($B502="","",ROW()-3)</f>
        <v/>
      </c>
      <c r="B502" s="31"/>
      <c r="C502" s="31"/>
      <c r="D502" s="31"/>
      <c r="E502" s="31"/>
      <c r="F502" s="32"/>
      <c r="G502" s="32"/>
      <c r="H502" s="31"/>
      <c r="I502" s="31"/>
      <c r="J502" s="33"/>
      <c r="K502" s="34"/>
      <c r="L502" s="34"/>
      <c r="M502" s="34"/>
      <c r="N502" s="39" t="str">
        <f aca="false">IF($K502="","",$K502-N($L502)-N($M502))</f>
        <v/>
      </c>
      <c r="O502" s="31"/>
      <c r="P502" s="31"/>
      <c r="Q502" s="31"/>
      <c r="R502" s="32"/>
      <c r="S502" s="32"/>
      <c r="T502" s="32"/>
      <c r="U502" s="32"/>
      <c r="V502" s="31"/>
      <c r="W502" s="40" t="str">
        <f aca="false">IF(OR($F502="",$J502=""),"",$F502+$J502)</f>
        <v/>
      </c>
      <c r="X502" s="32"/>
      <c r="Y502" s="34"/>
      <c r="Z502" s="31"/>
      <c r="AA502" s="31"/>
      <c r="AB502" s="32"/>
      <c r="AC502" s="31"/>
      <c r="AD502" s="32"/>
      <c r="AE502" s="31"/>
      <c r="AF502" s="41" t="str">
        <f aca="false">IF(OR($R502="",$S502=""),"",$S502-$R502)</f>
        <v/>
      </c>
      <c r="AG502" s="41" t="str">
        <f aca="false">IF(OR($S502="",$T502=""),"",$T502-$S502)</f>
        <v/>
      </c>
      <c r="AH502" s="41" t="str">
        <f aca="false">IF(OR($T502="",$U502=""),"",$U502-$T502)</f>
        <v/>
      </c>
      <c r="AI502" s="41" t="str">
        <f aca="false">IF(OR($R502="",$U502=""),"",$U502-$R502)</f>
        <v/>
      </c>
      <c r="AJ502" s="41" t="str">
        <f aca="false">IF(OR($U502="",$AB502=""),"",$AB502-$U502)</f>
        <v/>
      </c>
      <c r="AK502" s="41" t="str">
        <f aca="false">IF(OR($R502="",$AD502=""),"",$AD502-$R502)</f>
        <v/>
      </c>
      <c r="AL502" s="31"/>
      <c r="AM502" s="32"/>
      <c r="AN502" s="31"/>
    </row>
    <row r="503" customFormat="false" ht="15" hidden="false" customHeight="true" outlineLevel="0" collapsed="false">
      <c r="A503" s="38" t="str">
        <f aca="false">IF($B503="","",ROW()-3)</f>
        <v/>
      </c>
      <c r="B503" s="31"/>
      <c r="C503" s="31"/>
      <c r="D503" s="31"/>
      <c r="E503" s="31"/>
      <c r="F503" s="32"/>
      <c r="G503" s="32"/>
      <c r="H503" s="31"/>
      <c r="I503" s="31"/>
      <c r="J503" s="33"/>
      <c r="K503" s="34"/>
      <c r="L503" s="34"/>
      <c r="M503" s="34"/>
      <c r="N503" s="39" t="str">
        <f aca="false">IF($K503="","",$K503-N($L503)-N($M503))</f>
        <v/>
      </c>
      <c r="O503" s="31"/>
      <c r="P503" s="31"/>
      <c r="Q503" s="31"/>
      <c r="R503" s="32"/>
      <c r="S503" s="32"/>
      <c r="T503" s="32"/>
      <c r="U503" s="32"/>
      <c r="V503" s="31"/>
      <c r="W503" s="40" t="str">
        <f aca="false">IF(OR($F503="",$J503=""),"",$F503+$J503)</f>
        <v/>
      </c>
      <c r="X503" s="32"/>
      <c r="Y503" s="34"/>
      <c r="Z503" s="31"/>
      <c r="AA503" s="31"/>
      <c r="AB503" s="32"/>
      <c r="AC503" s="31"/>
      <c r="AD503" s="32"/>
      <c r="AE503" s="31"/>
      <c r="AF503" s="41" t="str">
        <f aca="false">IF(OR($R503="",$S503=""),"",$S503-$R503)</f>
        <v/>
      </c>
      <c r="AG503" s="41" t="str">
        <f aca="false">IF(OR($S503="",$T503=""),"",$T503-$S503)</f>
        <v/>
      </c>
      <c r="AH503" s="41" t="str">
        <f aca="false">IF(OR($T503="",$U503=""),"",$U503-$T503)</f>
        <v/>
      </c>
      <c r="AI503" s="41" t="str">
        <f aca="false">IF(OR($R503="",$U503=""),"",$U503-$R503)</f>
        <v/>
      </c>
      <c r="AJ503" s="41" t="str">
        <f aca="false">IF(OR($U503="",$AB503=""),"",$AB503-$U503)</f>
        <v/>
      </c>
      <c r="AK503" s="41" t="str">
        <f aca="false">IF(OR($R503="",$AD503=""),"",$AD503-$R503)</f>
        <v/>
      </c>
      <c r="AL503" s="31"/>
      <c r="AM503" s="32"/>
      <c r="AN503" s="31"/>
    </row>
  </sheetData>
  <mergeCells count="1">
    <mergeCell ref="A1:H1"/>
  </mergeCells>
  <dataValidations count="9">
    <dataValidation allowBlank="true" error="Valor no permitido. Elegi uno de la lista." errorStyle="stop" errorTitle="Dato invalido" operator="between" showDropDown="false" showErrorMessage="false" showInputMessage="false" sqref="D4:D503" type="list">
      <formula1>CONFIG!$A$2:$A$4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H4:H503" type="list">
      <formula1>CONFIG!$B$2:$B$12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I4:I503" type="list">
      <formula1>CONFIG!$C$2:$C$9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O4:O503" type="list">
      <formula1>CONFIG!$D$2:$D$6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P4:P503" type="list">
      <formula1>CONFIG!$E$2:$E$5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Q4:Q503" type="list">
      <formula1>CONFIG!$F$2:$F$5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AE4:AE503" type="list">
      <formula1>CONFIG!$G$2:$G$7</formula1>
      <formula2>0</formula2>
    </dataValidation>
    <dataValidation allowBlank="true" error="El CUIT debe tener 11 digitos." errorStyle="stop" errorTitle="CUIT invalido" operator="equal" showDropDown="false" showErrorMessage="false" showInputMessage="false" sqref="C4:C503" type="textLength">
      <formula1>11</formula1>
      <formula2>0</formula2>
    </dataValidation>
    <dataValidation allowBlank="true" error="El plazo debe ser un numero de dias." errorStyle="stop" operator="greaterThanOrEqual" showDropDown="false" showErrorMessage="false" showInputMessage="false" sqref="J4:J503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1" width="20"/>
  </cols>
  <sheetData>
    <row r="1" customFormat="false" ht="15" hidden="false" customHeight="true" outlineLevel="0" collapsed="false">
      <c r="A1" s="42" t="s">
        <v>100</v>
      </c>
      <c r="B1" s="42" t="s">
        <v>104</v>
      </c>
      <c r="C1" s="42" t="s">
        <v>105</v>
      </c>
      <c r="D1" s="42" t="s">
        <v>62</v>
      </c>
      <c r="E1" s="42" t="s">
        <v>81</v>
      </c>
      <c r="F1" s="42" t="s">
        <v>111</v>
      </c>
      <c r="G1" s="42" t="s">
        <v>125</v>
      </c>
      <c r="I1" s="9" t="s">
        <v>496</v>
      </c>
    </row>
    <row r="2" customFormat="false" ht="15" hidden="false" customHeight="true" outlineLevel="0" collapsed="false">
      <c r="A2" s="43" t="s">
        <v>131</v>
      </c>
      <c r="B2" s="43" t="s">
        <v>139</v>
      </c>
      <c r="C2" s="43" t="s">
        <v>67</v>
      </c>
      <c r="D2" s="43" t="s">
        <v>66</v>
      </c>
      <c r="E2" s="43" t="s">
        <v>82</v>
      </c>
      <c r="F2" s="43" t="s">
        <v>497</v>
      </c>
      <c r="G2" s="43" t="s">
        <v>498</v>
      </c>
    </row>
    <row r="3" customFormat="false" ht="15" hidden="false" customHeight="true" outlineLevel="0" collapsed="false">
      <c r="A3" s="43" t="s">
        <v>499</v>
      </c>
      <c r="B3" s="43" t="s">
        <v>167</v>
      </c>
      <c r="C3" s="43" t="s">
        <v>69</v>
      </c>
      <c r="D3" s="43" t="s">
        <v>68</v>
      </c>
      <c r="E3" s="43" t="s">
        <v>83</v>
      </c>
      <c r="F3" s="43" t="s">
        <v>500</v>
      </c>
      <c r="G3" s="43" t="s">
        <v>501</v>
      </c>
    </row>
    <row r="4" customFormat="false" ht="15" hidden="false" customHeight="true" outlineLevel="0" collapsed="false">
      <c r="A4" s="43" t="s">
        <v>502</v>
      </c>
      <c r="B4" s="43" t="s">
        <v>133</v>
      </c>
      <c r="C4" s="43" t="s">
        <v>71</v>
      </c>
      <c r="D4" s="43" t="s">
        <v>70</v>
      </c>
      <c r="E4" s="43" t="s">
        <v>84</v>
      </c>
      <c r="F4" s="43" t="s">
        <v>503</v>
      </c>
      <c r="G4" s="43" t="s">
        <v>504</v>
      </c>
    </row>
    <row r="5" customFormat="false" ht="15" hidden="false" customHeight="true" outlineLevel="0" collapsed="false">
      <c r="B5" s="43" t="s">
        <v>339</v>
      </c>
      <c r="C5" s="43" t="s">
        <v>73</v>
      </c>
      <c r="D5" s="43" t="s">
        <v>72</v>
      </c>
      <c r="E5" s="43" t="s">
        <v>68</v>
      </c>
      <c r="F5" s="43" t="s">
        <v>505</v>
      </c>
      <c r="G5" s="43" t="s">
        <v>506</v>
      </c>
    </row>
    <row r="6" customFormat="false" ht="15" hidden="false" customHeight="true" outlineLevel="0" collapsed="false">
      <c r="B6" s="43" t="s">
        <v>142</v>
      </c>
      <c r="C6" s="43" t="s">
        <v>75</v>
      </c>
      <c r="D6" s="43" t="s">
        <v>74</v>
      </c>
      <c r="G6" s="43" t="s">
        <v>507</v>
      </c>
    </row>
    <row r="7" customFormat="false" ht="15" hidden="false" customHeight="true" outlineLevel="0" collapsed="false">
      <c r="B7" s="43" t="s">
        <v>508</v>
      </c>
      <c r="C7" s="43" t="s">
        <v>77</v>
      </c>
      <c r="G7" s="43" t="s">
        <v>509</v>
      </c>
    </row>
    <row r="8" customFormat="false" ht="15" hidden="false" customHeight="true" outlineLevel="0" collapsed="false">
      <c r="B8" s="43" t="s">
        <v>510</v>
      </c>
      <c r="C8" s="43" t="s">
        <v>78</v>
      </c>
    </row>
    <row r="9" customFormat="false" ht="15" hidden="false" customHeight="true" outlineLevel="0" collapsed="false">
      <c r="B9" s="43" t="s">
        <v>400</v>
      </c>
      <c r="C9" s="43" t="s">
        <v>80</v>
      </c>
    </row>
    <row r="10" customFormat="false" ht="15" hidden="false" customHeight="true" outlineLevel="0" collapsed="false">
      <c r="B10" s="43" t="s">
        <v>487</v>
      </c>
    </row>
    <row r="11" customFormat="false" ht="15" hidden="false" customHeight="true" outlineLevel="0" collapsed="false">
      <c r="B11" s="43" t="s">
        <v>306</v>
      </c>
    </row>
    <row r="12" customFormat="false" ht="15" hidden="false" customHeight="true" outlineLevel="0" collapsed="false">
      <c r="B12" s="43" t="s">
        <v>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2026-05-20T23:51:24Z</dcterms:created>
  <dc:creator>openpyxl</dc:creator>
  <dc:description/>
  <dc:language>en-US</dc:language>
  <cp:lastModifiedBy/>
  <dcterms:modified xsi:type="dcterms:W3CDTF">2026-05-21T15:23:28Z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