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uario\Documents\Franco\Informes\Estados de Resultados - Mensuales\"/>
    </mc:Choice>
  </mc:AlternateContent>
  <xr:revisionPtr revIDLastSave="0" documentId="13_ncr:1_{64A77091-FD14-4803-9413-0CCADCF02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o_Result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C13" i="1" l="1"/>
  <c r="M13" i="1" s="1"/>
  <c r="M17" i="1"/>
  <c r="M8" i="1"/>
  <c r="J14" i="1"/>
  <c r="L14" i="1" l="1"/>
  <c r="L46" i="1" s="1"/>
  <c r="K14" i="1"/>
  <c r="I14" i="1"/>
  <c r="H14" i="1"/>
  <c r="G14" i="1"/>
  <c r="F14" i="1"/>
  <c r="F46" i="1" s="1"/>
  <c r="B14" i="1"/>
  <c r="L30" i="1"/>
  <c r="K30" i="1"/>
  <c r="I30" i="1"/>
  <c r="I32" i="1" s="1"/>
  <c r="H30" i="1"/>
  <c r="G30" i="1"/>
  <c r="F30" i="1"/>
  <c r="E30" i="1"/>
  <c r="D30" i="1"/>
  <c r="C30" i="1"/>
  <c r="B20" i="1"/>
  <c r="E9" i="1"/>
  <c r="E14" i="1" s="1"/>
  <c r="D7" i="1"/>
  <c r="C7" i="1" s="1"/>
  <c r="M7" i="1" s="1"/>
  <c r="L43" i="1"/>
  <c r="K43" i="1"/>
  <c r="I43" i="1"/>
  <c r="H43" i="1"/>
  <c r="G43" i="1"/>
  <c r="F43" i="1"/>
  <c r="E43" i="1"/>
  <c r="D43" i="1"/>
  <c r="B43" i="1"/>
  <c r="C42" i="1"/>
  <c r="M42" i="1" s="1"/>
  <c r="C41" i="1"/>
  <c r="M41" i="1" s="1"/>
  <c r="C40" i="1"/>
  <c r="M40" i="1" s="1"/>
  <c r="C39" i="1"/>
  <c r="M39" i="1" s="1"/>
  <c r="C38" i="1"/>
  <c r="M38" i="1" s="1"/>
  <c r="C37" i="1"/>
  <c r="M37" i="1" s="1"/>
  <c r="C36" i="1"/>
  <c r="M36" i="1" s="1"/>
  <c r="M27" i="1"/>
  <c r="M26" i="1"/>
  <c r="M25" i="1"/>
  <c r="M24" i="1"/>
  <c r="M23" i="1"/>
  <c r="M22" i="1"/>
  <c r="M21" i="1"/>
  <c r="M19" i="1"/>
  <c r="M18" i="1"/>
  <c r="C12" i="1"/>
  <c r="M12" i="1" s="1"/>
  <c r="C11" i="1"/>
  <c r="M11" i="1" s="1"/>
  <c r="C10" i="1"/>
  <c r="M10" i="1" s="1"/>
  <c r="L32" i="1" l="1"/>
  <c r="C43" i="1"/>
  <c r="K32" i="1"/>
  <c r="D9" i="1"/>
  <c r="H32" i="1"/>
  <c r="B30" i="1"/>
  <c r="B32" i="1" s="1"/>
  <c r="F32" i="1"/>
  <c r="G45" i="1"/>
  <c r="G46" i="1" s="1"/>
  <c r="E45" i="1"/>
  <c r="E46" i="1" s="1"/>
  <c r="H45" i="1"/>
  <c r="H46" i="1" s="1"/>
  <c r="M20" i="1"/>
  <c r="M30" i="1" s="1"/>
  <c r="F45" i="1"/>
  <c r="K45" i="1"/>
  <c r="K46" i="1" s="1"/>
  <c r="M43" i="1"/>
  <c r="E32" i="1"/>
  <c r="I45" i="1"/>
  <c r="I46" i="1" s="1"/>
  <c r="G32" i="1"/>
  <c r="L45" i="1"/>
  <c r="B45" i="1" l="1"/>
  <c r="D14" i="1"/>
  <c r="C9" i="1"/>
  <c r="M9" i="1" s="1"/>
  <c r="B46" i="1" l="1"/>
  <c r="C14" i="1"/>
  <c r="M14" i="1" s="1"/>
  <c r="D32" i="1"/>
  <c r="D45" i="1"/>
  <c r="C45" i="1" s="1"/>
  <c r="M45" i="1" l="1"/>
  <c r="C32" i="1"/>
  <c r="M32" i="1" s="1"/>
  <c r="D46" i="1"/>
  <c r="C46" i="1" s="1"/>
  <c r="M46" i="1" l="1"/>
  <c r="M52" i="1"/>
  <c r="M53" i="1" s="1"/>
</calcChain>
</file>

<file path=xl/sharedStrings.xml><?xml version="1.0" encoding="utf-8"?>
<sst xmlns="http://schemas.openxmlformats.org/spreadsheetml/2006/main" count="65" uniqueCount="58">
  <si>
    <t>GRIFF SALUD — Estado de Resultado  |  Febrero 2026  |  Costos reales planilla</t>
  </si>
  <si>
    <t>Negro = dato real   |   Azul = OSPIF Córdoba   |   Amarillo = completar</t>
  </si>
  <si>
    <t>CONCEPTO</t>
  </si>
  <si>
    <t>OSPEVIC</t>
  </si>
  <si>
    <t>OSPIF</t>
  </si>
  <si>
    <t>OSPLYFC</t>
  </si>
  <si>
    <t>OSPM</t>
  </si>
  <si>
    <t>OSSURRBAC</t>
  </si>
  <si>
    <t>UOM</t>
  </si>
  <si>
    <t>OTRAS FC</t>
  </si>
  <si>
    <t>TOTAL</t>
  </si>
  <si>
    <t>General</t>
  </si>
  <si>
    <t>Total</t>
  </si>
  <si>
    <t>Córdoba</t>
  </si>
  <si>
    <t>Santa Fe</t>
  </si>
  <si>
    <t>Bah.Blanca</t>
  </si>
  <si>
    <t>Auditoría</t>
  </si>
  <si>
    <t xml:space="preserve">  INGRESOS</t>
  </si>
  <si>
    <t xml:space="preserve">  Cantidad de Afiliados</t>
  </si>
  <si>
    <t xml:space="preserve">  Costo de la Cápita ($)</t>
  </si>
  <si>
    <t xml:space="preserve">  Subtotal Cápita</t>
  </si>
  <si>
    <t xml:space="preserve">  Facturado / Dev.</t>
  </si>
  <si>
    <t xml:space="preserve">  Notas de Crédito / Débito</t>
  </si>
  <si>
    <t>INGRESOS NETOS</t>
  </si>
  <si>
    <t xml:space="preserve">  EGRESOS DIRECTOS — Costos reales planilla (total $264.358.359 cuadrado con dinámica)</t>
  </si>
  <si>
    <t xml:space="preserve">  Ambulatorio</t>
  </si>
  <si>
    <t xml:space="preserve">  Internado</t>
  </si>
  <si>
    <t xml:space="preserve">  Capitado (incl. Cápitas a prestadores)</t>
  </si>
  <si>
    <t xml:space="preserve">  Traslado</t>
  </si>
  <si>
    <t xml:space="preserve">  Intereses</t>
  </si>
  <si>
    <t xml:space="preserve">  Refacturación</t>
  </si>
  <si>
    <t xml:space="preserve">  Prótesis</t>
  </si>
  <si>
    <t xml:space="preserve">  Sin clasificación</t>
  </si>
  <si>
    <t xml:space="preserve">    Déb. Administrativo (ref.)</t>
  </si>
  <si>
    <t xml:space="preserve">    Déb. Médico (ref.)</t>
  </si>
  <si>
    <t xml:space="preserve">  * Débitos ya descontados del A Pagar — se muestran como referencia</t>
  </si>
  <si>
    <t>TOTAL EGRESOS DIRECTOS</t>
  </si>
  <si>
    <t>SUBTOTAL OPERATIVO  (Ingresos − Egresos Directos)</t>
  </si>
  <si>
    <t xml:space="preserve">  EGRESOS INDIRECTOS (Costos Fijos)</t>
  </si>
  <si>
    <t xml:space="preserve">  Ingresar el TOTAL — se distribuye automáticamente por % de ingresos netos</t>
  </si>
  <si>
    <t xml:space="preserve">  Sueldos y cargas sociales</t>
  </si>
  <si>
    <t xml:space="preserve">  Centro Medico Russito</t>
  </si>
  <si>
    <t xml:space="preserve">  Alquiler</t>
  </si>
  <si>
    <t xml:space="preserve">  Servicios (luz / gas / internet/micam/limpieza)</t>
  </si>
  <si>
    <t xml:space="preserve">  Honorarios administración</t>
  </si>
  <si>
    <t xml:space="preserve">  Otros gastos fijos (Reintegros)</t>
  </si>
  <si>
    <t xml:space="preserve">    MUSCARELO</t>
  </si>
  <si>
    <t>TOTAL COSTOS FIJOS</t>
  </si>
  <si>
    <t>RESULTADO NETO</t>
  </si>
  <si>
    <t xml:space="preserve">  Margen %</t>
  </si>
  <si>
    <t>AMSURRBAC</t>
  </si>
  <si>
    <t xml:space="preserve">  Otros Servicios / Auditoría UOM / FC ossurrbac / AMSURRBAC</t>
  </si>
  <si>
    <t>Refuerzo capita</t>
  </si>
  <si>
    <t>Impuesto IIBB 02/2026</t>
  </si>
  <si>
    <t xml:space="preserve">IVA </t>
  </si>
  <si>
    <t>Municipalidad</t>
  </si>
  <si>
    <t xml:space="preserve">RESULTADO NETO ANTES DE IMPUESTOS </t>
  </si>
  <si>
    <t xml:space="preserve">  Gastos (auditoria padron)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</si>
</sst>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-&quot;"/>
    <numFmt numFmtId="165" formatCode="0.0%;\(0.0%\)"/>
  </numFmts>
  <fonts count="23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1A237E"/>
      <name val="Arial"/>
      <family val="2"/>
    </font>
    <font>
      <b/>
      <sz val="10"/>
      <color rgb="FF1A4731"/>
      <name val="Arial"/>
      <family val="2"/>
    </font>
    <font>
      <b/>
      <sz val="10"/>
      <color rgb="FF1A237E"/>
      <name val="Arial"/>
      <family val="2"/>
    </font>
    <font>
      <sz val="10"/>
      <color rgb="FF1A4731"/>
      <name val="Arial"/>
      <family val="2"/>
    </font>
    <font>
      <sz val="10"/>
      <color rgb="FFB71C1C"/>
      <name val="Arial"/>
      <family val="2"/>
    </font>
    <font>
      <sz val="10"/>
      <color rgb="FFE65100"/>
      <name val="Arial"/>
      <family val="2"/>
    </font>
    <font>
      <sz val="10"/>
      <color rgb="FF5D4037"/>
      <name val="Arial"/>
      <family val="2"/>
    </font>
    <font>
      <sz val="10"/>
      <color rgb="FF6A1B9A"/>
      <name val="Arial"/>
      <family val="2"/>
    </font>
    <font>
      <sz val="10"/>
      <color rgb="FF455A64"/>
      <name val="Arial"/>
      <family val="2"/>
    </font>
    <font>
      <i/>
      <sz val="8"/>
      <color rgb="FF999999"/>
      <name val="Arial"/>
      <family val="2"/>
    </font>
    <font>
      <b/>
      <sz val="10"/>
      <color rgb="FFB71C1C"/>
      <name val="Arial"/>
      <family val="2"/>
    </font>
    <font>
      <b/>
      <sz val="12"/>
      <color rgb="FF1A4731"/>
      <name val="Arial"/>
      <family val="2"/>
    </font>
    <font>
      <i/>
      <sz val="8"/>
      <color rgb="FF555555"/>
      <name val="Arial"/>
      <family val="2"/>
    </font>
    <font>
      <sz val="10"/>
      <color rgb="FF999999"/>
      <name val="Arial"/>
      <family val="2"/>
    </font>
    <font>
      <b/>
      <sz val="10"/>
      <color rgb="FFE65100"/>
      <name val="Arial"/>
      <family val="2"/>
    </font>
    <font>
      <b/>
      <sz val="12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A4731"/>
      </patternFill>
    </fill>
    <fill>
      <patternFill patternType="solid">
        <fgColor rgb="FFF9F9F9"/>
      </patternFill>
    </fill>
    <fill>
      <patternFill patternType="solid">
        <fgColor rgb="FF455A64"/>
      </patternFill>
    </fill>
    <fill>
      <patternFill patternType="solid">
        <fgColor rgb="FF1A237E"/>
      </patternFill>
    </fill>
    <fill>
      <patternFill patternType="solid">
        <fgColor rgb="FF3949AB"/>
      </patternFill>
    </fill>
    <fill>
      <patternFill patternType="solid">
        <fgColor rgb="FF2E7D52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D6EFE0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EBEE"/>
      </patternFill>
    </fill>
    <fill>
      <patternFill patternType="solid">
        <fgColor rgb="FFB71C1C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AFAFA"/>
      </patternFill>
    </fill>
    <fill>
      <patternFill patternType="solid">
        <fgColor rgb="FFFFF9C4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6" fillId="8" borderId="1" xfId="0" applyFont="1" applyFill="1" applyBorder="1" applyAlignment="1">
      <alignment horizontal="left" vertical="center"/>
    </xf>
    <xf numFmtId="164" fontId="6" fillId="8" borderId="1" xfId="0" applyNumberFormat="1" applyFont="1" applyFill="1" applyBorder="1" applyAlignment="1">
      <alignment horizontal="right" vertical="center"/>
    </xf>
    <xf numFmtId="164" fontId="7" fillId="9" borderId="1" xfId="0" applyNumberFormat="1" applyFont="1" applyFill="1" applyBorder="1" applyAlignment="1">
      <alignment horizontal="right" vertical="center"/>
    </xf>
    <xf numFmtId="164" fontId="6" fillId="9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left" vertical="center"/>
    </xf>
    <xf numFmtId="164" fontId="8" fillId="10" borderId="1" xfId="0" applyNumberFormat="1" applyFont="1" applyFill="1" applyBorder="1" applyAlignment="1">
      <alignment horizontal="right" vertical="center"/>
    </xf>
    <xf numFmtId="164" fontId="9" fillId="9" borderId="1" xfId="0" applyNumberFormat="1" applyFont="1" applyFill="1" applyBorder="1" applyAlignment="1">
      <alignment horizontal="right" vertical="center"/>
    </xf>
    <xf numFmtId="164" fontId="8" fillId="9" borderId="1" xfId="0" applyNumberFormat="1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left" vertical="center"/>
    </xf>
    <xf numFmtId="164" fontId="10" fillId="11" borderId="1" xfId="0" applyNumberFormat="1" applyFont="1" applyFill="1" applyBorder="1" applyAlignment="1">
      <alignment horizontal="right" vertical="center"/>
    </xf>
    <xf numFmtId="164" fontId="10" fillId="9" borderId="1" xfId="0" applyNumberFormat="1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left" vertical="center"/>
    </xf>
    <xf numFmtId="164" fontId="6" fillId="12" borderId="1" xfId="0" applyNumberFormat="1" applyFont="1" applyFill="1" applyBorder="1" applyAlignment="1">
      <alignment horizontal="right" vertical="center"/>
    </xf>
    <xf numFmtId="0" fontId="11" fillId="13" borderId="1" xfId="0" applyFont="1" applyFill="1" applyBorder="1" applyAlignment="1">
      <alignment horizontal="left" vertical="center"/>
    </xf>
    <xf numFmtId="164" fontId="11" fillId="13" borderId="1" xfId="0" applyNumberFormat="1" applyFont="1" applyFill="1" applyBorder="1" applyAlignment="1">
      <alignment horizontal="right" vertical="center"/>
    </xf>
    <xf numFmtId="164" fontId="11" fillId="9" borderId="1" xfId="0" applyNumberFormat="1" applyFont="1" applyFill="1" applyBorder="1" applyAlignment="1">
      <alignment horizontal="right" vertical="center"/>
    </xf>
    <xf numFmtId="0" fontId="5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10" fillId="10" borderId="1" xfId="0" applyFont="1" applyFill="1" applyBorder="1" applyAlignment="1">
      <alignment horizontal="left" vertical="center"/>
    </xf>
    <xf numFmtId="164" fontId="10" fillId="10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/>
    </xf>
    <xf numFmtId="0" fontId="12" fillId="15" borderId="1" xfId="0" applyFont="1" applyFill="1" applyBorder="1" applyAlignment="1">
      <alignment horizontal="left" vertical="center"/>
    </xf>
    <xf numFmtId="164" fontId="12" fillId="15" borderId="1" xfId="0" applyNumberFormat="1" applyFont="1" applyFill="1" applyBorder="1" applyAlignment="1">
      <alignment horizontal="right" vertical="center"/>
    </xf>
    <xf numFmtId="164" fontId="12" fillId="9" borderId="1" xfId="0" applyNumberFormat="1" applyFont="1" applyFill="1" applyBorder="1" applyAlignment="1">
      <alignment horizontal="right" vertical="center"/>
    </xf>
    <xf numFmtId="0" fontId="13" fillId="12" borderId="1" xfId="0" applyFont="1" applyFill="1" applyBorder="1" applyAlignment="1">
      <alignment horizontal="left" vertical="center"/>
    </xf>
    <xf numFmtId="164" fontId="13" fillId="12" borderId="1" xfId="0" applyNumberFormat="1" applyFont="1" applyFill="1" applyBorder="1" applyAlignment="1">
      <alignment horizontal="right" vertical="center"/>
    </xf>
    <xf numFmtId="164" fontId="13" fillId="9" borderId="1" xfId="0" applyNumberFormat="1" applyFont="1" applyFill="1" applyBorder="1" applyAlignment="1">
      <alignment horizontal="right" vertical="center"/>
    </xf>
    <xf numFmtId="0" fontId="14" fillId="16" borderId="1" xfId="0" applyFont="1" applyFill="1" applyBorder="1" applyAlignment="1">
      <alignment horizontal="left" vertical="center"/>
    </xf>
    <xf numFmtId="164" fontId="14" fillId="16" borderId="1" xfId="0" applyNumberFormat="1" applyFont="1" applyFill="1" applyBorder="1" applyAlignment="1">
      <alignment horizontal="right" vertical="center"/>
    </xf>
    <xf numFmtId="164" fontId="14" fillId="9" borderId="1" xfId="0" applyNumberFormat="1" applyFont="1" applyFill="1" applyBorder="1" applyAlignment="1">
      <alignment horizontal="right" vertical="center"/>
    </xf>
    <xf numFmtId="0" fontId="15" fillId="17" borderId="1" xfId="0" applyFont="1" applyFill="1" applyBorder="1" applyAlignment="1">
      <alignment horizontal="left" vertical="center"/>
    </xf>
    <xf numFmtId="164" fontId="15" fillId="17" borderId="1" xfId="0" applyNumberFormat="1" applyFont="1" applyFill="1" applyBorder="1" applyAlignment="1">
      <alignment horizontal="right" vertical="center"/>
    </xf>
    <xf numFmtId="164" fontId="15" fillId="9" borderId="1" xfId="0" applyNumberFormat="1" applyFont="1" applyFill="1" applyBorder="1" applyAlignment="1">
      <alignment horizontal="right" vertical="center"/>
    </xf>
    <xf numFmtId="0" fontId="13" fillId="15" borderId="1" xfId="0" applyFont="1" applyFill="1" applyBorder="1" applyAlignment="1">
      <alignment horizontal="left" vertical="center"/>
    </xf>
    <xf numFmtId="164" fontId="13" fillId="15" borderId="1" xfId="0" applyNumberFormat="1" applyFont="1" applyFill="1" applyBorder="1" applyAlignment="1">
      <alignment horizontal="right" vertical="center"/>
    </xf>
    <xf numFmtId="0" fontId="16" fillId="18" borderId="1" xfId="0" applyFont="1" applyFill="1" applyBorder="1" applyAlignment="1">
      <alignment horizontal="left" vertical="center"/>
    </xf>
    <xf numFmtId="0" fontId="0" fillId="18" borderId="1" xfId="0" applyFill="1" applyBorder="1"/>
    <xf numFmtId="0" fontId="17" fillId="13" borderId="1" xfId="0" applyFont="1" applyFill="1" applyBorder="1" applyAlignment="1">
      <alignment horizontal="left" vertical="center"/>
    </xf>
    <xf numFmtId="164" fontId="17" fillId="13" borderId="1" xfId="0" applyNumberFormat="1" applyFont="1" applyFill="1" applyBorder="1" applyAlignment="1">
      <alignment horizontal="right" vertical="center"/>
    </xf>
    <xf numFmtId="164" fontId="18" fillId="10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6" fillId="19" borderId="1" xfId="0" applyFont="1" applyFill="1" applyBorder="1" applyAlignment="1">
      <alignment horizontal="left" vertical="center"/>
    </xf>
    <xf numFmtId="164" fontId="6" fillId="19" borderId="1" xfId="0" applyNumberFormat="1" applyFont="1" applyFill="1" applyBorder="1" applyAlignment="1">
      <alignment horizontal="right" vertical="center"/>
    </xf>
    <xf numFmtId="0" fontId="12" fillId="19" borderId="1" xfId="0" applyFont="1" applyFill="1" applyBorder="1" applyAlignment="1">
      <alignment horizontal="left" vertical="center"/>
    </xf>
    <xf numFmtId="164" fontId="20" fillId="19" borderId="1" xfId="0" applyNumberFormat="1" applyFont="1" applyFill="1" applyBorder="1" applyAlignment="1">
      <alignment horizontal="right" vertical="center"/>
    </xf>
    <xf numFmtId="164" fontId="21" fillId="19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22" fillId="2" borderId="1" xfId="0" applyNumberFormat="1" applyFont="1" applyFill="1" applyBorder="1" applyAlignment="1">
      <alignment horizontal="right" vertical="center"/>
    </xf>
    <xf numFmtId="164" fontId="22" fillId="6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5" fontId="8" fillId="10" borderId="1" xfId="0" applyNumberFormat="1" applyFont="1" applyFill="1" applyBorder="1" applyAlignment="1">
      <alignment horizontal="right" vertical="center"/>
    </xf>
    <xf numFmtId="165" fontId="9" fillId="9" borderId="1" xfId="0" applyNumberFormat="1" applyFont="1" applyFill="1" applyBorder="1" applyAlignment="1">
      <alignment horizontal="right" vertical="center"/>
    </xf>
    <xf numFmtId="4" fontId="0" fillId="0" borderId="0" xfId="0" applyNumberFormat="1"/>
    <xf numFmtId="0" fontId="9" fillId="9" borderId="0" xfId="0" applyFont="1" applyFill="1" applyBorder="1" applyAlignment="1">
      <alignment horizontal="left" vertical="center"/>
    </xf>
    <xf numFmtId="164" fontId="9" fillId="9" borderId="0" xfId="0" applyNumberFormat="1" applyFont="1" applyFill="1" applyBorder="1" applyAlignment="1">
      <alignment horizontal="right" vertical="center"/>
    </xf>
    <xf numFmtId="0" fontId="9" fillId="9" borderId="2" xfId="0" applyFont="1" applyFill="1" applyBorder="1" applyAlignment="1">
      <alignment horizontal="left" vertical="center"/>
    </xf>
    <xf numFmtId="164" fontId="9" fillId="9" borderId="2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P53"/>
  <sheetViews>
    <sheetView tabSelected="1" workbookViewId="0">
      <pane xSplit="1" ySplit="4" topLeftCell="B23" activePane="bottomRight" state="frozen"/>
      <selection pane="topRight"/>
      <selection pane="bottomLeft"/>
      <selection pane="bottomRight" activeCell="O4" sqref="O4"/>
    </sheetView>
  </sheetViews>
  <sheetFormatPr baseColWidth="10" defaultColWidth="8.88671875" defaultRowHeight="14.4" outlineLevelCol="1" x14ac:dyDescent="0.3"/>
  <cols>
    <col min="1" max="1" width="44" customWidth="1"/>
    <col min="2" max="2" width="17" customWidth="1"/>
    <col min="3" max="3" width="14" customWidth="1" collapsed="1"/>
    <col min="4" max="4" width="13" hidden="1" customWidth="1" outlineLevel="1"/>
    <col min="5" max="5" width="12.109375" hidden="1" customWidth="1" outlineLevel="1"/>
    <col min="6" max="6" width="11" hidden="1" customWidth="1" outlineLevel="1"/>
    <col min="7" max="7" width="14" customWidth="1"/>
    <col min="8" max="8" width="13" customWidth="1"/>
    <col min="9" max="11" width="14" customWidth="1"/>
    <col min="12" max="12" width="12" customWidth="1"/>
    <col min="13" max="13" width="17" customWidth="1"/>
    <col min="15" max="15" width="13.5546875" bestFit="1" customWidth="1"/>
    <col min="16" max="16" width="11.5546875" bestFit="1" customWidth="1"/>
  </cols>
  <sheetData>
    <row r="1" spans="1:13" ht="31.95" customHeight="1" x14ac:dyDescent="0.3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</row>
    <row r="2" spans="1:13" ht="13.95" customHeight="1" x14ac:dyDescent="0.3">
      <c r="A2" s="74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1:13" ht="22.05" customHeight="1" x14ac:dyDescent="0.3">
      <c r="A3" s="70" t="s">
        <v>2</v>
      </c>
      <c r="B3" s="69" t="s">
        <v>3</v>
      </c>
      <c r="C3" s="77" t="s">
        <v>4</v>
      </c>
      <c r="D3" s="78"/>
      <c r="E3" s="78"/>
      <c r="F3" s="78"/>
      <c r="G3" s="70" t="s">
        <v>5</v>
      </c>
      <c r="H3" s="70" t="s">
        <v>6</v>
      </c>
      <c r="I3" s="70" t="s">
        <v>7</v>
      </c>
      <c r="J3" s="1" t="s">
        <v>50</v>
      </c>
      <c r="K3" s="70" t="s">
        <v>8</v>
      </c>
      <c r="L3" s="70" t="s">
        <v>9</v>
      </c>
      <c r="M3" s="69" t="s">
        <v>10</v>
      </c>
    </row>
    <row r="4" spans="1:13" ht="19.95" customHeight="1" x14ac:dyDescent="0.3">
      <c r="A4" s="3"/>
      <c r="B4" s="4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3" t="s">
        <v>11</v>
      </c>
      <c r="H4" s="3" t="s">
        <v>11</v>
      </c>
      <c r="I4" s="3" t="s">
        <v>11</v>
      </c>
      <c r="J4" s="3" t="s">
        <v>11</v>
      </c>
      <c r="K4" s="3" t="s">
        <v>16</v>
      </c>
      <c r="L4" s="3" t="s">
        <v>11</v>
      </c>
      <c r="M4" s="4" t="s">
        <v>11</v>
      </c>
    </row>
    <row r="6" spans="1:13" ht="19.95" customHeight="1" x14ac:dyDescent="0.3">
      <c r="A6" s="6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6.95" customHeight="1" x14ac:dyDescent="0.3">
      <c r="A7" s="8" t="s">
        <v>18</v>
      </c>
      <c r="B7" s="9">
        <v>8950</v>
      </c>
      <c r="C7" s="10">
        <f t="shared" ref="C7:C12" si="0">D7+E7+F7</f>
        <v>4681</v>
      </c>
      <c r="D7" s="11">
        <f>4681-1432</f>
        <v>3249</v>
      </c>
      <c r="E7" s="9">
        <v>1432</v>
      </c>
      <c r="F7" s="9">
        <v>0</v>
      </c>
      <c r="G7" s="9">
        <v>994</v>
      </c>
      <c r="H7" s="9">
        <v>0</v>
      </c>
      <c r="I7" s="9">
        <v>326</v>
      </c>
      <c r="J7" s="9"/>
      <c r="K7" s="9">
        <v>0</v>
      </c>
      <c r="L7" s="9">
        <v>0</v>
      </c>
      <c r="M7" s="9">
        <f>B7+C7+G7+H7+I7+K7+L7+J7</f>
        <v>14951</v>
      </c>
    </row>
    <row r="8" spans="1:13" ht="16.95" customHeight="1" x14ac:dyDescent="0.3">
      <c r="A8" s="8" t="s">
        <v>19</v>
      </c>
      <c r="B8" s="12">
        <v>21750.07</v>
      </c>
      <c r="C8" s="10">
        <v>23000</v>
      </c>
      <c r="D8" s="11">
        <v>23000</v>
      </c>
      <c r="E8" s="12">
        <v>23000</v>
      </c>
      <c r="F8" s="12">
        <v>0</v>
      </c>
      <c r="G8" s="12">
        <v>18331.439999999999</v>
      </c>
      <c r="H8" s="12">
        <v>0</v>
      </c>
      <c r="I8" s="12">
        <v>23006</v>
      </c>
      <c r="J8" s="12"/>
      <c r="K8" s="12">
        <v>0</v>
      </c>
      <c r="L8" s="12">
        <v>0</v>
      </c>
      <c r="M8" s="12">
        <f>B8+C8+G8+H8+I8+K8+L8+J8</f>
        <v>86087.51</v>
      </c>
    </row>
    <row r="9" spans="1:13" ht="18" customHeight="1" x14ac:dyDescent="0.3">
      <c r="A9" s="13" t="s">
        <v>20</v>
      </c>
      <c r="B9" s="14">
        <f>+B7*B8</f>
        <v>194663126.5</v>
      </c>
      <c r="C9" s="15">
        <f t="shared" si="0"/>
        <v>107663000</v>
      </c>
      <c r="D9" s="16">
        <f>+D7*D8</f>
        <v>74727000</v>
      </c>
      <c r="E9" s="16">
        <f>+E7*E8</f>
        <v>32936000</v>
      </c>
      <c r="F9" s="14">
        <v>0</v>
      </c>
      <c r="G9" s="14">
        <v>18221451.359999999</v>
      </c>
      <c r="H9" s="14">
        <v>0</v>
      </c>
      <c r="I9" s="14">
        <v>7499865</v>
      </c>
      <c r="J9" s="14"/>
      <c r="K9" s="14">
        <v>0</v>
      </c>
      <c r="L9" s="14">
        <v>0</v>
      </c>
      <c r="M9" s="14">
        <f>B9+C9+G9+H9+I9+K9+L9+J9</f>
        <v>328047442.86000001</v>
      </c>
    </row>
    <row r="10" spans="1:13" ht="16.95" customHeight="1" x14ac:dyDescent="0.3">
      <c r="A10" s="17" t="s">
        <v>52</v>
      </c>
      <c r="B10" s="18">
        <v>12000000</v>
      </c>
      <c r="C10" s="10">
        <f t="shared" si="0"/>
        <v>0</v>
      </c>
      <c r="D10" s="19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/>
      <c r="K10" s="18">
        <v>0</v>
      </c>
      <c r="L10" s="18">
        <v>0</v>
      </c>
      <c r="M10" s="18">
        <f>B10+C10+G10+H10+I10+K10+L10</f>
        <v>12000000</v>
      </c>
    </row>
    <row r="11" spans="1:13" ht="16.95" customHeight="1" x14ac:dyDescent="0.3">
      <c r="A11" s="20" t="s">
        <v>21</v>
      </c>
      <c r="B11" s="21">
        <v>0</v>
      </c>
      <c r="C11" s="10">
        <f t="shared" si="0"/>
        <v>0</v>
      </c>
      <c r="D11" s="1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/>
      <c r="K11" s="21">
        <v>0</v>
      </c>
      <c r="L11" s="21">
        <v>0</v>
      </c>
      <c r="M11" s="21">
        <f>B11+C11+G11+H11+I11+K11+L11</f>
        <v>0</v>
      </c>
    </row>
    <row r="12" spans="1:13" ht="16.95" customHeight="1" x14ac:dyDescent="0.3">
      <c r="A12" s="22" t="s">
        <v>22</v>
      </c>
      <c r="B12" s="23">
        <v>-7331349</v>
      </c>
      <c r="C12" s="10">
        <f t="shared" si="0"/>
        <v>0</v>
      </c>
      <c r="D12" s="24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/>
      <c r="K12" s="23">
        <v>0</v>
      </c>
      <c r="L12" s="23">
        <v>0</v>
      </c>
      <c r="M12" s="23">
        <f>B12+C12+G12+H12+I12+K12+L12</f>
        <v>-7331349</v>
      </c>
    </row>
    <row r="13" spans="1:13" ht="16.95" customHeight="1" x14ac:dyDescent="0.3">
      <c r="A13" s="8" t="s">
        <v>51</v>
      </c>
      <c r="B13" s="9"/>
      <c r="C13" s="10">
        <f>14557254+6714928.42</f>
        <v>21272182.420000002</v>
      </c>
      <c r="D13" s="11">
        <v>0</v>
      </c>
      <c r="E13" s="9">
        <v>0</v>
      </c>
      <c r="F13" s="9">
        <v>0</v>
      </c>
      <c r="G13" s="9">
        <v>8719283.1600000001</v>
      </c>
      <c r="H13" s="9">
        <v>5339979</v>
      </c>
      <c r="I13" s="9">
        <v>5457100.2400000002</v>
      </c>
      <c r="J13" s="9">
        <v>5784313.96</v>
      </c>
      <c r="K13" s="9">
        <v>7023340</v>
      </c>
      <c r="L13" s="9">
        <v>0</v>
      </c>
      <c r="M13" s="9">
        <f>B13+C13+G13+H13+I13+K13+L13+J13</f>
        <v>53596198.780000001</v>
      </c>
    </row>
    <row r="14" spans="1:13" ht="19.95" customHeight="1" x14ac:dyDescent="0.3">
      <c r="A14" s="13" t="s">
        <v>23</v>
      </c>
      <c r="B14" s="14">
        <f>+B9+B10+B11+B12+B13</f>
        <v>199331777.5</v>
      </c>
      <c r="C14" s="14">
        <f t="shared" ref="C14:L14" si="1">+C9+C10+C11+C12+C13</f>
        <v>128935182.42</v>
      </c>
      <c r="D14" s="14">
        <f t="shared" si="1"/>
        <v>74727000</v>
      </c>
      <c r="E14" s="14">
        <f t="shared" si="1"/>
        <v>32936000</v>
      </c>
      <c r="F14" s="14">
        <f t="shared" si="1"/>
        <v>0</v>
      </c>
      <c r="G14" s="14">
        <f t="shared" si="1"/>
        <v>26940734.52</v>
      </c>
      <c r="H14" s="14">
        <f t="shared" si="1"/>
        <v>5339979</v>
      </c>
      <c r="I14" s="14">
        <f t="shared" si="1"/>
        <v>12956965.24</v>
      </c>
      <c r="J14" s="14">
        <f t="shared" si="1"/>
        <v>5784313.96</v>
      </c>
      <c r="K14" s="14">
        <f t="shared" si="1"/>
        <v>7023340</v>
      </c>
      <c r="L14" s="14">
        <f t="shared" si="1"/>
        <v>0</v>
      </c>
      <c r="M14" s="14">
        <f>B14+C14+G14+H14+I14+K14+L14+J14</f>
        <v>386312292.63999999</v>
      </c>
    </row>
    <row r="16" spans="1:13" ht="19.95" customHeight="1" x14ac:dyDescent="0.3">
      <c r="A16" s="25" t="s">
        <v>24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1:16" ht="16.95" customHeight="1" x14ac:dyDescent="0.3">
      <c r="A17" s="27" t="s">
        <v>25</v>
      </c>
      <c r="B17" s="28">
        <v>50513663.609999999</v>
      </c>
      <c r="C17" s="10">
        <v>21501167.719999999</v>
      </c>
      <c r="D17" s="19">
        <v>0</v>
      </c>
      <c r="E17" s="28">
        <v>0</v>
      </c>
      <c r="F17" s="28">
        <v>0</v>
      </c>
      <c r="G17" s="28">
        <v>9782096.6000000015</v>
      </c>
      <c r="H17" s="28">
        <v>1703683.54</v>
      </c>
      <c r="I17" s="28">
        <v>606434.6</v>
      </c>
      <c r="J17" s="28"/>
      <c r="K17" s="28">
        <v>0</v>
      </c>
      <c r="L17" s="28">
        <v>0</v>
      </c>
      <c r="M17" s="28">
        <f t="shared" ref="M17:M27" si="2">B17+C17+G17+H17+I17+K17+L17</f>
        <v>84107046.070000008</v>
      </c>
    </row>
    <row r="18" spans="1:16" ht="16.95" customHeight="1" x14ac:dyDescent="0.3">
      <c r="A18" s="29" t="s">
        <v>26</v>
      </c>
      <c r="B18" s="10">
        <v>125152965.29000001</v>
      </c>
      <c r="C18" s="10">
        <v>21189779.07</v>
      </c>
      <c r="D18" s="10">
        <v>0</v>
      </c>
      <c r="E18" s="10">
        <v>0</v>
      </c>
      <c r="F18" s="10">
        <v>0</v>
      </c>
      <c r="G18" s="10">
        <v>1617573.49</v>
      </c>
      <c r="H18" s="10">
        <v>0</v>
      </c>
      <c r="I18" s="10">
        <v>7364229.8200000003</v>
      </c>
      <c r="J18" s="10"/>
      <c r="K18" s="10">
        <v>0</v>
      </c>
      <c r="L18" s="10">
        <v>0</v>
      </c>
      <c r="M18" s="10">
        <f t="shared" si="2"/>
        <v>155324547.67000002</v>
      </c>
    </row>
    <row r="19" spans="1:16" ht="16.95" customHeight="1" x14ac:dyDescent="0.3">
      <c r="A19" s="30" t="s">
        <v>27</v>
      </c>
      <c r="B19" s="31">
        <v>2320866</v>
      </c>
      <c r="C19" s="10">
        <v>2972062.54</v>
      </c>
      <c r="D19" s="32">
        <v>0</v>
      </c>
      <c r="E19" s="31">
        <v>0</v>
      </c>
      <c r="F19" s="31">
        <v>0</v>
      </c>
      <c r="G19" s="31">
        <v>749336.45</v>
      </c>
      <c r="H19" s="31">
        <v>0</v>
      </c>
      <c r="I19" s="31">
        <v>314997.76000000001</v>
      </c>
      <c r="J19" s="31"/>
      <c r="K19" s="31">
        <v>0</v>
      </c>
      <c r="L19" s="31">
        <v>0</v>
      </c>
      <c r="M19" s="31">
        <f t="shared" si="2"/>
        <v>6357262.75</v>
      </c>
    </row>
    <row r="20" spans="1:16" ht="16.95" customHeight="1" x14ac:dyDescent="0.3">
      <c r="A20" s="30" t="s">
        <v>28</v>
      </c>
      <c r="B20" s="31">
        <f>1800000+2401936</f>
        <v>4201936</v>
      </c>
      <c r="C20" s="10">
        <v>0</v>
      </c>
      <c r="D20" s="32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/>
      <c r="K20" s="31">
        <v>0</v>
      </c>
      <c r="L20" s="31">
        <v>0</v>
      </c>
      <c r="M20" s="31">
        <f t="shared" si="2"/>
        <v>4201936</v>
      </c>
    </row>
    <row r="21" spans="1:16" ht="16.95" customHeight="1" x14ac:dyDescent="0.3">
      <c r="A21" s="33" t="s">
        <v>29</v>
      </c>
      <c r="B21" s="34">
        <v>55292.99</v>
      </c>
      <c r="C21" s="10">
        <v>0</v>
      </c>
      <c r="D21" s="35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/>
      <c r="K21" s="34">
        <v>0</v>
      </c>
      <c r="L21" s="34">
        <v>0</v>
      </c>
      <c r="M21" s="34">
        <f t="shared" si="2"/>
        <v>55292.99</v>
      </c>
    </row>
    <row r="22" spans="1:16" ht="16.95" customHeight="1" x14ac:dyDescent="0.3">
      <c r="A22" s="33" t="s">
        <v>30</v>
      </c>
      <c r="B22" s="34">
        <v>0</v>
      </c>
      <c r="C22" s="10">
        <v>0</v>
      </c>
      <c r="D22" s="35">
        <v>0</v>
      </c>
      <c r="E22" s="34">
        <v>0</v>
      </c>
      <c r="F22" s="34">
        <v>0</v>
      </c>
      <c r="G22" s="34">
        <v>12810</v>
      </c>
      <c r="H22" s="34">
        <v>26300</v>
      </c>
      <c r="I22" s="34">
        <v>0</v>
      </c>
      <c r="J22" s="34"/>
      <c r="K22" s="34">
        <v>0</v>
      </c>
      <c r="L22" s="34">
        <v>0</v>
      </c>
      <c r="M22" s="34">
        <f t="shared" si="2"/>
        <v>39110</v>
      </c>
    </row>
    <row r="23" spans="1:16" ht="16.95" customHeight="1" x14ac:dyDescent="0.3">
      <c r="A23" s="36" t="s">
        <v>31</v>
      </c>
      <c r="B23" s="37">
        <v>2530000</v>
      </c>
      <c r="C23" s="10">
        <v>0</v>
      </c>
      <c r="D23" s="38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/>
      <c r="K23" s="37">
        <v>0</v>
      </c>
      <c r="L23" s="37">
        <v>0</v>
      </c>
      <c r="M23" s="37">
        <f t="shared" si="2"/>
        <v>2530000</v>
      </c>
    </row>
    <row r="24" spans="1:16" ht="16.95" customHeight="1" x14ac:dyDescent="0.3">
      <c r="A24" s="39" t="s">
        <v>57</v>
      </c>
      <c r="B24" s="40">
        <v>0</v>
      </c>
      <c r="C24" s="10">
        <v>0</v>
      </c>
      <c r="D24" s="41">
        <v>0</v>
      </c>
      <c r="E24" s="40">
        <v>0</v>
      </c>
      <c r="F24" s="40">
        <v>0</v>
      </c>
      <c r="G24" s="40">
        <v>1510492.83</v>
      </c>
      <c r="H24" s="40">
        <v>0</v>
      </c>
      <c r="I24" s="40">
        <v>0</v>
      </c>
      <c r="J24" s="40"/>
      <c r="K24" s="40"/>
      <c r="L24" s="40">
        <v>0</v>
      </c>
      <c r="M24" s="40">
        <f t="shared" si="2"/>
        <v>1510492.83</v>
      </c>
    </row>
    <row r="25" spans="1:16" ht="16.95" customHeight="1" x14ac:dyDescent="0.3">
      <c r="A25" s="39" t="s">
        <v>32</v>
      </c>
      <c r="B25" s="40">
        <v>1930000.67</v>
      </c>
      <c r="C25" s="10">
        <v>703442.79</v>
      </c>
      <c r="D25" s="41">
        <v>0</v>
      </c>
      <c r="E25" s="40">
        <v>0</v>
      </c>
      <c r="F25" s="40">
        <v>0</v>
      </c>
      <c r="G25" s="40">
        <v>482072.12</v>
      </c>
      <c r="H25" s="40">
        <v>0</v>
      </c>
      <c r="I25" s="40">
        <v>76647.929999999993</v>
      </c>
      <c r="J25" s="40"/>
      <c r="K25" s="40">
        <v>0</v>
      </c>
      <c r="L25" s="40">
        <v>0</v>
      </c>
      <c r="M25" s="40">
        <f t="shared" si="2"/>
        <v>3192163.5100000002</v>
      </c>
    </row>
    <row r="26" spans="1:16" ht="15" customHeight="1" x14ac:dyDescent="0.3">
      <c r="A26" s="42" t="s">
        <v>33</v>
      </c>
      <c r="B26" s="43">
        <v>6920545.5499999998</v>
      </c>
      <c r="C26" s="10">
        <v>6347128.3300000019</v>
      </c>
      <c r="D26" s="35">
        <v>0</v>
      </c>
      <c r="E26" s="43">
        <v>0</v>
      </c>
      <c r="F26" s="43">
        <v>0</v>
      </c>
      <c r="G26" s="43">
        <v>1470675.48</v>
      </c>
      <c r="H26" s="43">
        <v>200996.86</v>
      </c>
      <c r="I26" s="43">
        <v>62519.4</v>
      </c>
      <c r="J26" s="43"/>
      <c r="K26" s="43">
        <v>0</v>
      </c>
      <c r="L26" s="43">
        <v>0</v>
      </c>
      <c r="M26" s="43">
        <f t="shared" si="2"/>
        <v>15001865.620000003</v>
      </c>
    </row>
    <row r="27" spans="1:16" ht="15" customHeight="1" x14ac:dyDescent="0.3">
      <c r="A27" s="42" t="s">
        <v>34</v>
      </c>
      <c r="B27" s="43">
        <v>18450384.27</v>
      </c>
      <c r="C27" s="10">
        <v>1032574.58</v>
      </c>
      <c r="D27" s="35">
        <v>0</v>
      </c>
      <c r="E27" s="43">
        <v>0</v>
      </c>
      <c r="F27" s="43">
        <v>0</v>
      </c>
      <c r="G27" s="43">
        <v>37237.72</v>
      </c>
      <c r="H27" s="43">
        <v>0</v>
      </c>
      <c r="I27" s="43">
        <v>141897.88</v>
      </c>
      <c r="J27" s="43"/>
      <c r="K27" s="43">
        <v>0</v>
      </c>
      <c r="L27" s="43">
        <v>0</v>
      </c>
      <c r="M27" s="43">
        <f t="shared" si="2"/>
        <v>19662094.449999996</v>
      </c>
    </row>
    <row r="28" spans="1:16" ht="12" customHeight="1" x14ac:dyDescent="0.3">
      <c r="A28" s="44" t="s">
        <v>35</v>
      </c>
      <c r="B28" s="45"/>
    </row>
    <row r="29" spans="1:16" x14ac:dyDescent="0.3">
      <c r="C29" s="45"/>
    </row>
    <row r="30" spans="1:16" ht="19.95" customHeight="1" x14ac:dyDescent="0.3">
      <c r="A30" s="46" t="s">
        <v>36</v>
      </c>
      <c r="B30" s="47">
        <f>B17+B18+B19+B20+B21+B22+B23+B24+B25</f>
        <v>186704724.56</v>
      </c>
      <c r="C30" s="47">
        <f t="shared" ref="C30:L30" si="3">C17+C18+C19+C20+C21+C22+C23+C24+C25</f>
        <v>46366452.119999997</v>
      </c>
      <c r="D30" s="47">
        <f t="shared" si="3"/>
        <v>0</v>
      </c>
      <c r="E30" s="47">
        <f t="shared" si="3"/>
        <v>0</v>
      </c>
      <c r="F30" s="47">
        <f t="shared" si="3"/>
        <v>0</v>
      </c>
      <c r="G30" s="47">
        <f t="shared" si="3"/>
        <v>14154381.49</v>
      </c>
      <c r="H30" s="47">
        <f t="shared" si="3"/>
        <v>1729983.54</v>
      </c>
      <c r="I30" s="47">
        <f t="shared" si="3"/>
        <v>8362310.1099999994</v>
      </c>
      <c r="J30" s="47"/>
      <c r="K30" s="47">
        <f t="shared" si="3"/>
        <v>0</v>
      </c>
      <c r="L30" s="47">
        <f t="shared" si="3"/>
        <v>0</v>
      </c>
      <c r="M30" s="47">
        <f>M17+M18+M19+M20+M21+M22+M23+M24+M25</f>
        <v>257317851.82000002</v>
      </c>
      <c r="O30" s="64"/>
      <c r="P30" s="64"/>
    </row>
    <row r="31" spans="1:16" x14ac:dyDescent="0.3">
      <c r="H31" s="64"/>
    </row>
    <row r="32" spans="1:16" ht="24" customHeight="1" x14ac:dyDescent="0.3">
      <c r="A32" s="13" t="s">
        <v>37</v>
      </c>
      <c r="B32" s="14">
        <f>B14-B30</f>
        <v>12627052.939999998</v>
      </c>
      <c r="C32" s="15">
        <f>D32+E32+F32</f>
        <v>107663000</v>
      </c>
      <c r="D32" s="14">
        <f t="shared" ref="D32:I32" si="4">D14-D30</f>
        <v>74727000</v>
      </c>
      <c r="E32" s="14">
        <f t="shared" si="4"/>
        <v>32936000</v>
      </c>
      <c r="F32" s="14">
        <f t="shared" si="4"/>
        <v>0</v>
      </c>
      <c r="G32" s="14">
        <f t="shared" si="4"/>
        <v>12786353.029999999</v>
      </c>
      <c r="H32" s="14">
        <f t="shared" si="4"/>
        <v>3609995.46</v>
      </c>
      <c r="I32" s="14">
        <f t="shared" si="4"/>
        <v>4594655.1300000008</v>
      </c>
      <c r="J32" s="14"/>
      <c r="K32" s="14">
        <f>K14-K30</f>
        <v>7023340</v>
      </c>
      <c r="L32" s="14">
        <f>L14-L30</f>
        <v>0</v>
      </c>
      <c r="M32" s="48">
        <f>B32+C32+G32+H32+I32+K32+L32</f>
        <v>148304396.56</v>
      </c>
    </row>
    <row r="34" spans="1:13" ht="19.95" customHeight="1" x14ac:dyDescent="0.3">
      <c r="A34" s="49" t="s">
        <v>38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3.05" customHeight="1" x14ac:dyDescent="0.3">
      <c r="A35" s="50" t="s">
        <v>39</v>
      </c>
      <c r="B35" s="51"/>
    </row>
    <row r="36" spans="1:13" ht="16.95" customHeight="1" x14ac:dyDescent="0.3">
      <c r="A36" s="52" t="s">
        <v>40</v>
      </c>
      <c r="B36" s="53">
        <v>12094109</v>
      </c>
      <c r="C36" s="10">
        <f t="shared" ref="C36:C43" si="5">D36+E36+F36</f>
        <v>6363676</v>
      </c>
      <c r="D36" s="11">
        <v>6363676</v>
      </c>
      <c r="E36" s="53">
        <v>0</v>
      </c>
      <c r="F36" s="53">
        <v>0</v>
      </c>
      <c r="G36" s="53">
        <v>1077022</v>
      </c>
      <c r="H36" s="53">
        <v>315632</v>
      </c>
      <c r="I36" s="53">
        <v>863214</v>
      </c>
      <c r="J36" s="53"/>
      <c r="K36" s="53">
        <v>415131</v>
      </c>
      <c r="L36" s="53">
        <v>0</v>
      </c>
      <c r="M36" s="53">
        <f t="shared" ref="M36:M42" si="6">B36+C36+G36+H36+I36+K36+L36</f>
        <v>21128784</v>
      </c>
    </row>
    <row r="37" spans="1:13" ht="16.95" customHeight="1" x14ac:dyDescent="0.3">
      <c r="A37" s="52" t="s">
        <v>41</v>
      </c>
      <c r="B37" s="53">
        <v>532045</v>
      </c>
      <c r="C37" s="10">
        <f t="shared" si="5"/>
        <v>279952</v>
      </c>
      <c r="D37" s="11">
        <v>279952</v>
      </c>
      <c r="E37" s="53">
        <v>0</v>
      </c>
      <c r="F37" s="53">
        <v>0</v>
      </c>
      <c r="G37" s="53">
        <v>47380</v>
      </c>
      <c r="H37" s="53">
        <v>13885</v>
      </c>
      <c r="I37" s="53">
        <v>37975</v>
      </c>
      <c r="J37" s="53"/>
      <c r="K37" s="53">
        <v>18262</v>
      </c>
      <c r="L37" s="53">
        <v>0</v>
      </c>
      <c r="M37" s="53">
        <f t="shared" si="6"/>
        <v>929499</v>
      </c>
    </row>
    <row r="38" spans="1:13" ht="16.95" customHeight="1" x14ac:dyDescent="0.3">
      <c r="A38" s="52" t="s">
        <v>42</v>
      </c>
      <c r="B38" s="53">
        <v>0</v>
      </c>
      <c r="C38" s="10">
        <f t="shared" si="5"/>
        <v>0</v>
      </c>
      <c r="D38" s="11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/>
      <c r="K38" s="53">
        <v>0</v>
      </c>
      <c r="L38" s="53">
        <v>0</v>
      </c>
      <c r="M38" s="53">
        <f t="shared" si="6"/>
        <v>0</v>
      </c>
    </row>
    <row r="39" spans="1:13" ht="16.95" customHeight="1" x14ac:dyDescent="0.3">
      <c r="A39" s="52" t="s">
        <v>43</v>
      </c>
      <c r="B39" s="53">
        <v>7682656</v>
      </c>
      <c r="C39" s="10">
        <f t="shared" si="5"/>
        <v>4042459</v>
      </c>
      <c r="D39" s="11">
        <v>4042459</v>
      </c>
      <c r="E39" s="53">
        <v>0</v>
      </c>
      <c r="F39" s="53">
        <v>0</v>
      </c>
      <c r="G39" s="53">
        <v>684167</v>
      </c>
      <c r="H39" s="53">
        <v>200502</v>
      </c>
      <c r="I39" s="53">
        <v>548348</v>
      </c>
      <c r="J39" s="53"/>
      <c r="K39" s="53">
        <v>263708</v>
      </c>
      <c r="L39" s="53">
        <v>0</v>
      </c>
      <c r="M39" s="53">
        <f t="shared" si="6"/>
        <v>13421840</v>
      </c>
    </row>
    <row r="40" spans="1:13" ht="16.95" customHeight="1" x14ac:dyDescent="0.3">
      <c r="A40" s="52" t="s">
        <v>44</v>
      </c>
      <c r="B40" s="53">
        <v>12010701</v>
      </c>
      <c r="C40" s="10">
        <f t="shared" si="5"/>
        <v>6319788</v>
      </c>
      <c r="D40" s="11">
        <v>6319788</v>
      </c>
      <c r="E40" s="53">
        <v>0</v>
      </c>
      <c r="F40" s="53">
        <v>0</v>
      </c>
      <c r="G40" s="53">
        <v>1069594</v>
      </c>
      <c r="H40" s="53">
        <v>313455</v>
      </c>
      <c r="I40" s="53">
        <v>857261</v>
      </c>
      <c r="J40" s="53"/>
      <c r="K40" s="53">
        <v>412268</v>
      </c>
      <c r="L40" s="53">
        <v>0</v>
      </c>
      <c r="M40" s="53">
        <f t="shared" si="6"/>
        <v>20983067</v>
      </c>
    </row>
    <row r="41" spans="1:13" ht="16.95" customHeight="1" x14ac:dyDescent="0.3">
      <c r="A41" s="52" t="s">
        <v>45</v>
      </c>
      <c r="B41" s="53">
        <v>505492</v>
      </c>
      <c r="C41" s="10">
        <f t="shared" si="5"/>
        <v>265980</v>
      </c>
      <c r="D41" s="11">
        <v>265980</v>
      </c>
      <c r="E41" s="53">
        <v>0</v>
      </c>
      <c r="F41" s="53">
        <v>0</v>
      </c>
      <c r="G41" s="53">
        <v>45016</v>
      </c>
      <c r="H41" s="53">
        <v>13192</v>
      </c>
      <c r="I41" s="53">
        <v>36079</v>
      </c>
      <c r="J41" s="53"/>
      <c r="K41" s="53">
        <v>17351</v>
      </c>
      <c r="L41" s="53">
        <v>0</v>
      </c>
      <c r="M41" s="53">
        <f t="shared" si="6"/>
        <v>883110</v>
      </c>
    </row>
    <row r="42" spans="1:13" ht="16.05" customHeight="1" x14ac:dyDescent="0.3">
      <c r="A42" s="54" t="s">
        <v>46</v>
      </c>
      <c r="B42" s="55">
        <v>0</v>
      </c>
      <c r="C42" s="10">
        <f t="shared" si="5"/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6">
        <v>1100000</v>
      </c>
      <c r="J42" s="56"/>
      <c r="K42" s="55">
        <v>0</v>
      </c>
      <c r="L42" s="55">
        <v>0</v>
      </c>
      <c r="M42" s="56">
        <f t="shared" si="6"/>
        <v>1100000</v>
      </c>
    </row>
    <row r="43" spans="1:13" ht="19.95" customHeight="1" x14ac:dyDescent="0.3">
      <c r="A43" s="57" t="s">
        <v>47</v>
      </c>
      <c r="B43" s="15">
        <f>B36+B37+B38+B39+B40+B41</f>
        <v>32825003</v>
      </c>
      <c r="C43" s="15">
        <f t="shared" si="5"/>
        <v>17271855</v>
      </c>
      <c r="D43" s="15">
        <f t="shared" ref="D43:M43" si="7">D36+D37+D38+D39+D40+D41</f>
        <v>17271855</v>
      </c>
      <c r="E43" s="15">
        <f t="shared" si="7"/>
        <v>0</v>
      </c>
      <c r="F43" s="15">
        <f t="shared" si="7"/>
        <v>0</v>
      </c>
      <c r="G43" s="15">
        <f t="shared" si="7"/>
        <v>2923179</v>
      </c>
      <c r="H43" s="15">
        <f t="shared" si="7"/>
        <v>856666</v>
      </c>
      <c r="I43" s="15">
        <f t="shared" si="7"/>
        <v>2342877</v>
      </c>
      <c r="J43" s="15"/>
      <c r="K43" s="15">
        <f t="shared" si="7"/>
        <v>1126720</v>
      </c>
      <c r="L43" s="15">
        <f t="shared" si="7"/>
        <v>0</v>
      </c>
      <c r="M43" s="15">
        <f t="shared" si="7"/>
        <v>57346300</v>
      </c>
    </row>
    <row r="44" spans="1:13" ht="19.95" customHeight="1" x14ac:dyDescent="0.3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</row>
    <row r="45" spans="1:13" ht="28.05" customHeight="1" x14ac:dyDescent="0.3">
      <c r="A45" s="58" t="s">
        <v>56</v>
      </c>
      <c r="B45" s="59">
        <f>B14-B30-B43</f>
        <v>-20197950.060000002</v>
      </c>
      <c r="C45" s="60">
        <f>D45+E45+F45</f>
        <v>90391145</v>
      </c>
      <c r="D45" s="59">
        <f t="shared" ref="D45:I45" si="8">D14-D30-D43</f>
        <v>57455145</v>
      </c>
      <c r="E45" s="59">
        <f t="shared" si="8"/>
        <v>32936000</v>
      </c>
      <c r="F45" s="59">
        <f t="shared" si="8"/>
        <v>0</v>
      </c>
      <c r="G45" s="59">
        <f t="shared" si="8"/>
        <v>9863174.0299999993</v>
      </c>
      <c r="H45" s="59">
        <f t="shared" si="8"/>
        <v>2753329.46</v>
      </c>
      <c r="I45" s="59">
        <f t="shared" si="8"/>
        <v>2251778.1300000008</v>
      </c>
      <c r="J45" s="59"/>
      <c r="K45" s="59">
        <f>K14-K30-K43</f>
        <v>5896620</v>
      </c>
      <c r="L45" s="59">
        <f>L14-L30-L43</f>
        <v>0</v>
      </c>
      <c r="M45" s="61">
        <f>B45+C45+G45+H45+I45+K45+L45</f>
        <v>90958096.559999987</v>
      </c>
    </row>
    <row r="46" spans="1:13" ht="18" customHeight="1" x14ac:dyDescent="0.3">
      <c r="A46" s="13" t="s">
        <v>49</v>
      </c>
      <c r="B46" s="62">
        <f>IF(B14=0,0,B45/B14)</f>
        <v>-0.10132829954822432</v>
      </c>
      <c r="C46" s="63">
        <f>D46+E46+F46</f>
        <v>1.7688672768878719</v>
      </c>
      <c r="D46" s="62">
        <f t="shared" ref="D46:I46" si="9">IF(D14=0,0,D45/D14)</f>
        <v>0.76886727688787182</v>
      </c>
      <c r="E46" s="62">
        <f t="shared" si="9"/>
        <v>1</v>
      </c>
      <c r="F46" s="62">
        <f t="shared" si="9"/>
        <v>0</v>
      </c>
      <c r="G46" s="62">
        <f t="shared" si="9"/>
        <v>0.36610635180261591</v>
      </c>
      <c r="H46" s="62">
        <f t="shared" si="9"/>
        <v>0.51560679545743526</v>
      </c>
      <c r="I46" s="62">
        <f t="shared" si="9"/>
        <v>0.17378900755621698</v>
      </c>
      <c r="J46" s="62"/>
      <c r="K46" s="62">
        <f>IF(K14=0,0,K45/K14)</f>
        <v>0.83957490310877736</v>
      </c>
      <c r="L46" s="62">
        <f>IF(L14=0,0,L45/L14)</f>
        <v>0</v>
      </c>
      <c r="M46" s="62">
        <f>IF(M14=0,0,M45/M14)</f>
        <v>0.23545224496586961</v>
      </c>
    </row>
    <row r="48" spans="1:13" x14ac:dyDescent="0.3">
      <c r="A48" s="67" t="s">
        <v>53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68">
        <v>451823.25</v>
      </c>
    </row>
    <row r="49" spans="1:13" x14ac:dyDescent="0.3">
      <c r="A49" s="67" t="s">
        <v>54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68"/>
    </row>
    <row r="50" spans="1:13" x14ac:dyDescent="0.3">
      <c r="A50" s="67" t="s">
        <v>55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68"/>
    </row>
    <row r="52" spans="1:13" ht="16.8" x14ac:dyDescent="0.3">
      <c r="A52" s="58" t="s">
        <v>48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61">
        <f>+M45-M48</f>
        <v>90506273.309999987</v>
      </c>
    </row>
    <row r="53" spans="1:13" x14ac:dyDescent="0.3">
      <c r="A53" s="13" t="s">
        <v>49</v>
      </c>
      <c r="M53" s="62">
        <f>IF(M14=0,0,M52/M14)</f>
        <v>0.23428266465841341</v>
      </c>
    </row>
  </sheetData>
  <mergeCells count="11">
    <mergeCell ref="M3"/>
    <mergeCell ref="K3"/>
    <mergeCell ref="B3"/>
    <mergeCell ref="A1:M1"/>
    <mergeCell ref="A2:M2"/>
    <mergeCell ref="C3:F3"/>
    <mergeCell ref="L3"/>
    <mergeCell ref="A3"/>
    <mergeCell ref="G3"/>
    <mergeCell ref="H3"/>
    <mergeCell ref="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Estado_Resultado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2026-04-27T13:43:45Z</dcterms:created>
  <dcterms:modified xsi:type="dcterms:W3CDTF">2026-04-27T19:26:00Z</dcterms:modified>
</cp:coreProperties>
</file>