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uario\Documents\Franco\Informes\Estados de Resultados - Mensuales\"/>
    </mc:Choice>
  </mc:AlternateContent>
  <xr:revisionPtr revIDLastSave="0" documentId="8_{B379000E-F032-4371-84F6-FF7F2DD93B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 (2)" sheetId="2" r:id="rId1"/>
    <sheet name="CUADRO RESUMEN " sheetId="3" r:id="rId2"/>
  </sheets>
  <definedNames>
    <definedName name="_xlnm._FilterDatabase" localSheetId="0" hidden="1">'Hoja1 (2)'!$1:$208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9wcfNAXKfWvx9GW9o4stESM4MMNDLiBxOGEzXjdtYBY="/>
    </ext>
  </extLst>
</workbook>
</file>

<file path=xl/calcChain.xml><?xml version="1.0" encoding="utf-8"?>
<calcChain xmlns="http://schemas.openxmlformats.org/spreadsheetml/2006/main">
  <c r="L207" i="2" l="1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208" i="2" l="1"/>
</calcChain>
</file>

<file path=xl/sharedStrings.xml><?xml version="1.0" encoding="utf-8"?>
<sst xmlns="http://schemas.openxmlformats.org/spreadsheetml/2006/main" count="970" uniqueCount="319">
  <si>
    <t>PRESTADOR</t>
  </si>
  <si>
    <t>CUIT</t>
  </si>
  <si>
    <t>Numero de Factura</t>
  </si>
  <si>
    <t>Fecha</t>
  </si>
  <si>
    <t>PERIODO-PRESTACION-OS-PLAZO</t>
  </si>
  <si>
    <t>Total Factura</t>
  </si>
  <si>
    <t>ADMINSITRATIVO</t>
  </si>
  <si>
    <t>MEDICO</t>
  </si>
  <si>
    <t>A PAGAR</t>
  </si>
  <si>
    <t>09/03/2026</t>
  </si>
  <si>
    <t>05/03/2026</t>
  </si>
  <si>
    <t>CLINICA PRIVADA DEL SOL S.A.</t>
  </si>
  <si>
    <t>00008-00020376</t>
  </si>
  <si>
    <t>06/03/2026</t>
  </si>
  <si>
    <t>AMPARAR S.R.L</t>
  </si>
  <si>
    <t>00008-00001805</t>
  </si>
  <si>
    <t>00008-00001803</t>
  </si>
  <si>
    <t>00008-00001806</t>
  </si>
  <si>
    <t>00008-00001807</t>
  </si>
  <si>
    <t>COSEME SA</t>
  </si>
  <si>
    <t>00046-00004402</t>
  </si>
  <si>
    <t>00046-00004404</t>
  </si>
  <si>
    <t>00046-00004408</t>
  </si>
  <si>
    <t>00047-00001816</t>
  </si>
  <si>
    <t>00046-00004454</t>
  </si>
  <si>
    <t>SAN FRANCISCO SALUD-CONSORCIO DE COOPERACION</t>
  </si>
  <si>
    <t>00004-00004508</t>
  </si>
  <si>
    <t>ASOCIACION DE MEDICOS PATOLOGOS Y CITOPATOLOGOS DE LA PCIA. DE CORDOBA</t>
  </si>
  <si>
    <t>00002-00003404</t>
  </si>
  <si>
    <t>10/03/2026</t>
  </si>
  <si>
    <t>00002-00003405</t>
  </si>
  <si>
    <t>00008-00001466</t>
  </si>
  <si>
    <t>00008-00001824</t>
  </si>
  <si>
    <t>00008-00001792</t>
  </si>
  <si>
    <t>CAMARA DE ENTIDADES DE SALUD - CES</t>
  </si>
  <si>
    <t>00005-00001418</t>
  </si>
  <si>
    <t>00005-00001415</t>
  </si>
  <si>
    <t>ASOCIACION DE CLINICAS DEL NORTE DE LA PROVINCIA DE CORDOBA A C L I N O R</t>
  </si>
  <si>
    <t>00004-00018691</t>
  </si>
  <si>
    <t>04/03/2026</t>
  </si>
  <si>
    <t>00004-00018692</t>
  </si>
  <si>
    <t>CEMO S.A.</t>
  </si>
  <si>
    <t>00004-00009985</t>
  </si>
  <si>
    <t>00004-00009986</t>
  </si>
  <si>
    <t>00004-00018694</t>
  </si>
  <si>
    <t>00004-00018693</t>
  </si>
  <si>
    <t>CENTRO PRIVADO DE R M I RIO CUARTO S A</t>
  </si>
  <si>
    <t>00007-00011937</t>
  </si>
  <si>
    <t>ASOCIACION PRESTADORES DE HEMODIALISIS Y TRANSPLANTES RENALES DEL CENTRO (APHE Y TRC)</t>
  </si>
  <si>
    <t>00003-00008358</t>
  </si>
  <si>
    <t>CIDI S.A</t>
  </si>
  <si>
    <t>00001-00006566</t>
  </si>
  <si>
    <t>28/02/2026</t>
  </si>
  <si>
    <t>0003-00008345</t>
  </si>
  <si>
    <t>CIPREM SRL</t>
  </si>
  <si>
    <t>00004-00014566</t>
  </si>
  <si>
    <t>BARIATRICA S.A. S. A.</t>
  </si>
  <si>
    <t>00002-00001195</t>
  </si>
  <si>
    <t>03/03/2026</t>
  </si>
  <si>
    <t>CIRCULO MEDICO REGIONAL RIO TERCERO</t>
  </si>
  <si>
    <t>60-556</t>
  </si>
  <si>
    <t>60-555</t>
  </si>
  <si>
    <t>00005-00001417</t>
  </si>
  <si>
    <t>CLINICA PRIVADA DEAN FUNES SRL</t>
  </si>
  <si>
    <t>00004-00000912</t>
  </si>
  <si>
    <t>CLINICA CHUTRO S R L</t>
  </si>
  <si>
    <t>00004-00006025</t>
  </si>
  <si>
    <t>00005-00001419</t>
  </si>
  <si>
    <t>00005-00001416</t>
  </si>
  <si>
    <t>00004-00006012</t>
  </si>
  <si>
    <t>00004-00006013</t>
  </si>
  <si>
    <t>00004-00006014</t>
  </si>
  <si>
    <t>00004-00006015</t>
  </si>
  <si>
    <t>08/03/2026</t>
  </si>
  <si>
    <t xml:space="preserve">CLINICA FUSAVIM PRIVADA SRL </t>
  </si>
  <si>
    <t>6-4506</t>
  </si>
  <si>
    <t>CLINICA MEDITERRANEA SALUD S A</t>
  </si>
  <si>
    <t>00003-00022326</t>
  </si>
  <si>
    <t>00003-00022327</t>
  </si>
  <si>
    <t>CLINICA PRIVADA CARAFFA SRL</t>
  </si>
  <si>
    <t>00015-00001189</t>
  </si>
  <si>
    <t>02/03/2026</t>
  </si>
  <si>
    <t>00009-00003851</t>
  </si>
  <si>
    <t>00009-00003852</t>
  </si>
  <si>
    <t>00020-00000009</t>
  </si>
  <si>
    <t>00020-00000017</t>
  </si>
  <si>
    <t>CLINICA PRIVADA COAT S. R. L.</t>
  </si>
  <si>
    <t>00005-00005100</t>
  </si>
  <si>
    <t>00005-00005105</t>
  </si>
  <si>
    <t>00005-00005103</t>
  </si>
  <si>
    <t>CLINICA PRIVADA DE LA CIUDAD SOC RESP LTDA</t>
  </si>
  <si>
    <t>00010-00003960</t>
  </si>
  <si>
    <t>00010-00003961</t>
  </si>
  <si>
    <t>00010-00003984</t>
  </si>
  <si>
    <t>00010-00003979</t>
  </si>
  <si>
    <t>00004-00009987</t>
  </si>
  <si>
    <t>CENTRO MEDICO PRIVADO SAN ANDRES SRL</t>
  </si>
  <si>
    <t>00001-00004007</t>
  </si>
  <si>
    <t>00001-00006529</t>
  </si>
  <si>
    <t>CLINICA PRIVADA INTEGRAL DE PSIQUIATRIA SAN NICOLAS SRL S. R. L.</t>
  </si>
  <si>
    <t>00003-00000246</t>
  </si>
  <si>
    <t>00003-00000245</t>
  </si>
  <si>
    <t>00004-00014530</t>
  </si>
  <si>
    <t>00003-00000251</t>
  </si>
  <si>
    <t>00003-00000252</t>
  </si>
  <si>
    <t>00003-00000253</t>
  </si>
  <si>
    <t>CIRCULO MEDICO DE BELL VILLE</t>
  </si>
  <si>
    <t>12-2127</t>
  </si>
  <si>
    <t>60-529</t>
  </si>
  <si>
    <t>00004-00006016</t>
  </si>
  <si>
    <t>00004-00006026</t>
  </si>
  <si>
    <t>CLINICA PRIVADA REGIONAL S R L</t>
  </si>
  <si>
    <t>00007-00002665</t>
  </si>
  <si>
    <t>CLINICA PRIVADA SANTA MARIA S.A.</t>
  </si>
  <si>
    <t>00004-00012821</t>
  </si>
  <si>
    <t>COLEGIO DE PSICOLOGOS DE LA PROVINCIA DE CORDOBA</t>
  </si>
  <si>
    <t>00012-00000819</t>
  </si>
  <si>
    <t>CLINICA DE ESPECIALIDADES DE VILLA MARIA</t>
  </si>
  <si>
    <t>0004- 00013801</t>
  </si>
  <si>
    <t>0004-00000845</t>
  </si>
  <si>
    <t>COLEGIO MEDICO REGIONAL ARROYITO</t>
  </si>
  <si>
    <t>00004-00009497</t>
  </si>
  <si>
    <t>008-00020469</t>
  </si>
  <si>
    <t>00003-00000249</t>
  </si>
  <si>
    <t>00003-00000250</t>
  </si>
  <si>
    <t>00046-00004403</t>
  </si>
  <si>
    <t>00003-00000259</t>
  </si>
  <si>
    <t>CLINICA PRIVADA JESUS MARIA DR ANIBAL LUIS VIALE S.A.</t>
  </si>
  <si>
    <t>00008-00011873</t>
  </si>
  <si>
    <t>00008-00011879</t>
  </si>
  <si>
    <t>COLEGIO MED REG DEL SUR DE CBA</t>
  </si>
  <si>
    <t>00002-00003486</t>
  </si>
  <si>
    <t>DE LA VILLA SERVICIOS ASISTENCIALES S.A.</t>
  </si>
  <si>
    <t>00004-00015411</t>
  </si>
  <si>
    <t>00004-00015412</t>
  </si>
  <si>
    <t>00004-00015409</t>
  </si>
  <si>
    <t>00004-00015410</t>
  </si>
  <si>
    <t>00004-00015419</t>
  </si>
  <si>
    <t>00004-00015420</t>
  </si>
  <si>
    <t>ECCO S. A. U.</t>
  </si>
  <si>
    <t>00203-00158006</t>
  </si>
  <si>
    <t>EL JUNCO SERVICIOS SOCIALES SA</t>
  </si>
  <si>
    <t>00118-00000721</t>
  </si>
  <si>
    <t>00118-00000716</t>
  </si>
  <si>
    <t>00118-00000717</t>
  </si>
  <si>
    <t>00118-00000718</t>
  </si>
  <si>
    <t>00118-00000719</t>
  </si>
  <si>
    <t>EQUILIBRE SALUD S.A.S.</t>
  </si>
  <si>
    <t>00001-00000613</t>
  </si>
  <si>
    <t>ESTIX S.A.S.</t>
  </si>
  <si>
    <t>00004-00000432</t>
  </si>
  <si>
    <t>COLEGIO MEDICO DE OLIVA</t>
  </si>
  <si>
    <t>00005-00002793</t>
  </si>
  <si>
    <t>00004-00009521</t>
  </si>
  <si>
    <t>COLEGIO PROFESIONAL DE KINESIOLOGOS Y  FISIOTERAPEUTAS DE LA PROVINCIA DE CORDOBA</t>
  </si>
  <si>
    <t>00002-00007059</t>
  </si>
  <si>
    <t>FUNDACION FECUNDART</t>
  </si>
  <si>
    <t>00006-00000033</t>
  </si>
  <si>
    <t>FEDERACION DE BIOQUIMICOS DE LA PROVINCIA DE CORDOBA</t>
  </si>
  <si>
    <t>0005-00005726</t>
  </si>
  <si>
    <t>GPAL BIOQUIMICA CLINICA S.A.S.</t>
  </si>
  <si>
    <t>00003-00000011</t>
  </si>
  <si>
    <t>0005-00005727</t>
  </si>
  <si>
    <t>FUNDACION CENTRO PREV. BULIMIA</t>
  </si>
  <si>
    <t>00004-00002526</t>
  </si>
  <si>
    <t>00003-00000010</t>
  </si>
  <si>
    <t>07/03/2026</t>
  </si>
  <si>
    <t>GRUPO OPTICO SA</t>
  </si>
  <si>
    <t>00015-00005034</t>
  </si>
  <si>
    <t>00015-00005032</t>
  </si>
  <si>
    <t>00003-00000012</t>
  </si>
  <si>
    <t>IMAGENES MEDICAS S.R.L.</t>
  </si>
  <si>
    <t>00006-00008702</t>
  </si>
  <si>
    <t>IMAGENES PRIVADAS SRL</t>
  </si>
  <si>
    <t>0006-1928</t>
  </si>
  <si>
    <t>00003-00000013</t>
  </si>
  <si>
    <t>00015-00005033</t>
  </si>
  <si>
    <t>00006-00008701</t>
  </si>
  <si>
    <t>INSTITUTO CONCI CARPINELLA SRL</t>
  </si>
  <si>
    <t>00038-00004156</t>
  </si>
  <si>
    <t>00034-00061326</t>
  </si>
  <si>
    <t>00034-00061337</t>
  </si>
  <si>
    <t>00034-00061339</t>
  </si>
  <si>
    <t>00038-00004186</t>
  </si>
  <si>
    <t>00038-00004190</t>
  </si>
  <si>
    <t>00038-00004159</t>
  </si>
  <si>
    <t>00034-00061397</t>
  </si>
  <si>
    <t>00034-00061327</t>
  </si>
  <si>
    <t>00038-00004136</t>
  </si>
  <si>
    <t>00034-00061328</t>
  </si>
  <si>
    <t>00038-00004137</t>
  </si>
  <si>
    <t>00038-00004152</t>
  </si>
  <si>
    <t>00038-00004207</t>
  </si>
  <si>
    <t>00038-00004154</t>
  </si>
  <si>
    <t>00034-00061377</t>
  </si>
  <si>
    <t>00034-00061325</t>
  </si>
  <si>
    <t>00038-00004208</t>
  </si>
  <si>
    <t>00038-00004229</t>
  </si>
  <si>
    <t>00034-00061391</t>
  </si>
  <si>
    <t>00034-00061378</t>
  </si>
  <si>
    <t>00034-00061379</t>
  </si>
  <si>
    <t>INSTITUTO PRIVADO DE NEONATOLOGIA Y PEDIATRIA S.A.</t>
  </si>
  <si>
    <t>00300-00016290</t>
  </si>
  <si>
    <t>00038-00004213</t>
  </si>
  <si>
    <t>00500-00043219</t>
  </si>
  <si>
    <t>00500-00043216</t>
  </si>
  <si>
    <t>00500-00043223</t>
  </si>
  <si>
    <t>INSTITUTO PRIVADO DE RADIOTERAPIA S A</t>
  </si>
  <si>
    <t>00004-00003633</t>
  </si>
  <si>
    <t>00038-00004227</t>
  </si>
  <si>
    <t>00038-00004228</t>
  </si>
  <si>
    <t>00300-00016293</t>
  </si>
  <si>
    <t>POLICLINICO PRIVADO SAN LUCAS S A</t>
  </si>
  <si>
    <t>00110-00021778</t>
  </si>
  <si>
    <t>00110-00021779</t>
  </si>
  <si>
    <t>00110-00000356</t>
  </si>
  <si>
    <t>LECOUSER S.A.</t>
  </si>
  <si>
    <t>00001-00000885</t>
  </si>
  <si>
    <t>REYLES S.A.</t>
  </si>
  <si>
    <t>00010-00003723</t>
  </si>
  <si>
    <t>00010-00003726</t>
  </si>
  <si>
    <t>PARQUE SALUD S A</t>
  </si>
  <si>
    <t>00150-00010955</t>
  </si>
  <si>
    <t>RESONANCIA MAGNETICA SRL</t>
  </si>
  <si>
    <t>00006-00000099</t>
  </si>
  <si>
    <t>PROMET SRL</t>
  </si>
  <si>
    <t>00003-00051764</t>
  </si>
  <si>
    <t>00004-00004507</t>
  </si>
  <si>
    <t>00003-00051763</t>
  </si>
  <si>
    <t>3-52846</t>
  </si>
  <si>
    <t>3-53175</t>
  </si>
  <si>
    <t>SANATORIO DEL SALVADOR PRIVADO SA</t>
  </si>
  <si>
    <t>00011-00022820</t>
  </si>
  <si>
    <t>00011-00022834</t>
  </si>
  <si>
    <t>00011-00023994</t>
  </si>
  <si>
    <t>00011-00022684</t>
  </si>
  <si>
    <t>00011-00022685</t>
  </si>
  <si>
    <t xml:space="preserve">SANATORIO MORRA S.A. </t>
  </si>
  <si>
    <t>00010-00004677</t>
  </si>
  <si>
    <t>00010-00004647</t>
  </si>
  <si>
    <t>00010-00004646</t>
  </si>
  <si>
    <t>SANATORIO PARQUE   S A</t>
  </si>
  <si>
    <t>00005-00009530</t>
  </si>
  <si>
    <t>SCM MEDICAS S.A.</t>
  </si>
  <si>
    <t>00003-00005587</t>
  </si>
  <si>
    <t>00003-00005588</t>
  </si>
  <si>
    <t>SERVICIOS MEDICOS S R L</t>
  </si>
  <si>
    <t>00017-00012995</t>
  </si>
  <si>
    <t>00017-00012996</t>
  </si>
  <si>
    <t>00042-00000020</t>
  </si>
  <si>
    <t>00016-00009777</t>
  </si>
  <si>
    <t>00016-00009778</t>
  </si>
  <si>
    <t>00042-00000019</t>
  </si>
  <si>
    <t>00029-00003500</t>
  </si>
  <si>
    <t>00042-00000025</t>
  </si>
  <si>
    <t>SOCIEDAD DE BENEFICENCIA HOSPITAL ITALIANO</t>
  </si>
  <si>
    <t>00024-00022738</t>
  </si>
  <si>
    <t>00024-00022739</t>
  </si>
  <si>
    <t>00024-00022841</t>
  </si>
  <si>
    <t>00024-00022843</t>
  </si>
  <si>
    <t>00024-00022845</t>
  </si>
  <si>
    <t>00024-00022831</t>
  </si>
  <si>
    <t>00024-00022858</t>
  </si>
  <si>
    <t>00024-00022872</t>
  </si>
  <si>
    <t>SOLBO S.A.S.</t>
  </si>
  <si>
    <t>00001-00000440</t>
  </si>
  <si>
    <t>00001-00000443</t>
  </si>
  <si>
    <t>00001-00000444</t>
  </si>
  <si>
    <t>SOP S R L</t>
  </si>
  <si>
    <t>00009-00011175</t>
  </si>
  <si>
    <t>UNIDAD DIGESTIVA BAISTROCCHI S.R.L.</t>
  </si>
  <si>
    <t>00003-00001989</t>
  </si>
  <si>
    <t>00003-00001988</t>
  </si>
  <si>
    <t>UROLIT SA</t>
  </si>
  <si>
    <t>00003-00004633</t>
  </si>
  <si>
    <t>00003-00004630</t>
  </si>
  <si>
    <t>00003-00004631</t>
  </si>
  <si>
    <t>00003-00004632</t>
  </si>
  <si>
    <t>UNIVERSIDAD NACIONAL DE CORDOBA</t>
  </si>
  <si>
    <t>VISOR PRO S.A.S.</t>
  </si>
  <si>
    <t>00006-00000002</t>
  </si>
  <si>
    <t>NEUROTEAM S.A.S.</t>
  </si>
  <si>
    <t>0001-00001092</t>
  </si>
  <si>
    <t>ASOCIACION DE BIOQUIMICOS DEL DEPARTAMENTO SAN MARTIN</t>
  </si>
  <si>
    <t>00005-00006083</t>
  </si>
  <si>
    <t>00060-00000530</t>
  </si>
  <si>
    <t>G.M. AGRUPACION DE COLABORACION.</t>
  </si>
  <si>
    <t>1-14699</t>
  </si>
  <si>
    <t>CIRCULO DE PROFESIONALES DE LA REHABILITACION DEL DEPARTAMENTO SAN MARTIN</t>
  </si>
  <si>
    <t>0004-00003185</t>
  </si>
  <si>
    <t>OMICRON</t>
  </si>
  <si>
    <t>0010-00010333</t>
  </si>
  <si>
    <t>PROTESIS- GALINDEZ LUIS 30-60-90</t>
  </si>
  <si>
    <t>CAPITAS</t>
  </si>
  <si>
    <t>OSSURRBAC</t>
  </si>
  <si>
    <t>OSPLYFC</t>
  </si>
  <si>
    <t>OSPIF</t>
  </si>
  <si>
    <t>AMBULATORIO</t>
  </si>
  <si>
    <t>OSPEVIC</t>
  </si>
  <si>
    <t>TRASLADOS</t>
  </si>
  <si>
    <t>INTERNADO</t>
  </si>
  <si>
    <t>TRASLADO</t>
  </si>
  <si>
    <t>REFACTURACION</t>
  </si>
  <si>
    <t>CAPITADO</t>
  </si>
  <si>
    <t>INTERESES</t>
  </si>
  <si>
    <t>OSPM</t>
  </si>
  <si>
    <t>PROTESIS</t>
  </si>
  <si>
    <t>30-60-90</t>
  </si>
  <si>
    <t>Plazo</t>
  </si>
  <si>
    <t>Obra Social</t>
  </si>
  <si>
    <t>Clasificacion</t>
  </si>
  <si>
    <t>Etiquetas de fila</t>
  </si>
  <si>
    <t>(en blanco)</t>
  </si>
  <si>
    <t>Total general</t>
  </si>
  <si>
    <t>Etiquetas de columna</t>
  </si>
  <si>
    <t>Suma de A PAGAR</t>
  </si>
  <si>
    <t>OSSURBAC</t>
  </si>
  <si>
    <t xml:space="preserve">OSPEVIC </t>
  </si>
  <si>
    <t>OSSURBACC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</si>
</sst>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_-&quot;$&quot;* \-#,##0.00_-;_-&quot;$&quot;* &quot;-&quot;??_-;_-@"/>
    <numFmt numFmtId="165" formatCode="m\-yyyy"/>
  </numFmts>
  <fonts count="6">
    <font>
      <sz val="11"/>
      <color theme="1"/>
      <name val="Aptos Narrow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Fill="1" applyBorder="1" applyAlignment="1">
      <alignment vertical="center"/>
    </xf>
    <xf numFmtId="1" fontId="2" fillId="0" borderId="1" xfId="0" applyNumberFormat="1" applyFont="1" applyFill="1" applyBorder="1" applyAlignment="1">
      <alignment vertical="center"/>
    </xf>
    <xf numFmtId="14" fontId="1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right"/>
    </xf>
    <xf numFmtId="165" fontId="2" fillId="0" borderId="1" xfId="0" applyNumberFormat="1" applyFont="1" applyFill="1" applyBorder="1" applyAlignment="1">
      <alignment vertical="center"/>
    </xf>
    <xf numFmtId="0" fontId="1" fillId="0" borderId="1" xfId="0" applyFont="1" applyFill="1" applyBorder="1"/>
    <xf numFmtId="14" fontId="1" fillId="0" borderId="1" xfId="0" applyNumberFormat="1" applyFont="1" applyFill="1" applyBorder="1"/>
    <xf numFmtId="14" fontId="2" fillId="0" borderId="1" xfId="0" applyNumberFormat="1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right"/>
    </xf>
    <xf numFmtId="49" fontId="1" fillId="0" borderId="1" xfId="0" applyNumberFormat="1" applyFont="1" applyFill="1" applyBorder="1"/>
    <xf numFmtId="164" fontId="1" fillId="0" borderId="1" xfId="0" applyNumberFormat="1" applyFont="1" applyFill="1" applyBorder="1"/>
    <xf numFmtId="14" fontId="2" fillId="0" borderId="1" xfId="0" applyNumberFormat="1" applyFont="1" applyFill="1" applyBorder="1" applyAlignment="1">
      <alignment vertical="center"/>
    </xf>
    <xf numFmtId="1" fontId="1" fillId="0" borderId="1" xfId="0" applyNumberFormat="1" applyFont="1" applyFill="1" applyBorder="1" applyAlignment="1">
      <alignment horizontal="right"/>
    </xf>
    <xf numFmtId="165" fontId="1" fillId="0" borderId="1" xfId="0" applyNumberFormat="1" applyFont="1" applyFill="1" applyBorder="1"/>
    <xf numFmtId="14" fontId="1" fillId="0" borderId="1" xfId="0" applyNumberFormat="1" applyFont="1" applyFill="1" applyBorder="1" applyAlignment="1">
      <alignment horizontal="right"/>
    </xf>
    <xf numFmtId="0" fontId="2" fillId="0" borderId="3" xfId="0" applyFont="1" applyFill="1" applyBorder="1" applyAlignment="1">
      <alignment vertical="center"/>
    </xf>
    <xf numFmtId="1" fontId="2" fillId="0" borderId="3" xfId="0" applyNumberFormat="1" applyFont="1" applyFill="1" applyBorder="1" applyAlignment="1">
      <alignment vertical="center"/>
    </xf>
    <xf numFmtId="165" fontId="2" fillId="0" borderId="3" xfId="0" applyNumberFormat="1" applyFont="1" applyFill="1" applyBorder="1" applyAlignment="1">
      <alignment vertical="center"/>
    </xf>
    <xf numFmtId="14" fontId="1" fillId="0" borderId="3" xfId="0" applyNumberFormat="1" applyFont="1" applyFill="1" applyBorder="1" applyAlignment="1">
      <alignment horizontal="center" vertical="center"/>
    </xf>
    <xf numFmtId="0" fontId="1" fillId="0" borderId="0" xfId="0" applyFont="1" applyFill="1"/>
    <xf numFmtId="0" fontId="2" fillId="0" borderId="0" xfId="0" applyFont="1" applyFill="1"/>
    <xf numFmtId="17" fontId="2" fillId="0" borderId="1" xfId="0" applyNumberFormat="1" applyFont="1" applyFill="1" applyBorder="1" applyAlignment="1">
      <alignment vertical="center"/>
    </xf>
    <xf numFmtId="17" fontId="1" fillId="0" borderId="1" xfId="0" applyNumberFormat="1" applyFont="1" applyFill="1" applyBorder="1"/>
    <xf numFmtId="17" fontId="2" fillId="0" borderId="3" xfId="0" applyNumberFormat="1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4" fillId="0" borderId="4" xfId="0" applyFont="1" applyFill="1" applyBorder="1"/>
    <xf numFmtId="1" fontId="4" fillId="0" borderId="4" xfId="0" applyNumberFormat="1" applyFont="1" applyFill="1" applyBorder="1"/>
    <xf numFmtId="14" fontId="4" fillId="0" borderId="4" xfId="0" applyNumberFormat="1" applyFont="1" applyFill="1" applyBorder="1"/>
    <xf numFmtId="164" fontId="4" fillId="0" borderId="4" xfId="0" applyNumberFormat="1" applyFont="1" applyFill="1" applyBorder="1"/>
    <xf numFmtId="0" fontId="5" fillId="0" borderId="1" xfId="0" applyFont="1" applyFill="1" applyBorder="1" applyAlignment="1">
      <alignment vertical="center"/>
    </xf>
    <xf numFmtId="1" fontId="5" fillId="0" borderId="1" xfId="0" applyNumberFormat="1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17" fontId="5" fillId="0" borderId="1" xfId="0" applyNumberFormat="1" applyFont="1" applyFill="1" applyBorder="1" applyAlignment="1">
      <alignment vertical="center"/>
    </xf>
    <xf numFmtId="164" fontId="5" fillId="0" borderId="1" xfId="0" applyNumberFormat="1" applyFont="1" applyFill="1" applyBorder="1" applyAlignment="1">
      <alignment horizontal="right"/>
    </xf>
    <xf numFmtId="0" fontId="5" fillId="0" borderId="1" xfId="0" applyFont="1" applyFill="1" applyBorder="1"/>
    <xf numFmtId="14" fontId="5" fillId="0" borderId="1" xfId="0" applyNumberFormat="1" applyFont="1" applyFill="1" applyBorder="1"/>
    <xf numFmtId="17" fontId="5" fillId="0" borderId="1" xfId="0" applyNumberFormat="1" applyFont="1" applyFill="1" applyBorder="1"/>
    <xf numFmtId="165" fontId="5" fillId="0" borderId="1" xfId="0" applyNumberFormat="1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1" fontId="5" fillId="0" borderId="3" xfId="0" applyNumberFormat="1" applyFont="1" applyFill="1" applyBorder="1" applyAlignment="1">
      <alignment vertical="center"/>
    </xf>
    <xf numFmtId="0" fontId="5" fillId="0" borderId="2" xfId="0" applyFont="1" applyFill="1" applyBorder="1"/>
    <xf numFmtId="14" fontId="5" fillId="0" borderId="2" xfId="0" applyNumberFormat="1" applyFont="1" applyFill="1" applyBorder="1"/>
    <xf numFmtId="164" fontId="5" fillId="0" borderId="3" xfId="0" applyNumberFormat="1" applyFont="1" applyFill="1" applyBorder="1" applyAlignment="1">
      <alignment vertical="center"/>
    </xf>
    <xf numFmtId="164" fontId="5" fillId="0" borderId="3" xfId="0" applyNumberFormat="1" applyFont="1" applyFill="1" applyBorder="1" applyAlignment="1">
      <alignment horizontal="right"/>
    </xf>
    <xf numFmtId="0" fontId="5" fillId="0" borderId="0" xfId="0" applyFont="1"/>
    <xf numFmtId="14" fontId="5" fillId="0" borderId="0" xfId="0" applyNumberFormat="1" applyFont="1"/>
    <xf numFmtId="164" fontId="5" fillId="0" borderId="0" xfId="0" applyNumberFormat="1" applyFont="1"/>
    <xf numFmtId="0" fontId="5" fillId="0" borderId="0" xfId="0" applyFont="1" applyFill="1"/>
    <xf numFmtId="16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30">
    <dxf>
      <numFmt numFmtId="166" formatCode=";;;"/>
      <fill>
        <patternFill patternType="none"/>
      </fill>
    </dxf>
    <dxf>
      <numFmt numFmtId="166" formatCode=";;;"/>
      <fill>
        <patternFill patternType="none"/>
      </fill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_-&quot;$&quot;* #,##0.00_-;_-&quot;$&quot;* \-#,##0.00_-;_-&quot;$&quot;* &quot;-&quot;??_-;_-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&quot;$&quot;* #,##0.00_-;_-&quot;$&quot;* \-#,##0.00_-;_-&quot;$&quot;* &quot;-&quot;??_-;_-@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_-&quot;$&quot;* #,##0.00_-;_-&quot;$&quot;* \-#,##0.00_-;_-&quot;$&quot;* &quot;-&quot;??_-;_-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&quot;$&quot;* #,##0.00_-;_-&quot;$&quot;* \-#,##0.00_-;_-&quot;$&quot;* &quot;-&quot;??_-;_-@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_-&quot;$&quot;* #,##0.00_-;_-&quot;$&quot;* \-#,##0.00_-;_-&quot;$&quot;* &quot;-&quot;??_-;_-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&quot;$&quot;* #,##0.00_-;_-&quot;$&quot;* \-#,##0.00_-;_-&quot;$&quot;* &quot;-&quot;??_-;_-@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_-&quot;$&quot;* #,##0.00_-;_-&quot;$&quot;* \-#,##0.00_-;_-&quot;$&quot;* &quot;-&quot;??_-;_-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&quot;$&quot;* #,##0.00_-;_-&quot;$&quot;* \-#,##0.00_-;_-&quot;$&quot;* &quot;-&quot;??_-;_-@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_-&quot;$&quot;* #,##0.00_-;_-&quot;$&quot;* \-#,##0.00_-;_-&quot;$&quot;* &quot;-&quot;??_-;_-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_-&quot;$&quot;* #,##0.00_-;_-&quot;$&quot;* \-#,##0.00_-;_-&quot;$&quot;* &quot;-&quot;??_-;_-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_-&quot;$&quot;* #,##0.00_-;_-&quot;$&quot;* \-#,##0.00_-;_-&quot;$&quot;* &quot;-&quot;??_-;_-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9" formatCode="d/m/yyyy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40.837642361112" createdVersion="7" refreshedVersion="7" minRefreshableVersion="3" recordCount="206" xr:uid="{5FD01C28-51A1-432D-8208-1EDEB848C746}">
  <cacheSource type="worksheet">
    <worksheetSource name="Tabla1"/>
  </cacheSource>
  <cacheFields count="12">
    <cacheField name="PRESTADOR" numFmtId="0">
      <sharedItems/>
    </cacheField>
    <cacheField name="CUIT" numFmtId="0">
      <sharedItems containsSemiMixedTypes="0" containsString="0" containsNumber="1" containsInteger="1" minValue="30545879138" maxValue="33717029009"/>
    </cacheField>
    <cacheField name="Numero de Factura" numFmtId="0">
      <sharedItems containsDate="1" containsMixedTypes="1" minDate="2056-08-01T00:00:00" maxDate="4837-04-02T00:00:00"/>
    </cacheField>
    <cacheField name="Fecha" numFmtId="0">
      <sharedItems containsDate="1" containsMixedTypes="1" minDate="2025-11-30T00:00:00" maxDate="2026-05-02T00:00:00"/>
    </cacheField>
    <cacheField name="PERIODO-PRESTACION-OS-PLAZO" numFmtId="0">
      <sharedItems containsDate="1" containsBlank="1" containsMixedTypes="1" minDate="2025-02-01T00:00:00" maxDate="2026-03-02T00:00:00"/>
    </cacheField>
    <cacheField name="Clasificacion" numFmtId="0">
      <sharedItems containsBlank="1" count="11">
        <s v="CAPITAS"/>
        <s v="AMBULATORIO"/>
        <s v="TRASLADOS"/>
        <s v="INTERNADO"/>
        <m/>
        <s v="TRASLADO"/>
        <s v="REFACTURACION"/>
        <s v="CAPITADO"/>
        <s v="INTERESES"/>
        <s v="PROTESIS"/>
        <s v="GASTOS" u="1"/>
      </sharedItems>
    </cacheField>
    <cacheField name="Obra Social" numFmtId="0">
      <sharedItems containsMixedTypes="1" containsNumber="1" containsInteger="1" minValue="30" maxValue="60" count="10">
        <s v="OSSURRBAC"/>
        <s v="OSPLYFC"/>
        <s v="OSPIF"/>
        <s v="OSPEVIC"/>
        <s v="OSPEVIC "/>
        <s v="OSSURBAC"/>
        <s v="OSSURBACC"/>
        <s v="OSPM"/>
        <n v="60" u="1"/>
        <n v="30" u="1"/>
      </sharedItems>
    </cacheField>
    <cacheField name="Plazo" numFmtId="0">
      <sharedItems containsBlank="1" containsMixedTypes="1" containsNumber="1" containsInteger="1" minValue="30" maxValue="90"/>
    </cacheField>
    <cacheField name="Total Factura" numFmtId="164">
      <sharedItems containsSemiMixedTypes="0" containsString="0" containsNumber="1" minValue="704.33" maxValue="31660582.550000001"/>
    </cacheField>
    <cacheField name="ADMINSITRATIVO" numFmtId="164">
      <sharedItems containsString="0" containsBlank="1" containsNumber="1" minValue="0" maxValue="2993255.52"/>
    </cacheField>
    <cacheField name="MEDICO" numFmtId="164">
      <sharedItems containsString="0" containsBlank="1" containsNumber="1" minValue="0" maxValue="12733255.43"/>
    </cacheField>
    <cacheField name="A PAGAR" numFmtId="164">
      <sharedItems containsSemiMixedTypes="0" containsString="0" containsNumber="1" minValue="0" maxValue="240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s v="AMPARAR S.R.L"/>
    <n v="30708686499"/>
    <s v="00008-00001805"/>
    <d v="2026-03-02T00:00:00"/>
    <d v="2026-02-01T00:00:00"/>
    <x v="0"/>
    <x v="0"/>
    <n v="30"/>
    <n v="314997.76000000001"/>
    <n v="0"/>
    <n v="0"/>
    <n v="314997.76000000001"/>
  </r>
  <r>
    <s v="AMPARAR S.R.L"/>
    <n v="30708686499"/>
    <s v="00008-00001803"/>
    <d v="2026-03-02T00:00:00"/>
    <d v="2026-02-01T00:00:00"/>
    <x v="0"/>
    <x v="1"/>
    <n v="30"/>
    <n v="726056.45"/>
    <n v="0"/>
    <n v="0"/>
    <n v="726056.45"/>
  </r>
  <r>
    <s v="AMPARAR S.R.L"/>
    <n v="30708686499"/>
    <s v="00008-00001806"/>
    <d v="2026-03-02T00:00:00"/>
    <d v="2026-02-01T00:00:00"/>
    <x v="0"/>
    <x v="2"/>
    <n v="30"/>
    <n v="2955934.54"/>
    <n v="0"/>
    <n v="0"/>
    <n v="2955934.54"/>
  </r>
  <r>
    <s v="AMPARAR S.R.L"/>
    <n v="30708686499"/>
    <s v="00008-00001807"/>
    <d v="2026-03-02T00:00:00"/>
    <d v="2026-03-01T00:00:00"/>
    <x v="1"/>
    <x v="3"/>
    <n v="30"/>
    <n v="14374.8"/>
    <n v="0"/>
    <n v="0"/>
    <n v="14374.8"/>
  </r>
  <r>
    <s v="AMPARAR S.R.L"/>
    <n v="30708686499"/>
    <s v="00008-00001466"/>
    <d v="2026-05-01T00:00:00"/>
    <d v="2026-01-01T00:00:00"/>
    <x v="1"/>
    <x v="3"/>
    <n v="30"/>
    <n v="14374.8"/>
    <n v="2494.8000000000002"/>
    <n v="0"/>
    <n v="11880"/>
  </r>
  <r>
    <s v="AMPARAR S.R.L"/>
    <n v="30708686499"/>
    <s v="00008-00001824"/>
    <d v="2026-03-02T00:00:00"/>
    <d v="2026-02-01T00:00:00"/>
    <x v="2"/>
    <x v="4"/>
    <n v="30"/>
    <n v="1034649.57"/>
    <n v="98600.81"/>
    <n v="0"/>
    <n v="936048.76"/>
  </r>
  <r>
    <s v="AMPARAR S.R.L"/>
    <n v="30708686499"/>
    <s v="00008-00001792"/>
    <d v="2026-03-02T00:00:00"/>
    <d v="2026-01-01T00:00:00"/>
    <x v="2"/>
    <x v="3"/>
    <n v="30"/>
    <n v="2028447.33"/>
    <n v="562560.09"/>
    <n v="0"/>
    <n v="1465887.2400000002"/>
  </r>
  <r>
    <s v="ASOCIACION DE BIOQUIMICOS DEL DEPARTAMENTO SAN MARTIN"/>
    <n v="30582058608"/>
    <s v="00005-00006083"/>
    <d v="2026-03-06T00:00:00"/>
    <d v="2026-02-01T00:00:00"/>
    <x v="1"/>
    <x v="2"/>
    <n v="30"/>
    <n v="2993255.52"/>
    <n v="2993255.52"/>
    <n v="0"/>
    <n v="0"/>
  </r>
  <r>
    <s v="ASOCIACION DE CLINICAS DEL NORTE DE LA PROVINCIA DE CORDOBA A C L I N O R"/>
    <n v="30678724447"/>
    <s v="00004-00018691"/>
    <s v="09/03/2026"/>
    <d v="2026-02-01T00:00:00"/>
    <x v="1"/>
    <x v="1"/>
    <n v="45"/>
    <n v="113487.37"/>
    <n v="8400"/>
    <n v="0"/>
    <n v="105087.37"/>
  </r>
  <r>
    <s v="ASOCIACION DE CLINICAS DEL NORTE DE LA PROVINCIA DE CORDOBA A C L I N O R"/>
    <n v="30678724447"/>
    <s v="00004-00018692"/>
    <s v="09/03/2026"/>
    <d v="2026-02-01T00:00:00"/>
    <x v="1"/>
    <x v="2"/>
    <n v="45"/>
    <n v="1296612.8400000001"/>
    <n v="518860.75"/>
    <n v="0"/>
    <n v="777752.09000000008"/>
  </r>
  <r>
    <s v="ASOCIACION DE CLINICAS DEL NORTE DE LA PROVINCIA DE CORDOBA A C L I N O R"/>
    <n v="30678724447"/>
    <s v="00004-00018694"/>
    <s v="09/03/2026"/>
    <d v="2026-02-01T00:00:00"/>
    <x v="1"/>
    <x v="3"/>
    <n v="45"/>
    <n v="4854948.2"/>
    <n v="247299.75"/>
    <n v="0"/>
    <n v="4607648.45"/>
  </r>
  <r>
    <s v="ASOCIACION DE CLINICAS DEL NORTE DE LA PROVINCIA DE CORDOBA A C L I N O R"/>
    <n v="30678724447"/>
    <s v="00004-00018693"/>
    <d v="2026-03-09T00:00:00"/>
    <d v="2026-02-01T00:00:00"/>
    <x v="1"/>
    <x v="0"/>
    <n v="45"/>
    <n v="125892.02"/>
    <n v="5600"/>
    <n v="0"/>
    <n v="120292.02"/>
  </r>
  <r>
    <s v="ASOCIACION DE MEDICOS PATOLOGOS Y CITOPATOLOGOS DE LA PCIA. DE CORDOBA"/>
    <n v="30707403809"/>
    <s v="00002-00003404"/>
    <s v="10/03/2026"/>
    <d v="2026-02-01T00:00:00"/>
    <x v="1"/>
    <x v="2"/>
    <n v="45"/>
    <n v="15000"/>
    <n v="0"/>
    <n v="0"/>
    <n v="15000"/>
  </r>
  <r>
    <s v="ASOCIACION DE MEDICOS PATOLOGOS Y CITOPATOLOGOS DE LA PCIA. DE CORDOBA"/>
    <n v="30707403809"/>
    <s v="00002-00003405"/>
    <s v="10/03/2026"/>
    <d v="2026-02-01T00:00:00"/>
    <x v="1"/>
    <x v="3"/>
    <n v="45"/>
    <n v="22460"/>
    <n v="0"/>
    <n v="0"/>
    <n v="22460"/>
  </r>
  <r>
    <s v="ASOCIACION PRESTADORES DE HEMODIALISIS Y TRANSPLANTES RENALES DEL CENTRO (APHE Y TRC)"/>
    <n v="30644610256"/>
    <s v="00003-00008358"/>
    <s v="09/03/2026"/>
    <d v="2026-02-01T00:00:00"/>
    <x v="1"/>
    <x v="3"/>
    <n v="45"/>
    <n v="25767642"/>
    <n v="1687642"/>
    <n v="0"/>
    <n v="24080000"/>
  </r>
  <r>
    <s v="ASOCIACION PRESTADORES DE HEMODIALISIS Y TRANSPLANTES RENALES DEL CENTRO (APHE Y TRC)"/>
    <n v="30644610256"/>
    <s v="0003-00008345"/>
    <d v="2026-03-05T00:00:00"/>
    <d v="2026-02-01T00:00:00"/>
    <x v="1"/>
    <x v="2"/>
    <n v="45"/>
    <n v="7363524"/>
    <n v="3708"/>
    <n v="0"/>
    <n v="7359816"/>
  </r>
  <r>
    <s v="BARIATRICA S.A. S. A."/>
    <n v="30709634964"/>
    <s v="00002-00001195"/>
    <s v="03/03/2026"/>
    <d v="2026-02-01T00:00:00"/>
    <x v="1"/>
    <x v="3"/>
    <n v="60"/>
    <n v="147144"/>
    <n v="36536.559999999998"/>
    <n v="0"/>
    <n v="110607.44"/>
  </r>
  <r>
    <s v="CAMARA DE ENTIDADES DE SALUD - CES"/>
    <n v="30715649159"/>
    <s v="00005-00001418"/>
    <s v="05/03/2026"/>
    <d v="2026-02-01T00:00:00"/>
    <x v="3"/>
    <x v="2"/>
    <n v="60"/>
    <n v="700582.15"/>
    <n v="0"/>
    <n v="0"/>
    <n v="700582.15"/>
  </r>
  <r>
    <s v="CAMARA DE ENTIDADES DE SALUD - CES"/>
    <n v="30715649159"/>
    <s v="00005-00001415"/>
    <s v="05/03/2026"/>
    <d v="2026-02-01T00:00:00"/>
    <x v="3"/>
    <x v="3"/>
    <n v="60"/>
    <n v="31660582.550000001"/>
    <n v="0"/>
    <n v="12733255.43"/>
    <n v="18927327.120000001"/>
  </r>
  <r>
    <s v="CAMARA DE ENTIDADES DE SALUD - CES"/>
    <n v="30715649159"/>
    <s v="00005-00001417"/>
    <s v="05/03/2026"/>
    <d v="2026-02-01T00:00:00"/>
    <x v="1"/>
    <x v="1"/>
    <n v="30"/>
    <n v="116530"/>
    <n v="28797"/>
    <n v="0"/>
    <n v="87733"/>
  </r>
  <r>
    <s v="CAMARA DE ENTIDADES DE SALUD - CES"/>
    <n v="30715649159"/>
    <s v="00005-00001419"/>
    <s v="05/03/2026"/>
    <d v="2026-02-01T00:00:00"/>
    <x v="1"/>
    <x v="2"/>
    <n v="60"/>
    <n v="358065"/>
    <n v="16400"/>
    <n v="0"/>
    <n v="341665"/>
  </r>
  <r>
    <s v="CAMARA DE ENTIDADES DE SALUD - CES"/>
    <n v="30715649159"/>
    <s v="00005-00001416"/>
    <s v="05/03/2026"/>
    <d v="2026-02-01T00:00:00"/>
    <x v="1"/>
    <x v="3"/>
    <n v="30"/>
    <n v="1213637"/>
    <n v="363658"/>
    <n v="0"/>
    <n v="849979"/>
  </r>
  <r>
    <s v="CEMO S.A."/>
    <n v="30714353493"/>
    <s v="00004-00009985"/>
    <d v="2026-02-28T00:00:00"/>
    <d v="2026-02-01T00:00:00"/>
    <x v="1"/>
    <x v="5"/>
    <n v="60"/>
    <n v="704.33"/>
    <n v="0"/>
    <n v="0"/>
    <n v="704.33"/>
  </r>
  <r>
    <s v="CEMO S.A."/>
    <n v="30714353493"/>
    <s v="00004-00009986"/>
    <d v="2026-02-28T00:00:00"/>
    <d v="2026-02-01T00:00:00"/>
    <x v="1"/>
    <x v="1"/>
    <n v="60"/>
    <n v="13408.66"/>
    <n v="0"/>
    <n v="0"/>
    <n v="13408.66"/>
  </r>
  <r>
    <s v="CEMO S.A."/>
    <n v="30714353493"/>
    <s v="00004-00009987"/>
    <d v="2026-02-28T00:00:00"/>
    <d v="2026-02-01T00:00:00"/>
    <x v="1"/>
    <x v="3"/>
    <n v="60"/>
    <n v="149852.20000000001"/>
    <n v="8400"/>
    <n v="0"/>
    <n v="141452.20000000001"/>
  </r>
  <r>
    <s v="CENTRO MEDICO PRIVADO SAN ANDRES SRL"/>
    <n v="30715347756"/>
    <s v="00001-00004007"/>
    <d v="2026-03-05T00:00:00"/>
    <d v="2026-02-01T00:00:00"/>
    <x v="1"/>
    <x v="2"/>
    <n v="60"/>
    <n v="325637.55"/>
    <n v="63243.7"/>
    <n v="0"/>
    <n v="262393.84999999998"/>
  </r>
  <r>
    <s v="CENTRO PRIVADO DE R M I RIO CUARTO S A"/>
    <n v="30669128351"/>
    <s v="00007-00011937"/>
    <s v="06/03/2026"/>
    <d v="2026-02-01T00:00:00"/>
    <x v="1"/>
    <x v="3"/>
    <n v="45"/>
    <n v="117481"/>
    <n v="0"/>
    <n v="0"/>
    <n v="117481"/>
  </r>
  <r>
    <s v="CIDI S.A"/>
    <n v="30715190253"/>
    <s v="00001-00006566"/>
    <s v="28/02/2026"/>
    <d v="2026-02-01T00:00:00"/>
    <x v="1"/>
    <x v="2"/>
    <n v="45"/>
    <n v="10464"/>
    <n v="0"/>
    <n v="0"/>
    <n v="10464"/>
  </r>
  <r>
    <s v="CIDI S.A"/>
    <n v="30715190253"/>
    <s v="00001-00006529"/>
    <s v="28/02/2026"/>
    <d v="2026-02-01T00:00:00"/>
    <x v="1"/>
    <x v="3"/>
    <n v="45"/>
    <n v="1197987.3799999999"/>
    <n v="675088.69"/>
    <n v="0"/>
    <n v="522898.68999999994"/>
  </r>
  <r>
    <s v="CIPREM SRL"/>
    <n v="30637580961"/>
    <s v="00004-00014566"/>
    <s v="05/03/2026"/>
    <d v="2026-02-01T00:00:00"/>
    <x v="3"/>
    <x v="3"/>
    <n v="60"/>
    <n v="15768041.699999999"/>
    <n v="0"/>
    <n v="355203.49"/>
    <n v="15412838.209999999"/>
  </r>
  <r>
    <s v="CIPREM SRL"/>
    <n v="30637580961"/>
    <s v="00004-00014530"/>
    <s v="04/03/2026"/>
    <d v="2026-02-01T00:00:00"/>
    <x v="1"/>
    <x v="3"/>
    <n v="60"/>
    <n v="210298.32"/>
    <n v="4620"/>
    <n v="0"/>
    <n v="205678.32"/>
  </r>
  <r>
    <s v="CIRCULO DE PROFESIONALES DE LA REHABILITACION DEL DEPARTAMENTO SAN MARTIN"/>
    <n v="30674856756"/>
    <s v="0004-00003185"/>
    <d v="2026-03-04T00:00:00"/>
    <d v="2026-02-01T00:00:00"/>
    <x v="1"/>
    <x v="2"/>
    <n v="45"/>
    <n v="542500"/>
    <n v="0"/>
    <n v="0"/>
    <n v="542500"/>
  </r>
  <r>
    <s v="CIRCULO MEDICO DE BELL VILLE"/>
    <n v="30562906378"/>
    <s v="12-2127"/>
    <d v="2026-03-10T00:00:00"/>
    <d v="2026-02-01T00:00:00"/>
    <x v="1"/>
    <x v="2"/>
    <n v="45"/>
    <n v="170658.8"/>
    <n v="9650"/>
    <n v="0"/>
    <n v="161008.79999999999"/>
  </r>
  <r>
    <s v="CIRCULO MEDICO REGIONAL RIO TERCERO"/>
    <n v="30566278207"/>
    <s v="60-556"/>
    <d v="2026-03-11T00:00:00"/>
    <d v="2026-02-01T00:00:00"/>
    <x v="1"/>
    <x v="1"/>
    <n v="45"/>
    <n v="34625.040000000001"/>
    <n v="0"/>
    <n v="0"/>
    <n v="34625.040000000001"/>
  </r>
  <r>
    <s v="CIRCULO MEDICO REGIONAL RIO TERCERO"/>
    <n v="30566278207"/>
    <s v="60-555"/>
    <d v="2026-03-11T00:00:00"/>
    <d v="2026-02-01T00:00:00"/>
    <x v="1"/>
    <x v="3"/>
    <n v="45"/>
    <n v="357358.85"/>
    <n v="0"/>
    <n v="0"/>
    <n v="357358.85"/>
  </r>
  <r>
    <s v="CIRCULO MEDICO REGIONAL RIO TERCERO"/>
    <n v="30566278207"/>
    <s v="60-529"/>
    <d v="2026-03-11T00:00:00"/>
    <d v="2026-02-01T00:00:00"/>
    <x v="1"/>
    <x v="3"/>
    <n v="45"/>
    <n v="2261898.7400000002"/>
    <n v="114466.34"/>
    <n v="0"/>
    <n v="2147432.4000000004"/>
  </r>
  <r>
    <s v="CIRCULO MEDICO REGIONAL RIO TERCERO"/>
    <n v="30566278207"/>
    <s v="00060-00000530"/>
    <d v="2026-02-11T00:00:00"/>
    <d v="2026-02-01T00:00:00"/>
    <x v="1"/>
    <x v="2"/>
    <n v="60"/>
    <n v="90303"/>
    <n v="0"/>
    <n v="0"/>
    <n v="90303"/>
  </r>
  <r>
    <s v="CLINICA CHUTRO S R L"/>
    <n v="30545996991"/>
    <s v="00004-00006025"/>
    <s v="10/03/2026"/>
    <d v="2026-02-01T00:00:00"/>
    <x v="3"/>
    <x v="1"/>
    <n v="60"/>
    <n v="490898.21"/>
    <n v="0"/>
    <n v="0"/>
    <n v="490898.21"/>
  </r>
  <r>
    <s v="CLINICA CHUTRO S R L"/>
    <n v="30545996991"/>
    <s v="00004-00006012"/>
    <s v="10/03/2026"/>
    <d v="2026-02-01T00:00:00"/>
    <x v="3"/>
    <x v="1"/>
    <n v="60"/>
    <n v="1163913"/>
    <n v="0"/>
    <n v="37237.72"/>
    <n v="1126675.28"/>
  </r>
  <r>
    <s v="CLINICA CHUTRO S R L"/>
    <n v="30545996991"/>
    <s v="00004-00006013"/>
    <s v="10/03/2026"/>
    <d v="2026-02-01T00:00:00"/>
    <x v="3"/>
    <x v="3"/>
    <n v="60"/>
    <n v="861907.95"/>
    <n v="0"/>
    <n v="95767.55"/>
    <n v="766140.39999999991"/>
  </r>
  <r>
    <s v="CLINICA CHUTRO S R L"/>
    <n v="30545996991"/>
    <s v="00004-00006014"/>
    <s v="10/03/2026"/>
    <d v="2026-02-01T00:00:00"/>
    <x v="3"/>
    <x v="2"/>
    <n v="60"/>
    <n v="1792991"/>
    <n v="0"/>
    <n v="0"/>
    <n v="1792991"/>
  </r>
  <r>
    <s v="CLINICA CHUTRO S R L"/>
    <n v="30545996991"/>
    <s v="00004-00006015"/>
    <s v="10/03/2026"/>
    <d v="2026-02-01T00:00:00"/>
    <x v="3"/>
    <x v="0"/>
    <n v="60"/>
    <n v="5170441"/>
    <n v="0"/>
    <n v="0"/>
    <n v="5170441"/>
  </r>
  <r>
    <s v="CLINICA CHUTRO S R L"/>
    <n v="30545996991"/>
    <s v="00004-00006016"/>
    <s v="10/03/2026"/>
    <d v="2026-02-01T00:00:00"/>
    <x v="1"/>
    <x v="1"/>
    <n v="60"/>
    <n v="158116.1"/>
    <n v="94195.199999999997"/>
    <n v="0"/>
    <n v="63920.900000000009"/>
  </r>
  <r>
    <s v="CLINICA CHUTRO S R L"/>
    <n v="30545996991"/>
    <s v="00004-00006026"/>
    <s v="10/03/2026"/>
    <d v="2026-02-01T00:00:00"/>
    <x v="1"/>
    <x v="2"/>
    <n v="60"/>
    <n v="22706.720000000001"/>
    <n v="22706.720000000001"/>
    <n v="0"/>
    <n v="0"/>
  </r>
  <r>
    <s v="CLINICA DE ESPECIALIDADES DE VILLA MARIA"/>
    <n v="30645574326"/>
    <s v="0004- 00013801"/>
    <d v="2026-03-05T00:00:00"/>
    <d v="2026-02-01T00:00:00"/>
    <x v="3"/>
    <x v="2"/>
    <n v="60"/>
    <n v="3204114.81"/>
    <n v="289509.75"/>
    <n v="184425.78"/>
    <n v="2730179.2800000003"/>
  </r>
  <r>
    <s v="CLINICA FUSAVIM PRIVADA SRL "/>
    <n v="30708409185"/>
    <s v="6-4506"/>
    <d v="2026-03-05T00:00:00"/>
    <d v="2026-02-01T00:00:00"/>
    <x v="1"/>
    <x v="3"/>
    <n v="60"/>
    <n v="92109.63"/>
    <n v="0"/>
    <n v="0"/>
    <n v="92109.63"/>
  </r>
  <r>
    <s v="CLINICA MEDITERRANEA SALUD S A"/>
    <n v="30708069791"/>
    <s v="00003-00022326"/>
    <d v="2026-03-02T00:00:00"/>
    <m/>
    <x v="4"/>
    <x v="2"/>
    <m/>
    <n v="132240"/>
    <n v="0"/>
    <n v="0"/>
    <n v="132240"/>
  </r>
  <r>
    <s v="CLINICA MEDITERRANEA SALUD S A"/>
    <n v="30708069791"/>
    <s v="00003-00022327"/>
    <d v="2026-03-02T00:00:00"/>
    <m/>
    <x v="4"/>
    <x v="2"/>
    <m/>
    <n v="92102"/>
    <n v="0"/>
    <n v="0"/>
    <n v="92102"/>
  </r>
  <r>
    <s v="CLINICA PRIVADA CARAFFA SRL"/>
    <n v="30596272165"/>
    <s v="00015-00001189"/>
    <s v="02/03/2026"/>
    <d v="2026-02-01T00:00:00"/>
    <x v="1"/>
    <x v="3"/>
    <n v="60"/>
    <n v="31748.400000000001"/>
    <n v="0"/>
    <n v="0"/>
    <n v="31748.400000000001"/>
  </r>
  <r>
    <s v="CLINICA PRIVADA CARAFFA SRL"/>
    <n v="30596272165"/>
    <s v="00009-00003851"/>
    <s v="05/03/2026"/>
    <d v="2026-02-01T00:00:00"/>
    <x v="1"/>
    <x v="3"/>
    <n v="60"/>
    <n v="317307.52000000002"/>
    <n v="0"/>
    <n v="0"/>
    <n v="317307.52000000002"/>
  </r>
  <r>
    <s v="CLINICA PRIVADA CARAFFA SRL"/>
    <n v="30596272165"/>
    <s v="00009-00003852"/>
    <s v="05/03/2026"/>
    <d v="2026-02-01T00:00:00"/>
    <x v="1"/>
    <x v="2"/>
    <n v="60"/>
    <n v="70037.5"/>
    <n v="0"/>
    <n v="0"/>
    <n v="70037.5"/>
  </r>
  <r>
    <s v="CLINICA PRIVADA CARAFFA SRL"/>
    <n v="30596272165"/>
    <s v="00020-00000009"/>
    <s v="06/03/2026"/>
    <d v="2026-02-01T00:00:00"/>
    <x v="3"/>
    <x v="3"/>
    <n v="60"/>
    <n v="80904.100000000006"/>
    <n v="0"/>
    <n v="0"/>
    <n v="80904.100000000006"/>
  </r>
  <r>
    <s v="CLINICA PRIVADA CARAFFA SRL"/>
    <n v="30596272165"/>
    <s v="00020-00000017"/>
    <s v="09/03/2026"/>
    <d v="2026-02-01T00:00:00"/>
    <x v="3"/>
    <x v="2"/>
    <n v="60"/>
    <n v="1219587.07"/>
    <n v="0"/>
    <n v="449183.02"/>
    <n v="770404.05"/>
  </r>
  <r>
    <s v="CLINICA PRIVADA COAT S. R. L."/>
    <n v="30682285431"/>
    <s v="00005-00005100"/>
    <s v="06/03/2026"/>
    <d v="2026-02-01T00:00:00"/>
    <x v="1"/>
    <x v="2"/>
    <n v="60"/>
    <n v="50290"/>
    <n v="0"/>
    <n v="0"/>
    <n v="50290"/>
  </r>
  <r>
    <s v="CLINICA PRIVADA COAT S. R. L."/>
    <n v="30682285431"/>
    <s v="00005-00005105"/>
    <s v="06/03/2026"/>
    <d v="2026-02-01T00:00:00"/>
    <x v="1"/>
    <x v="2"/>
    <n v="60"/>
    <n v="192600"/>
    <n v="0"/>
    <n v="0"/>
    <n v="192600"/>
  </r>
  <r>
    <s v="CLINICA PRIVADA COAT S. R. L."/>
    <n v="30682285431"/>
    <s v="00005-00005103"/>
    <s v="06/03/2026"/>
    <d v="2026-02-01T00:00:00"/>
    <x v="1"/>
    <x v="3"/>
    <n v="60"/>
    <n v="25000"/>
    <n v="0"/>
    <n v="0"/>
    <n v="25000"/>
  </r>
  <r>
    <s v="CLINICA PRIVADA DE LA CIUDAD SOC RESP LTDA"/>
    <n v="30660567840"/>
    <s v="00010-00003960"/>
    <d v="2026-03-04T00:00:00"/>
    <m/>
    <x v="4"/>
    <x v="3"/>
    <m/>
    <n v="12541.71"/>
    <n v="0"/>
    <n v="0"/>
    <n v="12541.71"/>
  </r>
  <r>
    <s v="CLINICA PRIVADA DE LA CIUDAD SOC RESP LTDA"/>
    <n v="30660567840"/>
    <s v="00010-00003961"/>
    <d v="2026-03-04T00:00:00"/>
    <m/>
    <x v="4"/>
    <x v="3"/>
    <m/>
    <n v="327908.53999999998"/>
    <n v="0"/>
    <n v="0"/>
    <n v="327908.53999999998"/>
  </r>
  <r>
    <s v="CLINICA PRIVADA DE LA CIUDAD SOC RESP LTDA"/>
    <n v="30660567840"/>
    <s v="00010-00003984"/>
    <d v="2026-03-05T00:00:00"/>
    <m/>
    <x v="4"/>
    <x v="2"/>
    <m/>
    <n v="14161.71"/>
    <n v="0"/>
    <n v="0"/>
    <n v="14161.71"/>
  </r>
  <r>
    <s v="CLINICA PRIVADA DE LA CIUDAD SOC RESP LTDA"/>
    <n v="30660567840"/>
    <s v="00010-00003979"/>
    <d v="2026-03-05T00:00:00"/>
    <m/>
    <x v="4"/>
    <x v="1"/>
    <m/>
    <n v="286230.12"/>
    <n v="0"/>
    <n v="0"/>
    <n v="286230.12"/>
  </r>
  <r>
    <s v="CLINICA PRIVADA DEAN FUNES SRL"/>
    <n v="30708237791"/>
    <s v="00004-00000912"/>
    <s v="28/02/2026"/>
    <d v="2026-02-01T00:00:00"/>
    <x v="1"/>
    <x v="3"/>
    <n v="60"/>
    <n v="24028"/>
    <n v="0"/>
    <n v="0"/>
    <n v="24028"/>
  </r>
  <r>
    <s v="CLINICA PRIVADA DEAN FUNES SRL"/>
    <n v="30708237791"/>
    <s v="0004-00000845"/>
    <d v="2025-11-30T00:00:00"/>
    <d v="2025-11-01T00:00:00"/>
    <x v="1"/>
    <x v="1"/>
    <n v="60"/>
    <n v="86139"/>
    <n v="39863"/>
    <n v="0"/>
    <n v="46276"/>
  </r>
  <r>
    <s v="CLINICA PRIVADA DEL SOL S.A."/>
    <n v="30615571454"/>
    <s v="00008-00020376"/>
    <s v="06/03/2026"/>
    <d v="2026-02-01T00:00:00"/>
    <x v="3"/>
    <x v="3"/>
    <n v="45"/>
    <n v="2837156.92"/>
    <n v="396948.13"/>
    <n v="116008.04"/>
    <n v="2324200.75"/>
  </r>
  <r>
    <s v="CLINICA PRIVADA DEL SOL S.A."/>
    <n v="30615571454"/>
    <s v="008-00020469"/>
    <d v="2026-03-10T00:00:00"/>
    <d v="2026-02-01T00:00:00"/>
    <x v="3"/>
    <x v="3"/>
    <n v="45"/>
    <n v="378451.43"/>
    <n v="5919.84"/>
    <n v="0"/>
    <n v="372531.58999999997"/>
  </r>
  <r>
    <s v="CLINICA PRIVADA INTEGRAL DE PSIQUIATRIA SAN NICOLAS SRL S. R. L."/>
    <n v="30608875227"/>
    <s v="00003-00000246"/>
    <d v="2026-03-02T00:00:00"/>
    <d v="2026-02-01T00:00:00"/>
    <x v="3"/>
    <x v="2"/>
    <n v="60"/>
    <n v="495000"/>
    <n v="0"/>
    <n v="165000"/>
    <n v="330000"/>
  </r>
  <r>
    <s v="CLINICA PRIVADA INTEGRAL DE PSIQUIATRIA SAN NICOLAS SRL S. R. L."/>
    <n v="30608875227"/>
    <s v="00003-00000245"/>
    <d v="2026-03-02T00:00:00"/>
    <d v="2026-02-01T00:00:00"/>
    <x v="3"/>
    <x v="3"/>
    <n v="60"/>
    <n v="2464000"/>
    <n v="0"/>
    <n v="0"/>
    <n v="2464000"/>
  </r>
  <r>
    <s v="CLINICA PRIVADA INTEGRAL DE PSIQUIATRIA SAN NICOLAS SRL S. R. L."/>
    <n v="30608875227"/>
    <s v="00003-00000251"/>
    <d v="2026-03-03T00:00:00"/>
    <d v="2026-02-01T00:00:00"/>
    <x v="1"/>
    <x v="3"/>
    <n v="60"/>
    <n v="102030"/>
    <n v="0"/>
    <n v="0"/>
    <n v="102030"/>
  </r>
  <r>
    <s v="CLINICA PRIVADA INTEGRAL DE PSIQUIATRIA SAN NICOLAS SRL S. R. L."/>
    <n v="30608875227"/>
    <s v="00003-00000252"/>
    <d v="2026-03-03T00:00:00"/>
    <d v="2026-02-01T00:00:00"/>
    <x v="1"/>
    <x v="3"/>
    <n v="60"/>
    <n v="27234"/>
    <n v="0"/>
    <n v="0"/>
    <n v="27234"/>
  </r>
  <r>
    <s v="CLINICA PRIVADA INTEGRAL DE PSIQUIATRIA SAN NICOLAS SRL S. R. L."/>
    <n v="30608875227"/>
    <s v="00003-00000253"/>
    <d v="2026-03-03T00:00:00"/>
    <m/>
    <x v="4"/>
    <x v="3"/>
    <m/>
    <n v="619431"/>
    <n v="0"/>
    <n v="0"/>
    <n v="619431"/>
  </r>
  <r>
    <s v="CLINICA PRIVADA INTEGRAL DE PSIQUIATRIA SAN NICOLAS SRL S. R. L."/>
    <n v="30608875227"/>
    <s v="00003-00000249"/>
    <d v="2026-03-03T00:00:00"/>
    <m/>
    <x v="4"/>
    <x v="1"/>
    <m/>
    <n v="120970"/>
    <n v="44300"/>
    <n v="0"/>
    <n v="76670"/>
  </r>
  <r>
    <s v="CLINICA PRIVADA INTEGRAL DE PSIQUIATRIA SAN NICOLAS SRL S. R. L."/>
    <n v="30608875227"/>
    <s v="00003-00000250"/>
    <d v="2026-03-03T00:00:00"/>
    <m/>
    <x v="4"/>
    <x v="5"/>
    <m/>
    <n v="59800"/>
    <n v="12200"/>
    <n v="0"/>
    <n v="47600"/>
  </r>
  <r>
    <s v="CLINICA PRIVADA INTEGRAL DE PSIQUIATRIA SAN NICOLAS SRL S. R. L."/>
    <n v="30608875227"/>
    <s v="00003-00000259"/>
    <d v="2026-03-04T00:00:00"/>
    <m/>
    <x v="4"/>
    <x v="3"/>
    <m/>
    <n v="762200"/>
    <n v="155740"/>
    <n v="0"/>
    <n v="606460"/>
  </r>
  <r>
    <s v="CLINICA PRIVADA JESUS MARIA DR ANIBAL LUIS VIALE S.A."/>
    <n v="30546133865"/>
    <s v="00008-00011873"/>
    <s v="06/03/2026"/>
    <d v="2026-02-01T00:00:00"/>
    <x v="1"/>
    <x v="3"/>
    <n v="45"/>
    <n v="336114.73"/>
    <n v="23100"/>
    <n v="0"/>
    <n v="313014.73"/>
  </r>
  <r>
    <s v="CLINICA PRIVADA JESUS MARIA DR ANIBAL LUIS VIALE S.A."/>
    <n v="30546133865"/>
    <s v="00008-00011879"/>
    <s v="06/03/2026"/>
    <d v="2026-02-01T00:00:00"/>
    <x v="1"/>
    <x v="2"/>
    <n v="60"/>
    <n v="64767.88"/>
    <n v="9550"/>
    <n v="0"/>
    <n v="55217.88"/>
  </r>
  <r>
    <s v="CLINICA PRIVADA REGIONAL S R L"/>
    <n v="30680944691"/>
    <s v="00007-00002665"/>
    <s v="06/03/2026"/>
    <d v="2026-02-01T00:00:00"/>
    <x v="3"/>
    <x v="2"/>
    <n v="45"/>
    <n v="116258.76"/>
    <n v="0"/>
    <n v="0"/>
    <n v="116258.76"/>
  </r>
  <r>
    <s v="CLINICA PRIVADA SANTA MARIA S.A."/>
    <n v="33711273129"/>
    <s v="00004-00012821"/>
    <s v="28/02/2026"/>
    <d v="2026-02-01T00:00:00"/>
    <x v="1"/>
    <x v="3"/>
    <n v="60"/>
    <n v="139954.4"/>
    <n v="0"/>
    <n v="0"/>
    <n v="139954.4"/>
  </r>
  <r>
    <s v="COLEGIO DE PSICOLOGOS DE LA PROVINCIA DE CORDOBA"/>
    <n v="30680948891"/>
    <s v="00012-00000819"/>
    <s v="06/03/2026"/>
    <d v="2026-02-01T00:00:00"/>
    <x v="1"/>
    <x v="3"/>
    <n v="45"/>
    <n v="61000"/>
    <m/>
    <m/>
    <n v="61000"/>
  </r>
  <r>
    <s v="COLEGIO MED REG DEL SUR DE CBA"/>
    <n v="30553588266"/>
    <s v="00002-00003486"/>
    <s v="06/03/2026"/>
    <d v="2026-02-01T00:00:00"/>
    <x v="1"/>
    <x v="2"/>
    <n v="45"/>
    <n v="577376.09"/>
    <n v="2442.5"/>
    <n v="0"/>
    <n v="574933.59"/>
  </r>
  <r>
    <s v="COLEGIO MEDICO DE OLIVA"/>
    <n v="30552575292"/>
    <s v="00005-00002793"/>
    <d v="2026-02-25T00:00:00"/>
    <m/>
    <x v="4"/>
    <x v="2"/>
    <m/>
    <n v="510826.8"/>
    <n v="312050"/>
    <n v="0"/>
    <n v="198776.8"/>
  </r>
  <r>
    <s v="COLEGIO MEDICO REGIONAL ARROYITO"/>
    <n v="30555217419"/>
    <s v="00004-00009497"/>
    <s v="05/03/2026"/>
    <d v="2026-02-01T00:00:00"/>
    <x v="1"/>
    <x v="3"/>
    <n v="45"/>
    <n v="30587.17"/>
    <n v="0"/>
    <n v="0"/>
    <n v="30587.17"/>
  </r>
  <r>
    <s v="COLEGIO MEDICO REGIONAL ARROYITO"/>
    <n v="30555217419"/>
    <s v="00004-00009521"/>
    <s v="09/03/2026"/>
    <d v="2026-02-01T00:00:00"/>
    <x v="3"/>
    <x v="2"/>
    <n v="45"/>
    <n v="2834992.74"/>
    <n v="69564.23"/>
    <n v="0"/>
    <n v="2765428.5100000002"/>
  </r>
  <r>
    <s v="COLEGIO PROFESIONAL DE KINESIOLOGOS Y  FISIOTERAPEUTAS DE LA PROVINCIA DE CORDOBA"/>
    <n v="30623578743"/>
    <s v="00002-00007059"/>
    <s v="06/03/2026"/>
    <d v="2026-02-01T00:00:00"/>
    <x v="1"/>
    <x v="2"/>
    <n v="45"/>
    <n v="175500"/>
    <n v="19500"/>
    <n v="0"/>
    <n v="156000"/>
  </r>
  <r>
    <s v="COSEME SA"/>
    <n v="30680565224"/>
    <s v="00046-00004402"/>
    <d v="2026-03-02T00:00:00"/>
    <m/>
    <x v="4"/>
    <x v="3"/>
    <m/>
    <n v="227170.48"/>
    <n v="11777.68"/>
    <n v="0"/>
    <n v="215392.80000000002"/>
  </r>
  <r>
    <s v="COSEME SA"/>
    <n v="30680565224"/>
    <s v="00046-00004404"/>
    <d v="2026-03-02T00:00:00"/>
    <m/>
    <x v="4"/>
    <x v="3"/>
    <m/>
    <n v="1221.83"/>
    <n v="1221.83"/>
    <n v="0"/>
    <n v="0"/>
  </r>
  <r>
    <s v="COSEME SA"/>
    <n v="30680565224"/>
    <s v="00046-00004408"/>
    <d v="2026-03-02T00:00:00"/>
    <m/>
    <x v="4"/>
    <x v="6"/>
    <m/>
    <n v="20945.330000000002"/>
    <n v="997.4"/>
    <n v="0"/>
    <n v="19947.93"/>
  </r>
  <r>
    <s v="COSEME SA"/>
    <n v="30680565224"/>
    <s v="00047-00001816"/>
    <d v="2026-03-02T00:00:00"/>
    <m/>
    <x v="4"/>
    <x v="1"/>
    <m/>
    <n v="21814.28"/>
    <n v="21814.28"/>
    <n v="0"/>
    <n v="0"/>
  </r>
  <r>
    <s v="COSEME SA"/>
    <n v="30680565224"/>
    <s v="00046-00004454"/>
    <d v="2026-03-05T00:00:00"/>
    <m/>
    <x v="4"/>
    <x v="2"/>
    <m/>
    <n v="60981.32"/>
    <n v="19279.04"/>
    <n v="0"/>
    <n v="41702.28"/>
  </r>
  <r>
    <s v="COSEME SA"/>
    <n v="30680565224"/>
    <s v="00046-00004403"/>
    <d v="2026-03-02T00:00:00"/>
    <m/>
    <x v="4"/>
    <x v="3"/>
    <m/>
    <n v="15766.62"/>
    <n v="0"/>
    <n v="0"/>
    <n v="15766.62"/>
  </r>
  <r>
    <s v="DE LA VILLA SERVICIOS ASISTENCIALES S.A."/>
    <n v="30623442566"/>
    <s v="00004-00015411"/>
    <s v="05/03/2026"/>
    <d v="2026-02-01T00:00:00"/>
    <x v="1"/>
    <x v="1"/>
    <n v="60"/>
    <n v="79174.55"/>
    <n v="0"/>
    <n v="0"/>
    <n v="79174.55"/>
  </r>
  <r>
    <s v="DE LA VILLA SERVICIOS ASISTENCIALES S.A."/>
    <n v="30623442566"/>
    <s v="00004-00015412"/>
    <s v="05/03/2026"/>
    <d v="2026-02-01T00:00:00"/>
    <x v="1"/>
    <x v="1"/>
    <n v="60"/>
    <n v="26189.49"/>
    <n v="0"/>
    <n v="0"/>
    <n v="26189.49"/>
  </r>
  <r>
    <s v="DE LA VILLA SERVICIOS ASISTENCIALES S.A."/>
    <n v="30623442566"/>
    <s v="00004-00015409"/>
    <s v="05/03/2026"/>
    <d v="2026-02-01T00:00:00"/>
    <x v="1"/>
    <x v="2"/>
    <n v="60"/>
    <n v="1337850.46"/>
    <n v="0"/>
    <n v="0"/>
    <n v="1337850.46"/>
  </r>
  <r>
    <s v="DE LA VILLA SERVICIOS ASISTENCIALES S.A."/>
    <n v="30623442566"/>
    <s v="00004-00015410"/>
    <s v="05/03/2026"/>
    <d v="2026-02-01T00:00:00"/>
    <x v="1"/>
    <x v="2"/>
    <n v="60"/>
    <n v="19452.79"/>
    <n v="0"/>
    <n v="0"/>
    <n v="19452.79"/>
  </r>
  <r>
    <s v="DE LA VILLA SERVICIOS ASISTENCIALES S.A."/>
    <n v="30623442566"/>
    <s v="00004-00015419"/>
    <s v="06/03/2026"/>
    <d v="2026-02-01T00:00:00"/>
    <x v="1"/>
    <x v="3"/>
    <n v="60"/>
    <n v="43892.36"/>
    <n v="0"/>
    <n v="0"/>
    <n v="43892.36"/>
  </r>
  <r>
    <s v="DE LA VILLA SERVICIOS ASISTENCIALES S.A."/>
    <n v="30623442566"/>
    <s v="00004-00015420"/>
    <s v="06/03/2026"/>
    <d v="2026-02-01T00:00:00"/>
    <x v="1"/>
    <x v="0"/>
    <n v="60"/>
    <n v="39544.14"/>
    <n v="0"/>
    <n v="0"/>
    <n v="39544.14"/>
  </r>
  <r>
    <s v="ECCO S. A. U."/>
    <n v="30602764032"/>
    <s v="00203-00158006"/>
    <s v="06/03/2026"/>
    <d v="2026-02-01T00:00:00"/>
    <x v="5"/>
    <x v="3"/>
    <n v="30"/>
    <n v="1800000"/>
    <n v="0"/>
    <n v="0"/>
    <n v="1800000"/>
  </r>
  <r>
    <s v="EL JUNCO SERVICIOS SOCIALES SA"/>
    <n v="30708910208"/>
    <s v="00118-00000721"/>
    <s v="06/03/2026"/>
    <d v="2026-02-01T00:00:00"/>
    <x v="6"/>
    <x v="1"/>
    <n v="60"/>
    <n v="12810"/>
    <n v="0"/>
    <n v="0"/>
    <n v="12810"/>
  </r>
  <r>
    <s v="EL JUNCO SERVICIOS SOCIALES SA"/>
    <n v="30708910208"/>
    <s v="00118-00000716"/>
    <d v="2026-03-05T00:00:00"/>
    <m/>
    <x v="4"/>
    <x v="1"/>
    <m/>
    <n v="119172"/>
    <n v="0"/>
    <n v="0"/>
    <n v="119172"/>
  </r>
  <r>
    <s v="EL JUNCO SERVICIOS SOCIALES SA"/>
    <n v="30708910208"/>
    <s v="00118-00000717"/>
    <d v="2026-03-05T00:00:00"/>
    <m/>
    <x v="4"/>
    <x v="3"/>
    <m/>
    <n v="132500"/>
    <n v="0"/>
    <n v="0"/>
    <n v="132500"/>
  </r>
  <r>
    <s v="EL JUNCO SERVICIOS SOCIALES SA"/>
    <n v="30708910208"/>
    <s v="00118-00000718"/>
    <d v="2026-03-05T00:00:00"/>
    <m/>
    <x v="4"/>
    <x v="5"/>
    <m/>
    <n v="9100"/>
    <n v="0"/>
    <n v="0"/>
    <n v="9100"/>
  </r>
  <r>
    <s v="EL JUNCO SERVICIOS SOCIALES SA"/>
    <n v="30708910208"/>
    <s v="00118-00000719"/>
    <d v="2026-03-05T00:00:00"/>
    <m/>
    <x v="4"/>
    <x v="2"/>
    <m/>
    <n v="224460"/>
    <n v="0"/>
    <n v="0"/>
    <n v="224460"/>
  </r>
  <r>
    <s v="EQUILIBRE SALUD S.A.S."/>
    <n v="33716532629"/>
    <s v="00001-00000613"/>
    <s v="04/03/2026"/>
    <d v="2026-02-01T00:00:00"/>
    <x v="1"/>
    <x v="2"/>
    <n v="45"/>
    <n v="54269"/>
    <n v="0"/>
    <n v="0"/>
    <n v="54269"/>
  </r>
  <r>
    <s v="ESTIX S.A.S."/>
    <n v="30717147835"/>
    <s v="00004-00000432"/>
    <s v="09/03/2026"/>
    <d v="2026-02-01T00:00:00"/>
    <x v="1"/>
    <x v="3"/>
    <n v="60"/>
    <n v="96112.56"/>
    <n v="0"/>
    <n v="0"/>
    <n v="96112.56"/>
  </r>
  <r>
    <s v="FEDERACION DE BIOQUIMICOS DE LA PROVINCIA DE CORDOBA"/>
    <n v="33577427009"/>
    <s v="0005-00005726"/>
    <d v="2026-03-09T00:00:00"/>
    <d v="2026-02-01T00:00:00"/>
    <x v="1"/>
    <x v="2"/>
    <n v="45"/>
    <n v="705107"/>
    <n v="255112"/>
    <n v="0"/>
    <n v="449995"/>
  </r>
  <r>
    <s v="FEDERACION DE BIOQUIMICOS DE LA PROVINCIA DE CORDOBA"/>
    <n v="33577427009"/>
    <s v="0005-00005727"/>
    <d v="2026-03-09T00:00:00"/>
    <d v="2026-02-01T00:00:00"/>
    <x v="1"/>
    <x v="3"/>
    <n v="45"/>
    <n v="1339240"/>
    <n v="261697"/>
    <n v="0"/>
    <n v="1077543"/>
  </r>
  <r>
    <s v="FUNDACION CENTRO PREV. BULIMIA"/>
    <n v="30714398454"/>
    <s v="00004-00002526"/>
    <d v="2026-03-02T00:00:00"/>
    <d v="2026-02-01T00:00:00"/>
    <x v="1"/>
    <x v="3"/>
    <n v="45"/>
    <n v="600000"/>
    <n v="600000"/>
    <n v="0"/>
    <n v="0"/>
  </r>
  <r>
    <s v="FUNDACION FECUNDART"/>
    <n v="30709242195"/>
    <s v="00006-00000033"/>
    <s v="10/03/2026"/>
    <d v="2026-02-01T00:00:00"/>
    <x v="1"/>
    <x v="3"/>
    <n v="45"/>
    <n v="216159.6"/>
    <n v="0"/>
    <n v="0"/>
    <n v="216159.6"/>
  </r>
  <r>
    <s v="G.M. AGRUPACION DE COLABORACION."/>
    <n v="30717358909"/>
    <s v="1-14699"/>
    <d v="2026-03-11T00:00:00"/>
    <d v="2025-02-01T00:00:00"/>
    <x v="3"/>
    <x v="2"/>
    <n v="30"/>
    <n v="783276.56"/>
    <n v="499023.74"/>
    <n v="0"/>
    <n v="284252.82000000007"/>
  </r>
  <r>
    <s v="GPAL BIOQUIMICA CLINICA S.A.S."/>
    <n v="30716142015"/>
    <s v="00003-00000011"/>
    <s v="09/03/2026"/>
    <d v="2026-02-01T00:00:00"/>
    <x v="1"/>
    <x v="3"/>
    <n v="60"/>
    <n v="192100"/>
    <n v="0"/>
    <n v="0"/>
    <n v="192100"/>
  </r>
  <r>
    <s v="GPAL BIOQUIMICA CLINICA S.A.S."/>
    <n v="30716142015"/>
    <s v="00003-00000010"/>
    <s v="07/03/2026"/>
    <d v="2026-02-01T00:00:00"/>
    <x v="1"/>
    <x v="0"/>
    <n v="60"/>
    <n v="223975"/>
    <n v="31722"/>
    <n v="0"/>
    <n v="192253"/>
  </r>
  <r>
    <s v="GPAL BIOQUIMICA CLINICA S.A.S."/>
    <n v="30716142015"/>
    <s v="00003-00000012"/>
    <s v="10/03/2026"/>
    <d v="2026-02-01T00:00:00"/>
    <x v="1"/>
    <x v="1"/>
    <n v="60"/>
    <n v="575875"/>
    <n v="86588"/>
    <n v="0"/>
    <n v="489287"/>
  </r>
  <r>
    <s v="GPAL BIOQUIMICA CLINICA S.A.S."/>
    <n v="30716142015"/>
    <s v="00003-00000013"/>
    <s v="10/03/2026"/>
    <d v="2026-02-01T00:00:00"/>
    <x v="1"/>
    <x v="2"/>
    <n v="60"/>
    <n v="1041683.5"/>
    <n v="11383.5"/>
    <n v="0"/>
    <n v="1030300"/>
  </r>
  <r>
    <s v="GRUPO OPTICO SA"/>
    <n v="30709290866"/>
    <s v="00015-00005034"/>
    <s v="09/03/2026"/>
    <d v="2026-03-01T00:00:00"/>
    <x v="7"/>
    <x v="2"/>
    <n v="30"/>
    <n v="16128"/>
    <n v="0"/>
    <n v="0"/>
    <n v="16128"/>
  </r>
  <r>
    <s v="GRUPO OPTICO SA"/>
    <n v="30709290866"/>
    <s v="00015-00005032"/>
    <s v="09/03/2026"/>
    <d v="2026-03-01T00:00:00"/>
    <x v="7"/>
    <x v="3"/>
    <n v="30"/>
    <n v="212616"/>
    <n v="0"/>
    <n v="0"/>
    <n v="212616"/>
  </r>
  <r>
    <s v="GRUPO OPTICO SA"/>
    <n v="30709290866"/>
    <s v="00015-00005033"/>
    <s v="09/03/2026"/>
    <d v="2026-03-01T00:00:00"/>
    <x v="7"/>
    <x v="1"/>
    <n v="30"/>
    <n v="46560"/>
    <n v="23280"/>
    <n v="0"/>
    <n v="23280"/>
  </r>
  <r>
    <s v="IMAGENES MEDICAS S.R.L."/>
    <n v="30689768861"/>
    <s v="00006-00008702"/>
    <s v="05/03/2026"/>
    <d v="2026-02-01T00:00:00"/>
    <x v="1"/>
    <x v="2"/>
    <n v="60"/>
    <n v="6861.64"/>
    <n v="0"/>
    <n v="0"/>
    <n v="6861.64"/>
  </r>
  <r>
    <s v="IMAGENES MEDICAS S.R.L."/>
    <n v="30689768861"/>
    <s v="00006-00008701"/>
    <s v="05/03/2026"/>
    <d v="2026-02-01T00:00:00"/>
    <x v="1"/>
    <x v="3"/>
    <n v="60"/>
    <n v="374599.54"/>
    <n v="58872.28"/>
    <n v="0"/>
    <n v="315727.26"/>
  </r>
  <r>
    <s v="IMAGENES PRIVADAS SRL"/>
    <n v="30698852441"/>
    <s v="0006-1928"/>
    <d v="2026-03-11T00:00:00"/>
    <d v="2026-02-01T00:00:00"/>
    <x v="1"/>
    <x v="2"/>
    <n v="60"/>
    <n v="13976.34"/>
    <n v="0"/>
    <n v="0"/>
    <n v="13976.34"/>
  </r>
  <r>
    <s v="INSTITUTO CONCI CARPINELLA SRL"/>
    <n v="30589770842"/>
    <s v="00038-00004156"/>
    <s v="28/02/2026"/>
    <d v="2026-02-01T00:00:00"/>
    <x v="1"/>
    <x v="2"/>
    <n v="60"/>
    <n v="100248.56"/>
    <n v="0"/>
    <n v="0"/>
    <n v="100248.56"/>
  </r>
  <r>
    <s v="INSTITUTO CONCI CARPINELLA SRL"/>
    <n v="30589770842"/>
    <s v="00034-00061326"/>
    <s v="28/02/2026"/>
    <d v="2026-02-01T00:00:00"/>
    <x v="1"/>
    <x v="0"/>
    <n v="60"/>
    <n v="100532.15"/>
    <n v="0"/>
    <n v="0"/>
    <n v="100532.15"/>
  </r>
  <r>
    <s v="INSTITUTO CONCI CARPINELLA SRL"/>
    <n v="30589770842"/>
    <s v="00034-00061337"/>
    <s v="28/02/2026"/>
    <d v="2026-02-01T00:00:00"/>
    <x v="1"/>
    <x v="1"/>
    <n v="60"/>
    <n v="135481.76"/>
    <n v="0"/>
    <n v="0"/>
    <n v="135481.76"/>
  </r>
  <r>
    <s v="INSTITUTO CONCI CARPINELLA SRL"/>
    <n v="30589770842"/>
    <s v="00034-00061339"/>
    <s v="28/02/2026"/>
    <d v="2026-02-01T00:00:00"/>
    <x v="1"/>
    <x v="2"/>
    <n v="60"/>
    <n v="437136.32"/>
    <n v="0"/>
    <n v="0"/>
    <n v="437136.32"/>
  </r>
  <r>
    <s v="INSTITUTO CONCI CARPINELLA SRL"/>
    <n v="30589770842"/>
    <s v="00038-00004186"/>
    <s v="28/02/2026"/>
    <d v="2026-02-01T00:00:00"/>
    <x v="1"/>
    <x v="3"/>
    <n v="60"/>
    <n v="154106.32999999999"/>
    <n v="0"/>
    <n v="0"/>
    <n v="154106.32999999999"/>
  </r>
  <r>
    <s v="INSTITUTO CONCI CARPINELLA SRL"/>
    <n v="30589770842"/>
    <s v="00038-00004190"/>
    <s v="28/02/2026"/>
    <d v="2026-02-01T00:00:00"/>
    <x v="1"/>
    <x v="0"/>
    <n v="60"/>
    <n v="134328.95999999999"/>
    <n v="12000"/>
    <n v="0"/>
    <n v="122328.95999999999"/>
  </r>
  <r>
    <s v="INSTITUTO CONCI CARPINELLA SRL"/>
    <n v="30589770842"/>
    <s v="00038-00004159"/>
    <s v="28/02/2026"/>
    <d v="2026-02-01T00:00:00"/>
    <x v="1"/>
    <x v="3"/>
    <n v="60"/>
    <n v="804303.79"/>
    <n v="0"/>
    <n v="0"/>
    <n v="804303.79"/>
  </r>
  <r>
    <s v="INSTITUTO CONCI CARPINELLA SRL"/>
    <n v="30589770842"/>
    <s v="00034-00061397"/>
    <d v="2026-02-28T00:00:00"/>
    <d v="2026-02-01T00:00:00"/>
    <x v="1"/>
    <x v="3"/>
    <n v="60"/>
    <n v="237725.46"/>
    <n v="0"/>
    <n v="0"/>
    <n v="237725.46"/>
  </r>
  <r>
    <s v="INSTITUTO CONCI CARPINELLA SRL"/>
    <n v="30589770842"/>
    <s v="00034-00061327"/>
    <s v="28/02/2026"/>
    <d v="2026-02-01T00:00:00"/>
    <x v="1"/>
    <x v="3"/>
    <n v="60"/>
    <n v="1060212.97"/>
    <n v="0"/>
    <n v="0"/>
    <n v="1060212.97"/>
  </r>
  <r>
    <s v="INSTITUTO CONCI CARPINELLA SRL"/>
    <n v="30589770842"/>
    <s v="00038-00004136"/>
    <s v="28/02/2026"/>
    <d v="2026-02-01T00:00:00"/>
    <x v="1"/>
    <x v="3"/>
    <n v="60"/>
    <n v="21911.5"/>
    <n v="0"/>
    <n v="0"/>
    <n v="21911.5"/>
  </r>
  <r>
    <s v="INSTITUTO CONCI CARPINELLA SRL"/>
    <n v="30589770842"/>
    <s v="00034-00061328"/>
    <s v="28/02/2026"/>
    <d v="2026-02-01T00:00:00"/>
    <x v="1"/>
    <x v="2"/>
    <n v="60"/>
    <n v="740992"/>
    <n v="0"/>
    <n v="0"/>
    <n v="740992"/>
  </r>
  <r>
    <s v="INSTITUTO CONCI CARPINELLA SRL"/>
    <n v="30589770842"/>
    <s v="00038-00004137"/>
    <s v="28/02/2026"/>
    <d v="2026-02-01T00:00:00"/>
    <x v="1"/>
    <x v="1"/>
    <n v="60"/>
    <n v="9911.5"/>
    <n v="0"/>
    <n v="0"/>
    <n v="9911.5"/>
  </r>
  <r>
    <s v="INSTITUTO CONCI CARPINELLA SRL"/>
    <n v="30589770842"/>
    <s v="00038-00004152"/>
    <s v="28/02/2026"/>
    <d v="2026-02-01T00:00:00"/>
    <x v="1"/>
    <x v="1"/>
    <n v="60"/>
    <n v="348723.11"/>
    <n v="0"/>
    <n v="0"/>
    <n v="348723.11"/>
  </r>
  <r>
    <s v="INSTITUTO CONCI CARPINELLA SRL"/>
    <n v="30589770842"/>
    <s v="00038-00004207"/>
    <s v="28/02/2026"/>
    <d v="2026-02-01T00:00:00"/>
    <x v="1"/>
    <x v="1"/>
    <n v="60"/>
    <n v="43460"/>
    <n v="0"/>
    <n v="0"/>
    <n v="43460"/>
  </r>
  <r>
    <s v="INSTITUTO CONCI CARPINELLA SRL"/>
    <n v="30589770842"/>
    <s v="00038-00004154"/>
    <s v="28/02/2026"/>
    <d v="2026-02-01T00:00:00"/>
    <x v="1"/>
    <x v="0"/>
    <n v="60"/>
    <n v="26780"/>
    <n v="0"/>
    <n v="0"/>
    <n v="26780"/>
  </r>
  <r>
    <s v="INSTITUTO CONCI CARPINELLA SRL"/>
    <n v="30589770842"/>
    <s v="00034-00061377"/>
    <s v="28/02/2026"/>
    <d v="2026-02-01T00:00:00"/>
    <x v="1"/>
    <x v="3"/>
    <n v="60"/>
    <n v="382660.61"/>
    <n v="0"/>
    <n v="0"/>
    <n v="382660.61"/>
  </r>
  <r>
    <s v="INSTITUTO CONCI CARPINELLA SRL"/>
    <n v="30589770842"/>
    <s v="00034-00061325"/>
    <s v="28/02/2026"/>
    <d v="2026-02-01T00:00:00"/>
    <x v="1"/>
    <x v="1"/>
    <n v="60"/>
    <n v="2541207.48"/>
    <n v="24000"/>
    <n v="0"/>
    <n v="2517207.48"/>
  </r>
  <r>
    <s v="INSTITUTO CONCI CARPINELLA SRL"/>
    <n v="30589770842"/>
    <s v="00038-00004208"/>
    <s v="28/02/2026"/>
    <d v="2026-02-01T00:00:00"/>
    <x v="1"/>
    <x v="1"/>
    <n v="60"/>
    <n v="267231.98"/>
    <n v="2690"/>
    <n v="0"/>
    <n v="264541.98"/>
  </r>
  <r>
    <s v="INSTITUTO CONCI CARPINELLA SRL"/>
    <n v="30589770842"/>
    <s v="00038-00004229"/>
    <s v="28/02/2026"/>
    <d v="2026-02-01T00:00:00"/>
    <x v="1"/>
    <x v="2"/>
    <n v="60"/>
    <n v="104357.8"/>
    <n v="0"/>
    <n v="0"/>
    <n v="104357.8"/>
  </r>
  <r>
    <s v="INSTITUTO CONCI CARPINELLA SRL"/>
    <n v="30589770842"/>
    <s v="00034-00061391"/>
    <s v="28/02/2026"/>
    <d v="2026-02-01T00:00:00"/>
    <x v="1"/>
    <x v="3"/>
    <n v="60"/>
    <n v="493759"/>
    <n v="0"/>
    <n v="0"/>
    <n v="493759"/>
  </r>
  <r>
    <s v="INSTITUTO CONCI CARPINELLA SRL"/>
    <n v="30589770842"/>
    <s v="00034-00061378"/>
    <s v="28/02/2026"/>
    <d v="2026-02-01T00:00:00"/>
    <x v="1"/>
    <x v="1"/>
    <n v="60"/>
    <n v="351095.23"/>
    <n v="0"/>
    <n v="0"/>
    <n v="351095.23"/>
  </r>
  <r>
    <s v="INSTITUTO CONCI CARPINELLA SRL"/>
    <n v="30589770842"/>
    <s v="00034-00061379"/>
    <s v="28/02/2026"/>
    <d v="2026-02-01T00:00:00"/>
    <x v="1"/>
    <x v="2"/>
    <n v="60"/>
    <n v="555979.76"/>
    <n v="0"/>
    <n v="0"/>
    <n v="555979.76"/>
  </r>
  <r>
    <s v="INSTITUTO CONCI CARPINELLA SRL"/>
    <n v="30589770842"/>
    <s v="00038-00004213"/>
    <s v="28/02/2026"/>
    <d v="2026-02-01T00:00:00"/>
    <x v="1"/>
    <x v="2"/>
    <n v="60"/>
    <n v="335272.56"/>
    <n v="41844.78"/>
    <n v="0"/>
    <n v="293427.78000000003"/>
  </r>
  <r>
    <s v="INSTITUTO CONCI CARPINELLA SRL"/>
    <n v="30589770842"/>
    <s v="00038-00004227"/>
    <s v="28/02/2026"/>
    <d v="2026-02-01T00:00:00"/>
    <x v="1"/>
    <x v="3"/>
    <n v="60"/>
    <n v="2475805.44"/>
    <n v="20132"/>
    <n v="0"/>
    <n v="2455673.44"/>
  </r>
  <r>
    <s v="INSTITUTO CONCI CARPINELLA SRL"/>
    <n v="30589770842"/>
    <s v="00038-00004228"/>
    <s v="28/02/2026"/>
    <d v="2026-02-01T00:00:00"/>
    <x v="1"/>
    <x v="1"/>
    <n v="60"/>
    <n v="681352.06"/>
    <n v="29600"/>
    <n v="0"/>
    <n v="651752.06000000006"/>
  </r>
  <r>
    <s v="INSTITUTO PRIVADO DE NEONATOLOGIA Y PEDIATRIA S.A."/>
    <n v="30659560093"/>
    <s v="00300-00016290"/>
    <s v="05/03/2026"/>
    <d v="2026-02-01T00:00:00"/>
    <x v="1"/>
    <x v="3"/>
    <n v="45"/>
    <n v="138804"/>
    <n v="0"/>
    <n v="0"/>
    <n v="138804"/>
  </r>
  <r>
    <s v="INSTITUTO PRIVADO DE NEONATOLOGIA Y PEDIATRIA S.A."/>
    <n v="30659560093"/>
    <s v="00500-00043219"/>
    <s v="05/03/2026"/>
    <d v="2026-02-01T00:00:00"/>
    <x v="1"/>
    <x v="1"/>
    <n v="45"/>
    <n v="41438"/>
    <n v="0"/>
    <n v="0"/>
    <n v="41438"/>
  </r>
  <r>
    <s v="INSTITUTO PRIVADO DE NEONATOLOGIA Y PEDIATRIA S.A."/>
    <n v="30659560093"/>
    <s v="00500-00043216"/>
    <s v="05/03/2026"/>
    <d v="2026-02-01T00:00:00"/>
    <x v="1"/>
    <x v="3"/>
    <n v="45"/>
    <n v="469285"/>
    <n v="0"/>
    <n v="0"/>
    <n v="469285"/>
  </r>
  <r>
    <s v="INSTITUTO PRIVADO DE NEONATOLOGIA Y PEDIATRIA S.A."/>
    <n v="30659560093"/>
    <s v="00500-00043223"/>
    <s v="05/03/2026"/>
    <d v="2026-02-01T00:00:00"/>
    <x v="1"/>
    <x v="3"/>
    <n v="45"/>
    <n v="390498"/>
    <n v="0"/>
    <n v="0"/>
    <n v="390498"/>
  </r>
  <r>
    <s v="INSTITUTO PRIVADO DE NEONATOLOGIA Y PEDIATRIA S.A."/>
    <n v="30659560093"/>
    <s v="00300-00016293"/>
    <s v="05/03/2026"/>
    <d v="2026-02-01T00:00:00"/>
    <x v="1"/>
    <x v="3"/>
    <n v="45"/>
    <n v="103167"/>
    <n v="10863.8"/>
    <n v="0"/>
    <n v="92303.2"/>
  </r>
  <r>
    <s v="INSTITUTO PRIVADO DE RADIOTERAPIA S A"/>
    <n v="30606141579"/>
    <s v="00004-00003633"/>
    <s v="04/03/2026"/>
    <d v="2026-02-01T00:00:00"/>
    <x v="1"/>
    <x v="1"/>
    <n v="45"/>
    <n v="4326000"/>
    <n v="0"/>
    <n v="0"/>
    <n v="4326000"/>
  </r>
  <r>
    <s v="LECOUSER S.A."/>
    <n v="33717029009"/>
    <s v="00001-00000885"/>
    <s v="06/03/2026"/>
    <d v="2026-02-01T00:00:00"/>
    <x v="1"/>
    <x v="1"/>
    <n v="60"/>
    <n v="70000"/>
    <n v="10740"/>
    <n v="0"/>
    <n v="59260"/>
  </r>
  <r>
    <s v="NEUROTEAM S.A.S."/>
    <n v="30716824809"/>
    <s v="0001-00001092"/>
    <d v="2026-03-10T00:00:00"/>
    <d v="2026-02-01T00:00:00"/>
    <x v="3"/>
    <x v="3"/>
    <n v="90"/>
    <n v="4000000"/>
    <n v="0"/>
    <n v="0"/>
    <n v="4000000"/>
  </r>
  <r>
    <s v="PARQUE SALUD S A"/>
    <n v="30677558888"/>
    <s v="00150-00010955"/>
    <s v="04/03/2026"/>
    <d v="2026-02-01T00:00:00"/>
    <x v="1"/>
    <x v="3"/>
    <n v="60"/>
    <n v="200400"/>
    <n v="33400"/>
    <n v="0"/>
    <n v="167000"/>
  </r>
  <r>
    <s v="POLICLINICO PRIVADO SAN LUCAS S A"/>
    <n v="30580553040"/>
    <s v="00110-00021778"/>
    <s v="04/03/2026"/>
    <d v="2026-02-01T00:00:00"/>
    <x v="1"/>
    <x v="3"/>
    <n v="45"/>
    <n v="244225.71"/>
    <n v="0"/>
    <n v="0"/>
    <n v="244225.71"/>
  </r>
  <r>
    <s v="POLICLINICO PRIVADO SAN LUCAS S A"/>
    <n v="30580553040"/>
    <s v="00110-00021779"/>
    <s v="04/03/2026"/>
    <d v="2026-02-01T00:00:00"/>
    <x v="1"/>
    <x v="1"/>
    <n v="45"/>
    <n v="14119.33"/>
    <n v="0"/>
    <n v="0"/>
    <n v="14119.33"/>
  </r>
  <r>
    <s v="POLICLINICO PRIVADO SAN LUCAS S A"/>
    <n v="30580553040"/>
    <s v="00110-00000356"/>
    <d v="2026-01-23T00:00:00"/>
    <d v="2026-02-01T00:00:00"/>
    <x v="8"/>
    <x v="3"/>
    <n v="45"/>
    <n v="55292.99"/>
    <n v="0"/>
    <n v="0"/>
    <n v="55292.99"/>
  </r>
  <r>
    <s v="PROMET SRL"/>
    <n v="30708276878"/>
    <d v="2056-08-01T00:00:00"/>
    <d v="2026-03-11T00:00:00"/>
    <d v="2026-02-01T00:00:00"/>
    <x v="1"/>
    <x v="1"/>
    <n v="30"/>
    <n v="1056408"/>
    <n v="1056408"/>
    <n v="0"/>
    <n v="0"/>
  </r>
  <r>
    <s v="RESONANCIA MAGNETICA SRL"/>
    <n v="30694300487"/>
    <s v="00006-00000099"/>
    <s v="28/02/2026"/>
    <d v="2026-02-01T00:00:00"/>
    <x v="1"/>
    <x v="3"/>
    <n v="60"/>
    <n v="748538.44"/>
    <n v="213934.5"/>
    <n v="0"/>
    <n v="534603.93999999994"/>
  </r>
  <r>
    <s v="REYLES S.A."/>
    <n v="30708497629"/>
    <s v="00010-00003723"/>
    <s v="03/03/2026"/>
    <d v="2026-02-01T00:00:00"/>
    <x v="1"/>
    <x v="2"/>
    <n v="60"/>
    <n v="34963.78"/>
    <n v="0"/>
    <n v="0"/>
    <n v="34963.78"/>
  </r>
  <r>
    <s v="REYLES S.A."/>
    <n v="30708497629"/>
    <s v="00010-00003726"/>
    <s v="04/03/2026"/>
    <d v="2026-02-01T00:00:00"/>
    <x v="1"/>
    <x v="1"/>
    <n v="60"/>
    <n v="8802.07"/>
    <n v="0"/>
    <n v="0"/>
    <n v="8802.07"/>
  </r>
  <r>
    <s v="SAN FRANCISCO SALUD-CONSORCIO DE COOPERACION"/>
    <n v="30709956880"/>
    <s v="00004-00004508"/>
    <d v="2026-02-11T00:00:00"/>
    <d v="2026-01-01T00:00:00"/>
    <x v="3"/>
    <x v="3"/>
    <n v="45"/>
    <n v="6097795.8200000003"/>
    <n v="545610.19999999995"/>
    <n v="117867.47"/>
    <n v="5434318.1500000004"/>
  </r>
  <r>
    <s v="SAN FRANCISCO SALUD-CONSORCIO DE COOPERACION"/>
    <n v="30709956880"/>
    <d v="4741-04-01T00:00:00"/>
    <d v="2026-03-13T00:00:00"/>
    <d v="2026-02-01T00:00:00"/>
    <x v="3"/>
    <x v="2"/>
    <n v="45"/>
    <n v="1471134.97"/>
    <n v="365905.76"/>
    <n v="0"/>
    <n v="1105229.21"/>
  </r>
  <r>
    <s v="SAN FRANCISCO SALUD-CONSORCIO DE COOPERACION"/>
    <n v="30709956880"/>
    <d v="4837-04-01T00:00:00"/>
    <d v="2026-03-13T00:00:00"/>
    <d v="2026-02-01T00:00:00"/>
    <x v="3"/>
    <x v="3"/>
    <n v="45"/>
    <n v="2140392.9900000002"/>
    <n v="363354.38"/>
    <n v="0"/>
    <n v="1777038.6100000003"/>
  </r>
  <r>
    <s v="SAN FRANCISCO SALUD-CONSORCIO DE COOPERACION"/>
    <n v="30709956880"/>
    <s v="00003-00051764"/>
    <d v="2026-02-11T00:00:00"/>
    <d v="2026-01-01T00:00:00"/>
    <x v="1"/>
    <x v="3"/>
    <n v="45"/>
    <n v="1190238.48"/>
    <n v="129921.21"/>
    <n v="0"/>
    <n v="1060317.27"/>
  </r>
  <r>
    <s v="SAN FRANCISCO SALUD-CONSORCIO DE COOPERACION"/>
    <n v="30709956880"/>
    <s v="00004-00004507"/>
    <d v="2026-02-11T00:00:00"/>
    <d v="2026-01-01T00:00:00"/>
    <x v="3"/>
    <x v="2"/>
    <n v="45"/>
    <n v="1637791.99"/>
    <n v="364320.27"/>
    <n v="0"/>
    <n v="1273471.72"/>
  </r>
  <r>
    <s v="SAN FRANCISCO SALUD-CONSORCIO DE COOPERACION"/>
    <n v="30709956880"/>
    <s v="00003-00051763"/>
    <d v="2026-02-11T00:00:00"/>
    <d v="2026-01-01T00:00:00"/>
    <x v="1"/>
    <x v="2"/>
    <n v="45"/>
    <n v="2791268.43"/>
    <n v="51645.15"/>
    <n v="0"/>
    <n v="2739623.2800000003"/>
  </r>
  <r>
    <s v="SAN FRANCISCO SALUD-CONSORCIO DE COOPERACION"/>
    <n v="30709956880"/>
    <s v="3-52846"/>
    <d v="2026-03-13T00:00:00"/>
    <d v="2026-02-01T00:00:00"/>
    <x v="1"/>
    <x v="2"/>
    <n v="45"/>
    <n v="538004.81000000006"/>
    <n v="0"/>
    <n v="0"/>
    <n v="538004.81000000006"/>
  </r>
  <r>
    <s v="SAN FRANCISCO SALUD-CONSORCIO DE COOPERACION"/>
    <n v="30709956880"/>
    <s v="3-53175"/>
    <d v="2026-03-13T00:00:00"/>
    <d v="2026-02-01T00:00:00"/>
    <x v="1"/>
    <x v="3"/>
    <n v="45"/>
    <n v="1304701.43"/>
    <n v="163500.09"/>
    <n v="0"/>
    <n v="1141201.3399999999"/>
  </r>
  <r>
    <s v="SANATORIO DEL SALVADOR PRIVADO SA"/>
    <n v="30689767946"/>
    <s v="00011-00022820"/>
    <s v="28/02/2026"/>
    <d v="2026-02-01T00:00:00"/>
    <x v="1"/>
    <x v="2"/>
    <n v="45"/>
    <n v="1486142.73"/>
    <n v="82208.7"/>
    <n v="0"/>
    <n v="1403934.03"/>
  </r>
  <r>
    <s v="SANATORIO DEL SALVADOR PRIVADO SA"/>
    <n v="30689767946"/>
    <s v="00011-00022834"/>
    <s v="28/02/2026"/>
    <d v="2026-02-01T00:00:00"/>
    <x v="1"/>
    <x v="3"/>
    <n v="45"/>
    <n v="1116038.3700000001"/>
    <n v="6285.57"/>
    <n v="0"/>
    <n v="1109752.8"/>
  </r>
  <r>
    <s v="SANATORIO DEL SALVADOR PRIVADO SA"/>
    <n v="30689767946"/>
    <s v="00011-00023994"/>
    <s v="28/02/2026"/>
    <d v="2026-02-01T00:00:00"/>
    <x v="1"/>
    <x v="7"/>
    <n v="45"/>
    <n v="1125506.23"/>
    <n v="200996.86"/>
    <n v="0"/>
    <n v="924509.37"/>
  </r>
  <r>
    <s v="SANATORIO DEL SALVADOR PRIVADO SA"/>
    <n v="30689767946"/>
    <s v="00011-00022684"/>
    <s v="28/02/2026"/>
    <d v="2026-02-01T00:00:00"/>
    <x v="3"/>
    <x v="2"/>
    <n v="45"/>
    <n v="985431.88"/>
    <n v="0"/>
    <n v="0"/>
    <n v="985431.88"/>
  </r>
  <r>
    <s v="SANATORIO DEL SALVADOR PRIVADO SA"/>
    <n v="30689767946"/>
    <s v="00011-00022685"/>
    <s v="28/02/2026"/>
    <d v="2026-02-01T00:00:00"/>
    <x v="3"/>
    <x v="2"/>
    <n v="45"/>
    <n v="180647.37"/>
    <n v="180647.37"/>
    <n v="0"/>
    <n v="0"/>
  </r>
  <r>
    <s v="SANATORIO MORRA S.A. "/>
    <n v="30545879138"/>
    <s v="00010-00004677"/>
    <d v="2026-03-06T00:00:00"/>
    <d v="2026-02-01T00:00:00"/>
    <x v="1"/>
    <x v="7"/>
    <n v="60"/>
    <n v="747174.17"/>
    <n v="0"/>
    <n v="0"/>
    <n v="747174.17"/>
  </r>
  <r>
    <s v="SANATORIO MORRA S.A. "/>
    <n v="30545879138"/>
    <s v="00010-00004647"/>
    <d v="2026-03-03T00:00:00"/>
    <d v="2026-02-01T00:00:00"/>
    <x v="1"/>
    <x v="2"/>
    <n v="60"/>
    <n v="27483.47"/>
    <n v="0"/>
    <n v="0"/>
    <n v="27483.47"/>
  </r>
  <r>
    <s v="SANATORIO MORRA S.A. "/>
    <n v="30545879138"/>
    <s v="00010-00004646"/>
    <d v="2026-03-03T00:00:00"/>
    <d v="2026-02-01T00:00:00"/>
    <x v="6"/>
    <x v="7"/>
    <n v="60"/>
    <n v="26300"/>
    <n v="0"/>
    <n v="0"/>
    <n v="26300"/>
  </r>
  <r>
    <s v="SANATORIO PARQUE   S A"/>
    <n v="30562336237"/>
    <s v="00005-00009530"/>
    <s v="05/03/2026"/>
    <d v="2026-02-01T00:00:00"/>
    <x v="1"/>
    <x v="3"/>
    <n v="60"/>
    <n v="18540"/>
    <n v="0"/>
    <n v="0"/>
    <n v="18540"/>
  </r>
  <r>
    <s v="SCM MEDICAS S.A."/>
    <n v="30715227696"/>
    <s v="00003-00005587"/>
    <s v="09/03/2026"/>
    <d v="2026-02-01T00:00:00"/>
    <x v="1"/>
    <x v="2"/>
    <n v="60"/>
    <n v="92000"/>
    <n v="0"/>
    <n v="0"/>
    <n v="92000"/>
  </r>
  <r>
    <s v="SCM MEDICAS S.A."/>
    <n v="30715227696"/>
    <s v="00003-00005588"/>
    <s v="09/03/2026"/>
    <d v="2026-02-01T00:00:00"/>
    <x v="1"/>
    <x v="3"/>
    <n v="60"/>
    <n v="271240"/>
    <n v="0"/>
    <n v="0"/>
    <n v="271240"/>
  </r>
  <r>
    <s v="SERVICIOS MEDICOS S R L"/>
    <n v="30645189988"/>
    <s v="00017-00012995"/>
    <s v="05/03/2026"/>
    <d v="2026-02-01T00:00:00"/>
    <x v="1"/>
    <x v="3"/>
    <n v="60"/>
    <n v="1556101.71"/>
    <n v="0"/>
    <n v="0"/>
    <n v="1556101.71"/>
  </r>
  <r>
    <s v="SERVICIOS MEDICOS S R L"/>
    <n v="30645189988"/>
    <s v="00017-00012996"/>
    <s v="05/03/2026"/>
    <d v="2026-02-01T00:00:00"/>
    <x v="1"/>
    <x v="2"/>
    <n v="60"/>
    <n v="42200.58"/>
    <n v="0"/>
    <n v="0"/>
    <n v="42200.58"/>
  </r>
  <r>
    <s v="SERVICIOS MEDICOS S R L"/>
    <n v="30645189988"/>
    <s v="00042-00000020"/>
    <s v="05/03/2026"/>
    <d v="2026-02-01T00:00:00"/>
    <x v="3"/>
    <x v="3"/>
    <n v="60"/>
    <n v="9980886.1600000001"/>
    <n v="0"/>
    <n v="1112774.19"/>
    <n v="8868111.9700000007"/>
  </r>
  <r>
    <s v="SERVICIOS MEDICOS S R L"/>
    <n v="30645189988"/>
    <s v="00016-00009777"/>
    <s v="05/03/2026"/>
    <d v="2026-02-01T00:00:00"/>
    <x v="3"/>
    <x v="3"/>
    <n v="60"/>
    <n v="22379135.710000001"/>
    <n v="0"/>
    <n v="1058837.7"/>
    <n v="21320298.010000002"/>
  </r>
  <r>
    <s v="SERVICIOS MEDICOS S R L"/>
    <n v="30645189988"/>
    <s v="00016-00009778"/>
    <s v="05/03/2026"/>
    <d v="2026-02-01T00:00:00"/>
    <x v="3"/>
    <x v="3"/>
    <n v="60"/>
    <n v="8492271.1300000008"/>
    <n v="0"/>
    <n v="1006938.4"/>
    <n v="7485332.7300000004"/>
  </r>
  <r>
    <s v="SERVICIOS MEDICOS S R L"/>
    <n v="30645189988"/>
    <s v="00042-00000019"/>
    <s v="05/03/2026"/>
    <d v="2026-02-01T00:00:00"/>
    <x v="3"/>
    <x v="0"/>
    <n v="60"/>
    <n v="2335686.7000000002"/>
    <n v="0"/>
    <n v="141897.88"/>
    <n v="2193788.8200000003"/>
  </r>
  <r>
    <s v="SERVICIOS MEDICOS S R L"/>
    <n v="30645189988"/>
    <s v="00029-00003500"/>
    <s v="06/03/2026"/>
    <d v="2026-02-01T00:00:00"/>
    <x v="1"/>
    <x v="3"/>
    <n v="60"/>
    <n v="163284.22"/>
    <n v="0"/>
    <n v="0"/>
    <n v="163284.22"/>
  </r>
  <r>
    <s v="SERVICIOS MEDICOS S R L"/>
    <n v="30645189988"/>
    <s v="00042-00000025"/>
    <s v="06/03/2026"/>
    <d v="2026-02-01T00:00:00"/>
    <x v="3"/>
    <x v="3"/>
    <n v="60"/>
    <n v="3641129.51"/>
    <n v="0"/>
    <n v="299540.11"/>
    <n v="3341589.4"/>
  </r>
  <r>
    <s v="SOCIEDAD DE BENEFICENCIA HOSPITAL ITALIANO"/>
    <n v="30545894528"/>
    <s v="00024-00022738"/>
    <s v="04/03/2026"/>
    <d v="2026-02-01T00:00:00"/>
    <x v="3"/>
    <x v="2"/>
    <n v="60"/>
    <n v="6618190.0700000003"/>
    <n v="0"/>
    <n v="233965.78"/>
    <n v="6384224.29"/>
  </r>
  <r>
    <s v="SOCIEDAD DE BENEFICENCIA HOSPITAL ITALIANO"/>
    <n v="30545894528"/>
    <s v="00024-00022739"/>
    <s v="04/03/2026"/>
    <d v="2026-02-01T00:00:00"/>
    <x v="3"/>
    <x v="2"/>
    <n v="60"/>
    <n v="1951325.4"/>
    <n v="0"/>
    <n v="0"/>
    <n v="1951325.4"/>
  </r>
  <r>
    <s v="SOCIEDAD DE BENEFICENCIA HOSPITAL ITALIANO"/>
    <n v="30545894528"/>
    <s v="00024-00022841"/>
    <s v="09/03/2026"/>
    <d v="2026-02-01T00:00:00"/>
    <x v="3"/>
    <x v="3"/>
    <n v="60"/>
    <n v="1950592.16"/>
    <n v="0"/>
    <n v="233551.53"/>
    <n v="1717040.63"/>
  </r>
  <r>
    <s v="SOCIEDAD DE BENEFICENCIA HOSPITAL ITALIANO"/>
    <n v="30545894528"/>
    <s v="00024-00022843"/>
    <s v="09/03/2026"/>
    <d v="2026-02-01T00:00:00"/>
    <x v="3"/>
    <x v="3"/>
    <n v="60"/>
    <n v="1896558.83"/>
    <n v="0"/>
    <n v="198175"/>
    <n v="1698383.83"/>
  </r>
  <r>
    <s v="SOCIEDAD DE BENEFICENCIA HOSPITAL ITALIANO"/>
    <n v="30545894528"/>
    <s v="00024-00022845"/>
    <s v="09/03/2026"/>
    <d v="2026-02-01T00:00:00"/>
    <x v="3"/>
    <x v="3"/>
    <n v="60"/>
    <n v="7381194.7699999996"/>
    <n v="0"/>
    <n v="283135.73"/>
    <n v="7098059.0399999991"/>
  </r>
  <r>
    <s v="SOCIEDAD DE BENEFICENCIA HOSPITAL ITALIANO"/>
    <n v="30545894528"/>
    <s v="00024-00022831"/>
    <s v="09/03/2026"/>
    <d v="2026-02-01T00:00:00"/>
    <x v="1"/>
    <x v="1"/>
    <n v="60"/>
    <n v="8802.07"/>
    <n v="0"/>
    <n v="0"/>
    <n v="8802.07"/>
  </r>
  <r>
    <s v="SOCIEDAD DE BENEFICENCIA HOSPITAL ITALIANO"/>
    <n v="30545894528"/>
    <s v="00024-00022858"/>
    <s v="10/03/2026"/>
    <d v="2026-02-01T00:00:00"/>
    <x v="1"/>
    <x v="2"/>
    <n v="60"/>
    <n v="457834.12"/>
    <n v="63716.85"/>
    <n v="0"/>
    <n v="394117.27"/>
  </r>
  <r>
    <s v="SOCIEDAD DE BENEFICENCIA HOSPITAL ITALIANO"/>
    <n v="30545894528"/>
    <s v="00024-00022872"/>
    <s v="10/03/2026"/>
    <d v="2026-02-01T00:00:00"/>
    <x v="3"/>
    <x v="3"/>
    <n v="60"/>
    <n v="22904180.379999999"/>
    <n v="0"/>
    <n v="839329.63"/>
    <n v="22064850.75"/>
  </r>
  <r>
    <s v="SOLBO S.A.S."/>
    <n v="30716784386"/>
    <s v="00001-00000440"/>
    <s v="08/03/2026"/>
    <d v="2026-02-01T00:00:00"/>
    <x v="1"/>
    <x v="1"/>
    <n v="60"/>
    <n v="51800"/>
    <n v="0"/>
    <n v="0"/>
    <n v="51800"/>
  </r>
  <r>
    <s v="SOLBO S.A.S."/>
    <n v="30716784386"/>
    <s v="00001-00000443"/>
    <s v="09/03/2026"/>
    <d v="2026-02-01T00:00:00"/>
    <x v="1"/>
    <x v="3"/>
    <n v="60"/>
    <n v="555173.54"/>
    <n v="0"/>
    <n v="0"/>
    <n v="555173.54"/>
  </r>
  <r>
    <s v="SOLBO S.A.S."/>
    <n v="30716784386"/>
    <s v="00001-00000444"/>
    <s v="09/03/2026"/>
    <d v="2026-02-01T00:00:00"/>
    <x v="1"/>
    <x v="2"/>
    <n v="60"/>
    <n v="244111.34"/>
    <n v="0"/>
    <n v="0"/>
    <n v="244111.34"/>
  </r>
  <r>
    <s v="SOP S R L"/>
    <n v="30681218285"/>
    <s v="00009-00011175"/>
    <s v="09/03/2026"/>
    <d v="2026-03-01T00:00:00"/>
    <x v="7"/>
    <x v="3"/>
    <n v="30"/>
    <n v="2108250"/>
    <n v="0"/>
    <n v="0"/>
    <n v="2108250"/>
  </r>
  <r>
    <s v="UNIDAD DIGESTIVA BAISTROCCHI S.R.L."/>
    <n v="30711999074"/>
    <s v="00003-00001989"/>
    <s v="06/03/2026"/>
    <d v="2026-02-01T00:00:00"/>
    <x v="1"/>
    <x v="2"/>
    <n v="60"/>
    <n v="245500"/>
    <n v="81600"/>
    <n v="0"/>
    <n v="163900"/>
  </r>
  <r>
    <s v="UNIDAD DIGESTIVA BAISTROCCHI S.R.L."/>
    <n v="30711999074"/>
    <s v="00003-00001988"/>
    <s v="06/03/2026"/>
    <d v="2026-02-01T00:00:00"/>
    <x v="1"/>
    <x v="3"/>
    <n v="60"/>
    <n v="689580"/>
    <n v="44800"/>
    <n v="0"/>
    <n v="644780"/>
  </r>
  <r>
    <s v="UNIVERSIDAD NACIONAL DE CORDOBA"/>
    <n v="30546670623"/>
    <d v="4025-04-01T00:00:00"/>
    <d v="2026-03-06T00:00:00"/>
    <d v="2026-02-01T00:00:00"/>
    <x v="1"/>
    <x v="3"/>
    <n v="45"/>
    <n v="35000"/>
    <n v="27500"/>
    <n v="0"/>
    <n v="7500"/>
  </r>
  <r>
    <s v="UROLIT SA"/>
    <n v="30703378222"/>
    <s v="00003-00004633"/>
    <s v="08/03/2026"/>
    <d v="2026-02-01T00:00:00"/>
    <x v="1"/>
    <x v="0"/>
    <n v="60"/>
    <n v="4000"/>
    <n v="0"/>
    <n v="0"/>
    <n v="4000"/>
  </r>
  <r>
    <s v="UROLIT SA"/>
    <n v="30703378222"/>
    <s v="00003-00004630"/>
    <s v="08/03/2026"/>
    <d v="2026-02-01T00:00:00"/>
    <x v="1"/>
    <x v="1"/>
    <n v="60"/>
    <n v="4000"/>
    <n v="0"/>
    <n v="0"/>
    <n v="4000"/>
  </r>
  <r>
    <s v="UROLIT SA"/>
    <n v="30703378222"/>
    <s v="00003-00004631"/>
    <s v="08/03/2026"/>
    <d v="2026-02-01T00:00:00"/>
    <x v="1"/>
    <x v="2"/>
    <n v="60"/>
    <n v="16000"/>
    <n v="0"/>
    <n v="0"/>
    <n v="16000"/>
  </r>
  <r>
    <s v="UROLIT SA"/>
    <n v="30703378222"/>
    <s v="00003-00004632"/>
    <s v="08/03/2026"/>
    <d v="2026-02-01T00:00:00"/>
    <x v="1"/>
    <x v="7"/>
    <n v="60"/>
    <n v="32000"/>
    <n v="0"/>
    <n v="0"/>
    <n v="32000"/>
  </r>
  <r>
    <s v="VISOR PRO S.A.S."/>
    <n v="30716413256"/>
    <s v="00006-00000002"/>
    <d v="2026-03-09T00:00:00"/>
    <d v="2026-02-01T00:00:00"/>
    <x v="1"/>
    <x v="3"/>
    <n v="60"/>
    <n v="88500"/>
    <n v="44600"/>
    <n v="0"/>
    <n v="43900"/>
  </r>
  <r>
    <s v="OMICRON"/>
    <n v="30712443681"/>
    <s v="0010-00010333"/>
    <d v="2026-04-16T00:00:00"/>
    <s v="PROTESIS- GALINDEZ LUIS 30-60-90"/>
    <x v="9"/>
    <x v="3"/>
    <s v="30-60-90"/>
    <n v="2530000"/>
    <n v="0"/>
    <n v="0"/>
    <n v="25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DC44F-6B64-430D-85B8-5533CD0903D5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J15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1"/>
        <item x="7"/>
        <item x="0"/>
        <item m="1" x="10"/>
        <item x="8"/>
        <item x="3"/>
        <item x="9"/>
        <item x="6"/>
        <item x="5"/>
        <item x="2"/>
        <item x="4"/>
        <item t="default"/>
      </items>
    </pivotField>
    <pivotField axis="axisCol" showAll="0">
      <items count="11">
        <item m="1" x="9"/>
        <item m="1" x="8"/>
        <item x="3"/>
        <item x="2"/>
        <item x="1"/>
        <item x="7"/>
        <item x="0"/>
        <item x="4"/>
        <item x="5"/>
        <item x="6"/>
        <item t="default"/>
      </items>
    </pivotField>
    <pivotField showAll="0"/>
    <pivotField numFmtId="164" showAll="0"/>
    <pivotField showAll="0"/>
    <pivotField showAll="0"/>
    <pivotField dataField="1" numFmtId="164" showAll="0"/>
  </pivotFields>
  <rowFields count="1">
    <field x="5"/>
  </rowFields>
  <rowItems count="1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9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a de A PAGAR" fld="11" baseField="0" baseItem="0" numFmtId="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333C8-F5A6-475D-9C26-D9B6C5345CAC}" name="Tabla1" displayName="Tabla1" ref="A1:L208" totalsRowCount="1" headerRowDxfId="29" dataDxfId="28" tableBorderDxfId="27">
  <autoFilter ref="A1:L207" xr:uid="{FF9333C8-F5A6-475D-9C26-D9B6C5345CAC}"/>
  <tableColumns count="12">
    <tableColumn id="1" xr3:uid="{0DA1DEC3-5038-4CF9-B7C5-0BB068116417}" name="PRESTADOR" dataDxfId="26" totalsRowDxfId="25"/>
    <tableColumn id="2" xr3:uid="{437A31FF-2351-4365-8225-F2E23414AC48}" name="CUIT" dataDxfId="24" totalsRowDxfId="23"/>
    <tableColumn id="3" xr3:uid="{097F59D8-A591-4663-8430-948869CD0064}" name="Numero de Factura" dataDxfId="22" totalsRowDxfId="21"/>
    <tableColumn id="4" xr3:uid="{C854F26A-7B0C-4007-B5A7-5E1E2BECA490}" name="Fecha" dataDxfId="20" totalsRowDxfId="19"/>
    <tableColumn id="5" xr3:uid="{58CAD624-FEA5-4A3A-8675-CFF90A94D488}" name="PERIODO-PRESTACION-OS-PLAZO" dataDxfId="18" totalsRowDxfId="17"/>
    <tableColumn id="12" xr3:uid="{507012BB-FA69-440E-A478-05EF476939DF}" name="Clasificacion" dataDxfId="16" totalsRowDxfId="15"/>
    <tableColumn id="14" xr3:uid="{F2A1B52F-CD65-4273-A543-2C35FBEEA55F}" name="Obra Social" dataDxfId="14" totalsRowDxfId="13"/>
    <tableColumn id="11" xr3:uid="{A1338F0B-4870-46F4-8815-1411142CA8DD}" name="Plazo" dataDxfId="12" totalsRowDxfId="11"/>
    <tableColumn id="6" xr3:uid="{9F201FC2-CC6D-4592-9527-1F3ADD44922B}" name="Total Factura" dataDxfId="10" totalsRowDxfId="9"/>
    <tableColumn id="7" xr3:uid="{3F5044D6-F5B0-4F4E-9CA0-13883ADCDB7F}" name="ADMINSITRATIVO" dataDxfId="8" totalsRowDxfId="7"/>
    <tableColumn id="8" xr3:uid="{C2E991D9-8288-4476-9327-83356DA5A5F3}" name="MEDICO" dataDxfId="6" totalsRowDxfId="5"/>
    <tableColumn id="9" xr3:uid="{42A28BDE-500B-422F-A09F-A5521C4E68B0}" name="A PAGAR" totalsRowFunction="sum" dataDxfId="4" totalsRow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7680-3C98-423C-B5FD-385D6BD12E48}">
  <dimension ref="A1:L970"/>
  <sheetViews>
    <sheetView tabSelected="1" zoomScale="85" zoomScaleNormal="85" workbookViewId="0">
      <pane ySplit="1" topLeftCell="A49" activePane="bottomLeft" state="frozen"/>
      <selection pane="bottomLeft" activeCell="A77" sqref="A77"/>
    </sheetView>
  </sheetViews>
  <sheetFormatPr baseColWidth="10" defaultColWidth="12.59765625" defaultRowHeight="15" customHeight="1"/>
  <cols>
    <col min="1" max="1" width="32.09765625" style="49" customWidth="1"/>
    <col min="2" max="2" width="13.59765625" style="49" bestFit="1" customWidth="1"/>
    <col min="3" max="3" width="19.296875" style="49" customWidth="1"/>
    <col min="4" max="4" width="11.296875" style="49" bestFit="1" customWidth="1"/>
    <col min="5" max="5" width="37" style="49" customWidth="1"/>
    <col min="6" max="6" width="25.69921875" style="49" bestFit="1" customWidth="1"/>
    <col min="7" max="7" width="22.296875" style="49" bestFit="1" customWidth="1"/>
    <col min="8" max="8" width="22.296875" style="49" customWidth="1"/>
    <col min="9" max="10" width="19.09765625" style="52" bestFit="1" customWidth="1"/>
    <col min="11" max="11" width="14.59765625" style="52" bestFit="1" customWidth="1"/>
    <col min="12" max="12" width="15.59765625" style="52" bestFit="1" customWidth="1"/>
    <col min="13" max="16384" width="12.59765625" style="21"/>
  </cols>
  <sheetData>
    <row r="1" spans="1:12" ht="13.5" customHeight="1" thickBot="1">
      <c r="A1" s="30" t="s">
        <v>0</v>
      </c>
      <c r="B1" s="31" t="s">
        <v>1</v>
      </c>
      <c r="C1" s="31" t="s">
        <v>2</v>
      </c>
      <c r="D1" s="32" t="s">
        <v>3</v>
      </c>
      <c r="E1" s="30" t="s">
        <v>4</v>
      </c>
      <c r="F1" s="30" t="s">
        <v>310</v>
      </c>
      <c r="G1" s="30" t="s">
        <v>309</v>
      </c>
      <c r="H1" s="30" t="s">
        <v>308</v>
      </c>
      <c r="I1" s="33" t="s">
        <v>5</v>
      </c>
      <c r="J1" s="33" t="s">
        <v>6</v>
      </c>
      <c r="K1" s="33" t="s">
        <v>7</v>
      </c>
      <c r="L1" s="33" t="s">
        <v>8</v>
      </c>
    </row>
    <row r="2" spans="1:12" ht="14.4" thickBot="1">
      <c r="A2" s="1" t="s">
        <v>14</v>
      </c>
      <c r="B2" s="2">
        <v>30708686499</v>
      </c>
      <c r="C2" s="2" t="s">
        <v>15</v>
      </c>
      <c r="D2" s="3">
        <v>46083</v>
      </c>
      <c r="E2" s="23">
        <v>46054</v>
      </c>
      <c r="F2" s="1" t="s">
        <v>293</v>
      </c>
      <c r="G2" s="26" t="s">
        <v>294</v>
      </c>
      <c r="H2" s="26">
        <v>30</v>
      </c>
      <c r="I2" s="4">
        <v>314997.76000000001</v>
      </c>
      <c r="J2" s="4">
        <v>0</v>
      </c>
      <c r="K2" s="4">
        <v>0</v>
      </c>
      <c r="L2" s="4">
        <f t="shared" ref="L2:L46" si="0">I2-J2-K2</f>
        <v>314997.76000000001</v>
      </c>
    </row>
    <row r="3" spans="1:12" ht="14.4" thickBot="1">
      <c r="A3" s="1" t="s">
        <v>14</v>
      </c>
      <c r="B3" s="2">
        <v>30708686499</v>
      </c>
      <c r="C3" s="2" t="s">
        <v>16</v>
      </c>
      <c r="D3" s="3">
        <v>46083</v>
      </c>
      <c r="E3" s="23">
        <v>46054</v>
      </c>
      <c r="F3" s="1" t="s">
        <v>293</v>
      </c>
      <c r="G3" s="1" t="s">
        <v>295</v>
      </c>
      <c r="H3" s="1">
        <v>30</v>
      </c>
      <c r="I3" s="4">
        <v>726056.45</v>
      </c>
      <c r="J3" s="4">
        <v>0</v>
      </c>
      <c r="K3" s="4">
        <v>0</v>
      </c>
      <c r="L3" s="4">
        <f t="shared" si="0"/>
        <v>726056.45</v>
      </c>
    </row>
    <row r="4" spans="1:12" ht="14.4" thickBot="1">
      <c r="A4" s="1" t="s">
        <v>14</v>
      </c>
      <c r="B4" s="2">
        <v>30708686499</v>
      </c>
      <c r="C4" s="2" t="s">
        <v>17</v>
      </c>
      <c r="D4" s="3">
        <v>46083</v>
      </c>
      <c r="E4" s="23">
        <v>46054</v>
      </c>
      <c r="F4" s="1" t="s">
        <v>293</v>
      </c>
      <c r="G4" s="1" t="s">
        <v>296</v>
      </c>
      <c r="H4" s="1">
        <v>30</v>
      </c>
      <c r="I4" s="4">
        <v>2955934.54</v>
      </c>
      <c r="J4" s="4">
        <v>0</v>
      </c>
      <c r="K4" s="4">
        <v>0</v>
      </c>
      <c r="L4" s="4">
        <f t="shared" si="0"/>
        <v>2955934.54</v>
      </c>
    </row>
    <row r="5" spans="1:12" ht="14.4" thickBot="1">
      <c r="A5" s="1" t="s">
        <v>14</v>
      </c>
      <c r="B5" s="2">
        <v>30708686499</v>
      </c>
      <c r="C5" s="2" t="s">
        <v>18</v>
      </c>
      <c r="D5" s="3">
        <v>46083</v>
      </c>
      <c r="E5" s="23">
        <v>46082</v>
      </c>
      <c r="F5" s="1" t="s">
        <v>297</v>
      </c>
      <c r="G5" s="1" t="s">
        <v>298</v>
      </c>
      <c r="H5" s="1">
        <v>30</v>
      </c>
      <c r="I5" s="4">
        <v>14374.8</v>
      </c>
      <c r="J5" s="4">
        <v>0</v>
      </c>
      <c r="K5" s="4">
        <v>0</v>
      </c>
      <c r="L5" s="4">
        <f t="shared" si="0"/>
        <v>14374.8</v>
      </c>
    </row>
    <row r="6" spans="1:12" ht="14.4" thickBot="1">
      <c r="A6" s="1" t="s">
        <v>14</v>
      </c>
      <c r="B6" s="2">
        <v>30708686499</v>
      </c>
      <c r="C6" s="2" t="s">
        <v>31</v>
      </c>
      <c r="D6" s="3">
        <v>46143</v>
      </c>
      <c r="E6" s="23">
        <v>46023</v>
      </c>
      <c r="F6" s="1" t="s">
        <v>297</v>
      </c>
      <c r="G6" s="1" t="s">
        <v>298</v>
      </c>
      <c r="H6" s="1">
        <v>30</v>
      </c>
      <c r="I6" s="4">
        <v>14374.8</v>
      </c>
      <c r="J6" s="4">
        <v>2494.8000000000002</v>
      </c>
      <c r="K6" s="4">
        <v>0</v>
      </c>
      <c r="L6" s="4">
        <f t="shared" si="0"/>
        <v>11880</v>
      </c>
    </row>
    <row r="7" spans="1:12" ht="14.4" thickBot="1">
      <c r="A7" s="34" t="s">
        <v>14</v>
      </c>
      <c r="B7" s="35">
        <v>30708686499</v>
      </c>
      <c r="C7" s="35" t="s">
        <v>32</v>
      </c>
      <c r="D7" s="36">
        <v>46083</v>
      </c>
      <c r="E7" s="37">
        <v>46054</v>
      </c>
      <c r="F7" s="34" t="s">
        <v>299</v>
      </c>
      <c r="G7" s="34" t="s">
        <v>317</v>
      </c>
      <c r="H7" s="34">
        <v>30</v>
      </c>
      <c r="I7" s="38">
        <v>1034649.57</v>
      </c>
      <c r="J7" s="38">
        <v>98600.81</v>
      </c>
      <c r="K7" s="38">
        <v>0</v>
      </c>
      <c r="L7" s="38">
        <f t="shared" si="0"/>
        <v>936048.76</v>
      </c>
    </row>
    <row r="8" spans="1:12" ht="14.4" thickBot="1">
      <c r="A8" s="34" t="s">
        <v>14</v>
      </c>
      <c r="B8" s="35">
        <v>30708686499</v>
      </c>
      <c r="C8" s="35" t="s">
        <v>33</v>
      </c>
      <c r="D8" s="36">
        <v>46083</v>
      </c>
      <c r="E8" s="37">
        <v>46023</v>
      </c>
      <c r="F8" s="34" t="s">
        <v>299</v>
      </c>
      <c r="G8" s="34" t="s">
        <v>298</v>
      </c>
      <c r="H8" s="34">
        <v>30</v>
      </c>
      <c r="I8" s="38">
        <v>2028447.33</v>
      </c>
      <c r="J8" s="38">
        <v>562560.09</v>
      </c>
      <c r="K8" s="38">
        <v>0</v>
      </c>
      <c r="L8" s="38">
        <f t="shared" si="0"/>
        <v>1465887.2400000002</v>
      </c>
    </row>
    <row r="9" spans="1:12" ht="14.4" thickBot="1">
      <c r="A9" s="1" t="s">
        <v>283</v>
      </c>
      <c r="B9" s="2">
        <v>30582058608</v>
      </c>
      <c r="C9" s="5" t="s">
        <v>284</v>
      </c>
      <c r="D9" s="3">
        <v>46087</v>
      </c>
      <c r="E9" s="23">
        <v>46054</v>
      </c>
      <c r="F9" s="1" t="s">
        <v>297</v>
      </c>
      <c r="G9" s="1" t="s">
        <v>296</v>
      </c>
      <c r="H9" s="1">
        <v>30</v>
      </c>
      <c r="I9" s="4">
        <v>2993255.52</v>
      </c>
      <c r="J9" s="4">
        <v>2993255.52</v>
      </c>
      <c r="K9" s="4">
        <v>0</v>
      </c>
      <c r="L9" s="4">
        <f t="shared" si="0"/>
        <v>0</v>
      </c>
    </row>
    <row r="10" spans="1:12" ht="14.4" thickBot="1">
      <c r="A10" s="1" t="s">
        <v>37</v>
      </c>
      <c r="B10" s="2">
        <v>30678724447</v>
      </c>
      <c r="C10" s="2" t="s">
        <v>38</v>
      </c>
      <c r="D10" s="3" t="s">
        <v>9</v>
      </c>
      <c r="E10" s="23">
        <v>46054</v>
      </c>
      <c r="F10" s="1" t="s">
        <v>297</v>
      </c>
      <c r="G10" s="1" t="s">
        <v>295</v>
      </c>
      <c r="H10" s="1">
        <v>45</v>
      </c>
      <c r="I10" s="4">
        <v>113487.37</v>
      </c>
      <c r="J10" s="4">
        <v>8400</v>
      </c>
      <c r="K10" s="4">
        <v>0</v>
      </c>
      <c r="L10" s="4">
        <f t="shared" si="0"/>
        <v>105087.37</v>
      </c>
    </row>
    <row r="11" spans="1:12" ht="14.4" thickBot="1">
      <c r="A11" s="1" t="s">
        <v>37</v>
      </c>
      <c r="B11" s="2">
        <v>30678724447</v>
      </c>
      <c r="C11" s="2" t="s">
        <v>40</v>
      </c>
      <c r="D11" s="3" t="s">
        <v>9</v>
      </c>
      <c r="E11" s="23">
        <v>46054</v>
      </c>
      <c r="F11" s="1" t="s">
        <v>297</v>
      </c>
      <c r="G11" s="1" t="s">
        <v>296</v>
      </c>
      <c r="H11" s="1">
        <v>45</v>
      </c>
      <c r="I11" s="4">
        <v>1296612.8400000001</v>
      </c>
      <c r="J11" s="4">
        <v>518860.75</v>
      </c>
      <c r="K11" s="4">
        <v>0</v>
      </c>
      <c r="L11" s="4">
        <f t="shared" si="0"/>
        <v>777752.09000000008</v>
      </c>
    </row>
    <row r="12" spans="1:12" ht="14.4" thickBot="1">
      <c r="A12" s="1" t="s">
        <v>37</v>
      </c>
      <c r="B12" s="2">
        <v>30678724447</v>
      </c>
      <c r="C12" s="2" t="s">
        <v>44</v>
      </c>
      <c r="D12" s="3" t="s">
        <v>9</v>
      </c>
      <c r="E12" s="23">
        <v>46054</v>
      </c>
      <c r="F12" s="1" t="s">
        <v>297</v>
      </c>
      <c r="G12" s="1" t="s">
        <v>298</v>
      </c>
      <c r="H12" s="1">
        <v>45</v>
      </c>
      <c r="I12" s="4">
        <v>4854948.2</v>
      </c>
      <c r="J12" s="4">
        <v>247299.75</v>
      </c>
      <c r="K12" s="4">
        <v>0</v>
      </c>
      <c r="L12" s="4">
        <f t="shared" si="0"/>
        <v>4607648.45</v>
      </c>
    </row>
    <row r="13" spans="1:12" ht="14.4" thickBot="1">
      <c r="A13" s="1" t="s">
        <v>37</v>
      </c>
      <c r="B13" s="2">
        <v>30678724447</v>
      </c>
      <c r="C13" s="2" t="s">
        <v>45</v>
      </c>
      <c r="D13" s="3">
        <v>46090</v>
      </c>
      <c r="E13" s="23">
        <v>46054</v>
      </c>
      <c r="F13" s="1" t="s">
        <v>297</v>
      </c>
      <c r="G13" s="1" t="s">
        <v>294</v>
      </c>
      <c r="H13" s="1">
        <v>45</v>
      </c>
      <c r="I13" s="4">
        <v>125892.02</v>
      </c>
      <c r="J13" s="4">
        <v>5600</v>
      </c>
      <c r="K13" s="4">
        <v>0</v>
      </c>
      <c r="L13" s="4">
        <f t="shared" si="0"/>
        <v>120292.02</v>
      </c>
    </row>
    <row r="14" spans="1:12" ht="14.4" thickBot="1">
      <c r="A14" s="1" t="s">
        <v>27</v>
      </c>
      <c r="B14" s="2">
        <v>30707403809</v>
      </c>
      <c r="C14" s="2" t="s">
        <v>28</v>
      </c>
      <c r="D14" s="3" t="s">
        <v>29</v>
      </c>
      <c r="E14" s="23">
        <v>46054</v>
      </c>
      <c r="F14" s="1" t="s">
        <v>297</v>
      </c>
      <c r="G14" s="1" t="s">
        <v>296</v>
      </c>
      <c r="H14" s="1">
        <v>45</v>
      </c>
      <c r="I14" s="4">
        <v>15000</v>
      </c>
      <c r="J14" s="4">
        <v>0</v>
      </c>
      <c r="K14" s="4">
        <v>0</v>
      </c>
      <c r="L14" s="4">
        <f t="shared" si="0"/>
        <v>15000</v>
      </c>
    </row>
    <row r="15" spans="1:12" ht="14.4" thickBot="1">
      <c r="A15" s="1" t="s">
        <v>27</v>
      </c>
      <c r="B15" s="2">
        <v>30707403809</v>
      </c>
      <c r="C15" s="2" t="s">
        <v>30</v>
      </c>
      <c r="D15" s="3" t="s">
        <v>29</v>
      </c>
      <c r="E15" s="23">
        <v>46054</v>
      </c>
      <c r="F15" s="1" t="s">
        <v>297</v>
      </c>
      <c r="G15" s="1" t="s">
        <v>298</v>
      </c>
      <c r="H15" s="1">
        <v>45</v>
      </c>
      <c r="I15" s="4">
        <v>22460</v>
      </c>
      <c r="J15" s="4">
        <v>0</v>
      </c>
      <c r="K15" s="4">
        <v>0</v>
      </c>
      <c r="L15" s="4">
        <f t="shared" si="0"/>
        <v>22460</v>
      </c>
    </row>
    <row r="16" spans="1:12" ht="14.4" thickBot="1">
      <c r="A16" s="1" t="s">
        <v>48</v>
      </c>
      <c r="B16" s="2">
        <v>30644610256</v>
      </c>
      <c r="C16" s="2" t="s">
        <v>49</v>
      </c>
      <c r="D16" s="3" t="s">
        <v>9</v>
      </c>
      <c r="E16" s="23">
        <v>46054</v>
      </c>
      <c r="F16" s="1" t="s">
        <v>297</v>
      </c>
      <c r="G16" s="1" t="s">
        <v>298</v>
      </c>
      <c r="H16" s="1">
        <v>45</v>
      </c>
      <c r="I16" s="4">
        <v>25767642</v>
      </c>
      <c r="J16" s="4">
        <v>1687642</v>
      </c>
      <c r="K16" s="4">
        <v>0</v>
      </c>
      <c r="L16" s="4">
        <f t="shared" si="0"/>
        <v>24080000</v>
      </c>
    </row>
    <row r="17" spans="1:12" ht="14.4" thickBot="1">
      <c r="A17" s="1" t="s">
        <v>48</v>
      </c>
      <c r="B17" s="2">
        <v>30644610256</v>
      </c>
      <c r="C17" s="2" t="s">
        <v>53</v>
      </c>
      <c r="D17" s="3">
        <v>46086</v>
      </c>
      <c r="E17" s="23">
        <v>46054</v>
      </c>
      <c r="F17" s="1" t="s">
        <v>297</v>
      </c>
      <c r="G17" s="1" t="s">
        <v>296</v>
      </c>
      <c r="H17" s="1">
        <v>45</v>
      </c>
      <c r="I17" s="4">
        <v>7363524</v>
      </c>
      <c r="J17" s="4">
        <v>3708</v>
      </c>
      <c r="K17" s="4">
        <v>0</v>
      </c>
      <c r="L17" s="4">
        <f t="shared" si="0"/>
        <v>7359816</v>
      </c>
    </row>
    <row r="18" spans="1:12" ht="14.4" thickBot="1">
      <c r="A18" s="1" t="s">
        <v>56</v>
      </c>
      <c r="B18" s="2">
        <v>30709634964</v>
      </c>
      <c r="C18" s="2" t="s">
        <v>57</v>
      </c>
      <c r="D18" s="3" t="s">
        <v>58</v>
      </c>
      <c r="E18" s="23">
        <v>46054</v>
      </c>
      <c r="F18" s="1" t="s">
        <v>297</v>
      </c>
      <c r="G18" s="1" t="s">
        <v>298</v>
      </c>
      <c r="H18" s="1">
        <v>60</v>
      </c>
      <c r="I18" s="4">
        <v>147144</v>
      </c>
      <c r="J18" s="4">
        <v>36536.559999999998</v>
      </c>
      <c r="K18" s="4">
        <v>0</v>
      </c>
      <c r="L18" s="4">
        <f t="shared" si="0"/>
        <v>110607.44</v>
      </c>
    </row>
    <row r="19" spans="1:12" ht="14.4" thickBot="1">
      <c r="A19" s="1" t="s">
        <v>34</v>
      </c>
      <c r="B19" s="2">
        <v>30715649159</v>
      </c>
      <c r="C19" s="2" t="s">
        <v>35</v>
      </c>
      <c r="D19" s="3" t="s">
        <v>10</v>
      </c>
      <c r="E19" s="23">
        <v>46054</v>
      </c>
      <c r="F19" s="1" t="s">
        <v>300</v>
      </c>
      <c r="G19" s="1" t="s">
        <v>296</v>
      </c>
      <c r="H19" s="1">
        <v>60</v>
      </c>
      <c r="I19" s="4">
        <v>700582.15</v>
      </c>
      <c r="J19" s="4">
        <v>0</v>
      </c>
      <c r="K19" s="4">
        <v>0</v>
      </c>
      <c r="L19" s="4">
        <f t="shared" si="0"/>
        <v>700582.15</v>
      </c>
    </row>
    <row r="20" spans="1:12" ht="14.4" thickBot="1">
      <c r="A20" s="1" t="s">
        <v>34</v>
      </c>
      <c r="B20" s="2">
        <v>30715649159</v>
      </c>
      <c r="C20" s="2" t="s">
        <v>36</v>
      </c>
      <c r="D20" s="3" t="s">
        <v>10</v>
      </c>
      <c r="E20" s="23">
        <v>46054</v>
      </c>
      <c r="F20" s="1" t="s">
        <v>300</v>
      </c>
      <c r="G20" s="1" t="s">
        <v>298</v>
      </c>
      <c r="H20" s="1">
        <v>60</v>
      </c>
      <c r="I20" s="4">
        <v>31660582.550000001</v>
      </c>
      <c r="J20" s="4">
        <v>0</v>
      </c>
      <c r="K20" s="4">
        <v>12733255.43</v>
      </c>
      <c r="L20" s="4">
        <f t="shared" si="0"/>
        <v>18927327.120000001</v>
      </c>
    </row>
    <row r="21" spans="1:12" ht="14.4" thickBot="1">
      <c r="A21" s="1" t="s">
        <v>34</v>
      </c>
      <c r="B21" s="2">
        <v>30715649159</v>
      </c>
      <c r="C21" s="2" t="s">
        <v>62</v>
      </c>
      <c r="D21" s="3" t="s">
        <v>10</v>
      </c>
      <c r="E21" s="23">
        <v>46054</v>
      </c>
      <c r="F21" s="1" t="s">
        <v>297</v>
      </c>
      <c r="G21" s="1" t="s">
        <v>295</v>
      </c>
      <c r="H21" s="1">
        <v>30</v>
      </c>
      <c r="I21" s="4">
        <v>116530</v>
      </c>
      <c r="J21" s="4">
        <v>28797</v>
      </c>
      <c r="K21" s="4">
        <v>0</v>
      </c>
      <c r="L21" s="4">
        <f t="shared" si="0"/>
        <v>87733</v>
      </c>
    </row>
    <row r="22" spans="1:12" ht="14.4" thickBot="1">
      <c r="A22" s="1" t="s">
        <v>34</v>
      </c>
      <c r="B22" s="2">
        <v>30715649159</v>
      </c>
      <c r="C22" s="2" t="s">
        <v>67</v>
      </c>
      <c r="D22" s="3" t="s">
        <v>10</v>
      </c>
      <c r="E22" s="23">
        <v>46054</v>
      </c>
      <c r="F22" s="1" t="s">
        <v>297</v>
      </c>
      <c r="G22" s="1" t="s">
        <v>296</v>
      </c>
      <c r="H22" s="1">
        <v>60</v>
      </c>
      <c r="I22" s="4">
        <v>358065</v>
      </c>
      <c r="J22" s="4">
        <v>16400</v>
      </c>
      <c r="K22" s="4">
        <v>0</v>
      </c>
      <c r="L22" s="4">
        <f t="shared" si="0"/>
        <v>341665</v>
      </c>
    </row>
    <row r="23" spans="1:12" ht="14.4" thickBot="1">
      <c r="A23" s="1" t="s">
        <v>34</v>
      </c>
      <c r="B23" s="2">
        <v>30715649159</v>
      </c>
      <c r="C23" s="2" t="s">
        <v>68</v>
      </c>
      <c r="D23" s="3" t="s">
        <v>10</v>
      </c>
      <c r="E23" s="23">
        <v>46054</v>
      </c>
      <c r="F23" s="1" t="s">
        <v>297</v>
      </c>
      <c r="G23" s="1" t="s">
        <v>298</v>
      </c>
      <c r="H23" s="1">
        <v>30</v>
      </c>
      <c r="I23" s="4">
        <v>1213637</v>
      </c>
      <c r="J23" s="4">
        <v>363658</v>
      </c>
      <c r="K23" s="4">
        <v>0</v>
      </c>
      <c r="L23" s="4">
        <f t="shared" si="0"/>
        <v>849979</v>
      </c>
    </row>
    <row r="24" spans="1:12" ht="14.4" thickBot="1">
      <c r="A24" s="39" t="s">
        <v>41</v>
      </c>
      <c r="B24" s="39">
        <v>30714353493</v>
      </c>
      <c r="C24" s="39" t="s">
        <v>42</v>
      </c>
      <c r="D24" s="40">
        <v>46081</v>
      </c>
      <c r="E24" s="41">
        <v>46054</v>
      </c>
      <c r="F24" s="39" t="s">
        <v>297</v>
      </c>
      <c r="G24" s="34" t="s">
        <v>316</v>
      </c>
      <c r="H24" s="39">
        <v>60</v>
      </c>
      <c r="I24" s="38">
        <v>704.33</v>
      </c>
      <c r="J24" s="38">
        <v>0</v>
      </c>
      <c r="K24" s="38">
        <v>0</v>
      </c>
      <c r="L24" s="38">
        <f t="shared" si="0"/>
        <v>704.33</v>
      </c>
    </row>
    <row r="25" spans="1:12" ht="14.4" thickBot="1">
      <c r="A25" s="39" t="s">
        <v>41</v>
      </c>
      <c r="B25" s="39">
        <v>30714353493</v>
      </c>
      <c r="C25" s="39" t="s">
        <v>43</v>
      </c>
      <c r="D25" s="40">
        <v>46081</v>
      </c>
      <c r="E25" s="41">
        <v>46054</v>
      </c>
      <c r="F25" s="39" t="s">
        <v>297</v>
      </c>
      <c r="G25" s="34" t="s">
        <v>295</v>
      </c>
      <c r="H25" s="39">
        <v>60</v>
      </c>
      <c r="I25" s="38">
        <v>13408.66</v>
      </c>
      <c r="J25" s="38">
        <v>0</v>
      </c>
      <c r="K25" s="38">
        <v>0</v>
      </c>
      <c r="L25" s="38">
        <f t="shared" si="0"/>
        <v>13408.66</v>
      </c>
    </row>
    <row r="26" spans="1:12" ht="14.4" thickBot="1">
      <c r="A26" s="39" t="s">
        <v>41</v>
      </c>
      <c r="B26" s="39">
        <v>30714353493</v>
      </c>
      <c r="C26" s="39" t="s">
        <v>95</v>
      </c>
      <c r="D26" s="40">
        <v>46081</v>
      </c>
      <c r="E26" s="41">
        <v>46054</v>
      </c>
      <c r="F26" s="39" t="s">
        <v>297</v>
      </c>
      <c r="G26" s="34" t="s">
        <v>298</v>
      </c>
      <c r="H26" s="39">
        <v>60</v>
      </c>
      <c r="I26" s="38">
        <v>149852.20000000001</v>
      </c>
      <c r="J26" s="38">
        <v>8400</v>
      </c>
      <c r="K26" s="38">
        <v>0</v>
      </c>
      <c r="L26" s="38">
        <f t="shared" si="0"/>
        <v>141452.20000000001</v>
      </c>
    </row>
    <row r="27" spans="1:12" ht="14.4" thickBot="1">
      <c r="A27" s="39" t="s">
        <v>96</v>
      </c>
      <c r="B27" s="39">
        <v>30715347756</v>
      </c>
      <c r="C27" s="39" t="s">
        <v>97</v>
      </c>
      <c r="D27" s="40">
        <v>46086</v>
      </c>
      <c r="E27" s="41">
        <v>46054</v>
      </c>
      <c r="F27" s="39" t="s">
        <v>297</v>
      </c>
      <c r="G27" s="34" t="s">
        <v>296</v>
      </c>
      <c r="H27" s="39">
        <v>60</v>
      </c>
      <c r="I27" s="38">
        <v>325637.55</v>
      </c>
      <c r="J27" s="38">
        <v>63243.7</v>
      </c>
      <c r="K27" s="38">
        <v>0</v>
      </c>
      <c r="L27" s="38">
        <f t="shared" si="0"/>
        <v>262393.84999999998</v>
      </c>
    </row>
    <row r="28" spans="1:12" ht="14.4" thickBot="1">
      <c r="A28" s="1" t="s">
        <v>46</v>
      </c>
      <c r="B28" s="2">
        <v>30669128351</v>
      </c>
      <c r="C28" s="2" t="s">
        <v>47</v>
      </c>
      <c r="D28" s="3" t="s">
        <v>13</v>
      </c>
      <c r="E28" s="23">
        <v>46054</v>
      </c>
      <c r="F28" s="1" t="s">
        <v>297</v>
      </c>
      <c r="G28" s="1" t="s">
        <v>298</v>
      </c>
      <c r="H28" s="1">
        <v>45</v>
      </c>
      <c r="I28" s="4">
        <v>117481</v>
      </c>
      <c r="J28" s="4">
        <v>0</v>
      </c>
      <c r="K28" s="4">
        <v>0</v>
      </c>
      <c r="L28" s="4">
        <f t="shared" si="0"/>
        <v>117481</v>
      </c>
    </row>
    <row r="29" spans="1:12" ht="14.4" thickBot="1">
      <c r="A29" s="1" t="s">
        <v>50</v>
      </c>
      <c r="B29" s="2">
        <v>30715190253</v>
      </c>
      <c r="C29" s="2" t="s">
        <v>51</v>
      </c>
      <c r="D29" s="3" t="s">
        <v>52</v>
      </c>
      <c r="E29" s="23">
        <v>46054</v>
      </c>
      <c r="F29" s="1" t="s">
        <v>297</v>
      </c>
      <c r="G29" s="1" t="s">
        <v>296</v>
      </c>
      <c r="H29" s="1">
        <v>45</v>
      </c>
      <c r="I29" s="4">
        <v>10464</v>
      </c>
      <c r="J29" s="4">
        <v>0</v>
      </c>
      <c r="K29" s="4">
        <v>0</v>
      </c>
      <c r="L29" s="4">
        <f t="shared" si="0"/>
        <v>10464</v>
      </c>
    </row>
    <row r="30" spans="1:12" ht="14.4" thickBot="1">
      <c r="A30" s="1" t="s">
        <v>50</v>
      </c>
      <c r="B30" s="2">
        <v>30715190253</v>
      </c>
      <c r="C30" s="2" t="s">
        <v>98</v>
      </c>
      <c r="D30" s="3" t="s">
        <v>52</v>
      </c>
      <c r="E30" s="23">
        <v>46054</v>
      </c>
      <c r="F30" s="1" t="s">
        <v>297</v>
      </c>
      <c r="G30" s="1" t="s">
        <v>298</v>
      </c>
      <c r="H30" s="1">
        <v>45</v>
      </c>
      <c r="I30" s="4">
        <v>1197987.3799999999</v>
      </c>
      <c r="J30" s="4">
        <v>675088.69</v>
      </c>
      <c r="K30" s="4">
        <v>0</v>
      </c>
      <c r="L30" s="4">
        <f t="shared" si="0"/>
        <v>522898.68999999994</v>
      </c>
    </row>
    <row r="31" spans="1:12" ht="14.4" thickBot="1">
      <c r="A31" s="1" t="s">
        <v>54</v>
      </c>
      <c r="B31" s="2">
        <v>30637580961</v>
      </c>
      <c r="C31" s="2" t="s">
        <v>55</v>
      </c>
      <c r="D31" s="3" t="s">
        <v>10</v>
      </c>
      <c r="E31" s="23">
        <v>46054</v>
      </c>
      <c r="F31" s="1" t="s">
        <v>300</v>
      </c>
      <c r="G31" s="1" t="s">
        <v>298</v>
      </c>
      <c r="H31" s="1">
        <v>60</v>
      </c>
      <c r="I31" s="4">
        <v>15768041.699999999</v>
      </c>
      <c r="J31" s="4">
        <v>0</v>
      </c>
      <c r="K31" s="4">
        <v>355203.49</v>
      </c>
      <c r="L31" s="4">
        <f t="shared" si="0"/>
        <v>15412838.209999999</v>
      </c>
    </row>
    <row r="32" spans="1:12" ht="14.4" thickBot="1">
      <c r="A32" s="1" t="s">
        <v>54</v>
      </c>
      <c r="B32" s="2">
        <v>30637580961</v>
      </c>
      <c r="C32" s="2" t="s">
        <v>102</v>
      </c>
      <c r="D32" s="3" t="s">
        <v>39</v>
      </c>
      <c r="E32" s="23">
        <v>46054</v>
      </c>
      <c r="F32" s="1" t="s">
        <v>297</v>
      </c>
      <c r="G32" s="1" t="s">
        <v>298</v>
      </c>
      <c r="H32" s="1">
        <v>60</v>
      </c>
      <c r="I32" s="4">
        <v>210298.32</v>
      </c>
      <c r="J32" s="4">
        <v>4620</v>
      </c>
      <c r="K32" s="4">
        <v>0</v>
      </c>
      <c r="L32" s="4">
        <f t="shared" si="0"/>
        <v>205678.32</v>
      </c>
    </row>
    <row r="33" spans="1:12" ht="14.4" thickBot="1">
      <c r="A33" s="1" t="s">
        <v>288</v>
      </c>
      <c r="B33" s="2">
        <v>30674856756</v>
      </c>
      <c r="C33" s="8" t="s">
        <v>289</v>
      </c>
      <c r="D33" s="9">
        <v>46085</v>
      </c>
      <c r="E33" s="23">
        <v>46054</v>
      </c>
      <c r="F33" s="1" t="s">
        <v>297</v>
      </c>
      <c r="G33" s="1" t="s">
        <v>296</v>
      </c>
      <c r="H33" s="1">
        <v>45</v>
      </c>
      <c r="I33" s="10">
        <v>542500</v>
      </c>
      <c r="J33" s="10">
        <v>0</v>
      </c>
      <c r="K33" s="10">
        <v>0</v>
      </c>
      <c r="L33" s="10">
        <f t="shared" si="0"/>
        <v>542500</v>
      </c>
    </row>
    <row r="34" spans="1:12" ht="14.4" thickBot="1">
      <c r="A34" s="6" t="s">
        <v>106</v>
      </c>
      <c r="B34" s="6">
        <v>30562906378</v>
      </c>
      <c r="C34" s="11" t="s">
        <v>107</v>
      </c>
      <c r="D34" s="7">
        <v>46091</v>
      </c>
      <c r="E34" s="23">
        <v>46054</v>
      </c>
      <c r="F34" s="6" t="s">
        <v>297</v>
      </c>
      <c r="G34" s="1" t="s">
        <v>296</v>
      </c>
      <c r="H34" s="1">
        <v>45</v>
      </c>
      <c r="I34" s="4">
        <v>170658.8</v>
      </c>
      <c r="J34" s="4">
        <v>9650</v>
      </c>
      <c r="K34" s="4">
        <v>0</v>
      </c>
      <c r="L34" s="4">
        <f t="shared" si="0"/>
        <v>161008.79999999999</v>
      </c>
    </row>
    <row r="35" spans="1:12" ht="14.4" thickBot="1">
      <c r="A35" s="6" t="s">
        <v>59</v>
      </c>
      <c r="B35" s="6">
        <v>30566278207</v>
      </c>
      <c r="C35" s="6" t="s">
        <v>60</v>
      </c>
      <c r="D35" s="7">
        <v>46092</v>
      </c>
      <c r="E35" s="24">
        <v>46054</v>
      </c>
      <c r="F35" s="6" t="s">
        <v>297</v>
      </c>
      <c r="G35" s="6" t="s">
        <v>295</v>
      </c>
      <c r="H35" s="1">
        <v>45</v>
      </c>
      <c r="I35" s="4">
        <v>34625.040000000001</v>
      </c>
      <c r="J35" s="4">
        <v>0</v>
      </c>
      <c r="K35" s="4">
        <v>0</v>
      </c>
      <c r="L35" s="4">
        <f t="shared" si="0"/>
        <v>34625.040000000001</v>
      </c>
    </row>
    <row r="36" spans="1:12" ht="14.4" thickBot="1">
      <c r="A36" s="6" t="s">
        <v>59</v>
      </c>
      <c r="B36" s="6">
        <v>30566278207</v>
      </c>
      <c r="C36" s="6" t="s">
        <v>61</v>
      </c>
      <c r="D36" s="7">
        <v>46092</v>
      </c>
      <c r="E36" s="24">
        <v>46054</v>
      </c>
      <c r="F36" s="6" t="s">
        <v>297</v>
      </c>
      <c r="G36" s="6" t="s">
        <v>298</v>
      </c>
      <c r="H36" s="1">
        <v>45</v>
      </c>
      <c r="I36" s="4">
        <v>357358.85</v>
      </c>
      <c r="J36" s="4">
        <v>0</v>
      </c>
      <c r="K36" s="4">
        <v>0</v>
      </c>
      <c r="L36" s="4">
        <f t="shared" si="0"/>
        <v>357358.85</v>
      </c>
    </row>
    <row r="37" spans="1:12" ht="14.4" thickBot="1">
      <c r="A37" s="6" t="s">
        <v>59</v>
      </c>
      <c r="B37" s="6">
        <v>30566278207</v>
      </c>
      <c r="C37" s="1" t="s">
        <v>108</v>
      </c>
      <c r="D37" s="7">
        <v>46092</v>
      </c>
      <c r="E37" s="24">
        <v>46054</v>
      </c>
      <c r="F37" s="6" t="s">
        <v>297</v>
      </c>
      <c r="G37" s="6" t="s">
        <v>298</v>
      </c>
      <c r="H37" s="1">
        <v>45</v>
      </c>
      <c r="I37" s="4">
        <v>2261898.7400000002</v>
      </c>
      <c r="J37" s="4">
        <v>114466.34</v>
      </c>
      <c r="K37" s="4">
        <v>0</v>
      </c>
      <c r="L37" s="4">
        <f t="shared" si="0"/>
        <v>2147432.4000000004</v>
      </c>
    </row>
    <row r="38" spans="1:12" ht="14.4" thickBot="1">
      <c r="A38" s="1" t="s">
        <v>59</v>
      </c>
      <c r="B38" s="2">
        <v>30566278207</v>
      </c>
      <c r="C38" s="5" t="s">
        <v>285</v>
      </c>
      <c r="D38" s="3">
        <v>46064</v>
      </c>
      <c r="E38" s="23">
        <v>46054</v>
      </c>
      <c r="F38" s="1" t="s">
        <v>297</v>
      </c>
      <c r="G38" s="1" t="s">
        <v>296</v>
      </c>
      <c r="H38" s="1">
        <v>60</v>
      </c>
      <c r="I38" s="4">
        <v>90303</v>
      </c>
      <c r="J38" s="4">
        <v>0</v>
      </c>
      <c r="K38" s="4">
        <v>0</v>
      </c>
      <c r="L38" s="4">
        <f t="shared" si="0"/>
        <v>90303</v>
      </c>
    </row>
    <row r="39" spans="1:12" ht="14.4" thickBot="1">
      <c r="A39" s="1" t="s">
        <v>65</v>
      </c>
      <c r="B39" s="2">
        <v>30545996991</v>
      </c>
      <c r="C39" s="2" t="s">
        <v>66</v>
      </c>
      <c r="D39" s="3" t="s">
        <v>29</v>
      </c>
      <c r="E39" s="23">
        <v>46054</v>
      </c>
      <c r="F39" s="1" t="s">
        <v>300</v>
      </c>
      <c r="G39" s="1" t="s">
        <v>295</v>
      </c>
      <c r="H39" s="1">
        <v>60</v>
      </c>
      <c r="I39" s="4">
        <v>490898.21</v>
      </c>
      <c r="J39" s="4">
        <v>0</v>
      </c>
      <c r="K39" s="4">
        <v>0</v>
      </c>
      <c r="L39" s="4">
        <f t="shared" si="0"/>
        <v>490898.21</v>
      </c>
    </row>
    <row r="40" spans="1:12" ht="14.4" thickBot="1">
      <c r="A40" s="1" t="s">
        <v>65</v>
      </c>
      <c r="B40" s="2">
        <v>30545996991</v>
      </c>
      <c r="C40" s="2" t="s">
        <v>69</v>
      </c>
      <c r="D40" s="3" t="s">
        <v>29</v>
      </c>
      <c r="E40" s="23">
        <v>46054</v>
      </c>
      <c r="F40" s="1" t="s">
        <v>300</v>
      </c>
      <c r="G40" s="1" t="s">
        <v>295</v>
      </c>
      <c r="H40" s="1">
        <v>60</v>
      </c>
      <c r="I40" s="4">
        <v>1163913</v>
      </c>
      <c r="J40" s="4">
        <v>0</v>
      </c>
      <c r="K40" s="4">
        <v>37237.72</v>
      </c>
      <c r="L40" s="4">
        <f t="shared" si="0"/>
        <v>1126675.28</v>
      </c>
    </row>
    <row r="41" spans="1:12" ht="14.4" thickBot="1">
      <c r="A41" s="1" t="s">
        <v>65</v>
      </c>
      <c r="B41" s="2">
        <v>30545996991</v>
      </c>
      <c r="C41" s="2" t="s">
        <v>70</v>
      </c>
      <c r="D41" s="3" t="s">
        <v>29</v>
      </c>
      <c r="E41" s="23">
        <v>46054</v>
      </c>
      <c r="F41" s="1" t="s">
        <v>300</v>
      </c>
      <c r="G41" s="1" t="s">
        <v>298</v>
      </c>
      <c r="H41" s="1">
        <v>60</v>
      </c>
      <c r="I41" s="4">
        <v>861907.95</v>
      </c>
      <c r="J41" s="4">
        <v>0</v>
      </c>
      <c r="K41" s="4">
        <v>95767.55</v>
      </c>
      <c r="L41" s="4">
        <f t="shared" si="0"/>
        <v>766140.39999999991</v>
      </c>
    </row>
    <row r="42" spans="1:12" ht="14.4" thickBot="1">
      <c r="A42" s="1" t="s">
        <v>65</v>
      </c>
      <c r="B42" s="2">
        <v>30545996991</v>
      </c>
      <c r="C42" s="2" t="s">
        <v>71</v>
      </c>
      <c r="D42" s="3" t="s">
        <v>29</v>
      </c>
      <c r="E42" s="23">
        <v>46054</v>
      </c>
      <c r="F42" s="1" t="s">
        <v>300</v>
      </c>
      <c r="G42" s="1" t="s">
        <v>296</v>
      </c>
      <c r="H42" s="1">
        <v>60</v>
      </c>
      <c r="I42" s="4">
        <v>1792991</v>
      </c>
      <c r="J42" s="4">
        <v>0</v>
      </c>
      <c r="K42" s="4">
        <v>0</v>
      </c>
      <c r="L42" s="4">
        <f t="shared" si="0"/>
        <v>1792991</v>
      </c>
    </row>
    <row r="43" spans="1:12" ht="14.4" thickBot="1">
      <c r="A43" s="1" t="s">
        <v>65</v>
      </c>
      <c r="B43" s="2">
        <v>30545996991</v>
      </c>
      <c r="C43" s="2" t="s">
        <v>72</v>
      </c>
      <c r="D43" s="3" t="s">
        <v>29</v>
      </c>
      <c r="E43" s="23">
        <v>46054</v>
      </c>
      <c r="F43" s="1" t="s">
        <v>300</v>
      </c>
      <c r="G43" s="1" t="s">
        <v>294</v>
      </c>
      <c r="H43" s="1">
        <v>60</v>
      </c>
      <c r="I43" s="4">
        <v>5170441</v>
      </c>
      <c r="J43" s="4">
        <v>0</v>
      </c>
      <c r="K43" s="4">
        <v>0</v>
      </c>
      <c r="L43" s="4">
        <f t="shared" si="0"/>
        <v>5170441</v>
      </c>
    </row>
    <row r="44" spans="1:12" ht="14.4" thickBot="1">
      <c r="A44" s="1" t="s">
        <v>65</v>
      </c>
      <c r="B44" s="2">
        <v>30545996991</v>
      </c>
      <c r="C44" s="2" t="s">
        <v>109</v>
      </c>
      <c r="D44" s="3" t="s">
        <v>29</v>
      </c>
      <c r="E44" s="23">
        <v>46054</v>
      </c>
      <c r="F44" s="1" t="s">
        <v>297</v>
      </c>
      <c r="G44" s="1" t="s">
        <v>295</v>
      </c>
      <c r="H44" s="1">
        <v>60</v>
      </c>
      <c r="I44" s="4">
        <v>158116.1</v>
      </c>
      <c r="J44" s="4">
        <v>94195.199999999997</v>
      </c>
      <c r="K44" s="4">
        <v>0</v>
      </c>
      <c r="L44" s="4">
        <f t="shared" si="0"/>
        <v>63920.900000000009</v>
      </c>
    </row>
    <row r="45" spans="1:12" ht="14.4" thickBot="1">
      <c r="A45" s="1" t="s">
        <v>65</v>
      </c>
      <c r="B45" s="2">
        <v>30545996991</v>
      </c>
      <c r="C45" s="2" t="s">
        <v>110</v>
      </c>
      <c r="D45" s="3" t="s">
        <v>29</v>
      </c>
      <c r="E45" s="23">
        <v>46054</v>
      </c>
      <c r="F45" s="1" t="s">
        <v>297</v>
      </c>
      <c r="G45" s="1" t="s">
        <v>296</v>
      </c>
      <c r="H45" s="1">
        <v>60</v>
      </c>
      <c r="I45" s="4">
        <v>22706.720000000001</v>
      </c>
      <c r="J45" s="4">
        <v>22706.720000000001</v>
      </c>
      <c r="K45" s="4">
        <v>0</v>
      </c>
      <c r="L45" s="4">
        <f t="shared" si="0"/>
        <v>0</v>
      </c>
    </row>
    <row r="46" spans="1:12" ht="14.4" thickBot="1">
      <c r="A46" s="6" t="s">
        <v>117</v>
      </c>
      <c r="B46" s="6">
        <v>30645574326</v>
      </c>
      <c r="C46" s="11" t="s">
        <v>118</v>
      </c>
      <c r="D46" s="7">
        <v>46086</v>
      </c>
      <c r="E46" s="24">
        <v>46054</v>
      </c>
      <c r="F46" s="6" t="s">
        <v>300</v>
      </c>
      <c r="G46" s="6" t="s">
        <v>296</v>
      </c>
      <c r="H46" s="1">
        <v>60</v>
      </c>
      <c r="I46" s="4">
        <v>3204114.81</v>
      </c>
      <c r="J46" s="4">
        <v>289509.75</v>
      </c>
      <c r="K46" s="4">
        <v>184425.78</v>
      </c>
      <c r="L46" s="4">
        <f t="shared" si="0"/>
        <v>2730179.2800000003</v>
      </c>
    </row>
    <row r="47" spans="1:12" ht="14.4" thickBot="1">
      <c r="A47" s="6" t="s">
        <v>74</v>
      </c>
      <c r="B47" s="6">
        <v>30708409185</v>
      </c>
      <c r="C47" s="11" t="s">
        <v>75</v>
      </c>
      <c r="D47" s="7">
        <v>46086</v>
      </c>
      <c r="E47" s="24">
        <v>46054</v>
      </c>
      <c r="F47" s="6" t="s">
        <v>297</v>
      </c>
      <c r="G47" s="6" t="s">
        <v>298</v>
      </c>
      <c r="H47" s="1">
        <v>60</v>
      </c>
      <c r="I47" s="4">
        <v>92109.63</v>
      </c>
      <c r="J47" s="4">
        <v>0</v>
      </c>
      <c r="K47" s="4">
        <v>0</v>
      </c>
      <c r="L47" s="12">
        <v>92109.63</v>
      </c>
    </row>
    <row r="48" spans="1:12" ht="14.4" thickBot="1">
      <c r="A48" s="39" t="s">
        <v>76</v>
      </c>
      <c r="B48" s="39">
        <v>30708069791</v>
      </c>
      <c r="C48" s="39" t="s">
        <v>77</v>
      </c>
      <c r="D48" s="40">
        <v>46083</v>
      </c>
      <c r="E48" s="39"/>
      <c r="F48" s="39"/>
      <c r="G48" s="39" t="s">
        <v>296</v>
      </c>
      <c r="H48" s="34"/>
      <c r="I48" s="38">
        <v>132240</v>
      </c>
      <c r="J48" s="38">
        <v>0</v>
      </c>
      <c r="K48" s="38">
        <v>0</v>
      </c>
      <c r="L48" s="38">
        <f t="shared" ref="L48:L100" si="1">I48-J48-K48</f>
        <v>132240</v>
      </c>
    </row>
    <row r="49" spans="1:12" ht="14.4" thickBot="1">
      <c r="A49" s="39" t="s">
        <v>76</v>
      </c>
      <c r="B49" s="39">
        <v>30708069791</v>
      </c>
      <c r="C49" s="39" t="s">
        <v>78</v>
      </c>
      <c r="D49" s="40">
        <v>46083</v>
      </c>
      <c r="E49" s="39"/>
      <c r="F49" s="39"/>
      <c r="G49" s="39" t="s">
        <v>296</v>
      </c>
      <c r="H49" s="34"/>
      <c r="I49" s="38">
        <v>92102</v>
      </c>
      <c r="J49" s="38">
        <v>0</v>
      </c>
      <c r="K49" s="38">
        <v>0</v>
      </c>
      <c r="L49" s="38">
        <f t="shared" si="1"/>
        <v>92102</v>
      </c>
    </row>
    <row r="50" spans="1:12" ht="14.4" thickBot="1">
      <c r="A50" s="1" t="s">
        <v>79</v>
      </c>
      <c r="B50" s="2">
        <v>30596272165</v>
      </c>
      <c r="C50" s="2" t="s">
        <v>80</v>
      </c>
      <c r="D50" s="3" t="s">
        <v>81</v>
      </c>
      <c r="E50" s="23">
        <v>46054</v>
      </c>
      <c r="F50" s="1" t="s">
        <v>297</v>
      </c>
      <c r="G50" s="1" t="s">
        <v>298</v>
      </c>
      <c r="H50" s="1">
        <v>60</v>
      </c>
      <c r="I50" s="4">
        <v>31748.400000000001</v>
      </c>
      <c r="J50" s="4">
        <v>0</v>
      </c>
      <c r="K50" s="4">
        <v>0</v>
      </c>
      <c r="L50" s="4">
        <f t="shared" si="1"/>
        <v>31748.400000000001</v>
      </c>
    </row>
    <row r="51" spans="1:12" ht="14.4" thickBot="1">
      <c r="A51" s="1" t="s">
        <v>79</v>
      </c>
      <c r="B51" s="2">
        <v>30596272165</v>
      </c>
      <c r="C51" s="2" t="s">
        <v>82</v>
      </c>
      <c r="D51" s="3" t="s">
        <v>10</v>
      </c>
      <c r="E51" s="23">
        <v>46054</v>
      </c>
      <c r="F51" s="1" t="s">
        <v>297</v>
      </c>
      <c r="G51" s="1" t="s">
        <v>298</v>
      </c>
      <c r="H51" s="1">
        <v>60</v>
      </c>
      <c r="I51" s="4">
        <v>317307.52000000002</v>
      </c>
      <c r="J51" s="4">
        <v>0</v>
      </c>
      <c r="K51" s="4">
        <v>0</v>
      </c>
      <c r="L51" s="4">
        <f t="shared" si="1"/>
        <v>317307.52000000002</v>
      </c>
    </row>
    <row r="52" spans="1:12" ht="14.4" thickBot="1">
      <c r="A52" s="1" t="s">
        <v>79</v>
      </c>
      <c r="B52" s="2">
        <v>30596272165</v>
      </c>
      <c r="C52" s="2" t="s">
        <v>83</v>
      </c>
      <c r="D52" s="3" t="s">
        <v>10</v>
      </c>
      <c r="E52" s="23">
        <v>46054</v>
      </c>
      <c r="F52" s="1" t="s">
        <v>297</v>
      </c>
      <c r="G52" s="1" t="s">
        <v>296</v>
      </c>
      <c r="H52" s="1">
        <v>60</v>
      </c>
      <c r="I52" s="4">
        <v>70037.5</v>
      </c>
      <c r="J52" s="4">
        <v>0</v>
      </c>
      <c r="K52" s="4">
        <v>0</v>
      </c>
      <c r="L52" s="4">
        <f t="shared" si="1"/>
        <v>70037.5</v>
      </c>
    </row>
    <row r="53" spans="1:12" ht="14.4" thickBot="1">
      <c r="A53" s="1" t="s">
        <v>79</v>
      </c>
      <c r="B53" s="2">
        <v>30596272165</v>
      </c>
      <c r="C53" s="2" t="s">
        <v>84</v>
      </c>
      <c r="D53" s="3" t="s">
        <v>13</v>
      </c>
      <c r="E53" s="23">
        <v>46054</v>
      </c>
      <c r="F53" s="1" t="s">
        <v>300</v>
      </c>
      <c r="G53" s="1" t="s">
        <v>298</v>
      </c>
      <c r="H53" s="1">
        <v>60</v>
      </c>
      <c r="I53" s="4">
        <v>80904.100000000006</v>
      </c>
      <c r="J53" s="4">
        <v>0</v>
      </c>
      <c r="K53" s="4">
        <v>0</v>
      </c>
      <c r="L53" s="4">
        <f t="shared" si="1"/>
        <v>80904.100000000006</v>
      </c>
    </row>
    <row r="54" spans="1:12" ht="14.4" thickBot="1">
      <c r="A54" s="1" t="s">
        <v>79</v>
      </c>
      <c r="B54" s="2">
        <v>30596272165</v>
      </c>
      <c r="C54" s="2" t="s">
        <v>85</v>
      </c>
      <c r="D54" s="3" t="s">
        <v>9</v>
      </c>
      <c r="E54" s="23">
        <v>46054</v>
      </c>
      <c r="F54" s="1" t="s">
        <v>300</v>
      </c>
      <c r="G54" s="1" t="s">
        <v>296</v>
      </c>
      <c r="H54" s="1">
        <v>60</v>
      </c>
      <c r="I54" s="4">
        <v>1219587.07</v>
      </c>
      <c r="J54" s="4">
        <v>0</v>
      </c>
      <c r="K54" s="4">
        <v>449183.02</v>
      </c>
      <c r="L54" s="4">
        <f t="shared" si="1"/>
        <v>770404.05</v>
      </c>
    </row>
    <row r="55" spans="1:12" ht="14.4" thickBot="1">
      <c r="A55" s="1" t="s">
        <v>86</v>
      </c>
      <c r="B55" s="2">
        <v>30682285431</v>
      </c>
      <c r="C55" s="2" t="s">
        <v>87</v>
      </c>
      <c r="D55" s="3" t="s">
        <v>13</v>
      </c>
      <c r="E55" s="23">
        <v>46054</v>
      </c>
      <c r="F55" s="1" t="s">
        <v>297</v>
      </c>
      <c r="G55" s="1" t="s">
        <v>296</v>
      </c>
      <c r="H55" s="1">
        <v>60</v>
      </c>
      <c r="I55" s="4">
        <v>50290</v>
      </c>
      <c r="J55" s="4">
        <v>0</v>
      </c>
      <c r="K55" s="4">
        <v>0</v>
      </c>
      <c r="L55" s="4">
        <f t="shared" si="1"/>
        <v>50290</v>
      </c>
    </row>
    <row r="56" spans="1:12" ht="14.4" thickBot="1">
      <c r="A56" s="1" t="s">
        <v>86</v>
      </c>
      <c r="B56" s="2">
        <v>30682285431</v>
      </c>
      <c r="C56" s="2" t="s">
        <v>88</v>
      </c>
      <c r="D56" s="3" t="s">
        <v>13</v>
      </c>
      <c r="E56" s="23">
        <v>46054</v>
      </c>
      <c r="F56" s="1" t="s">
        <v>297</v>
      </c>
      <c r="G56" s="1" t="s">
        <v>296</v>
      </c>
      <c r="H56" s="1">
        <v>60</v>
      </c>
      <c r="I56" s="4">
        <v>192600</v>
      </c>
      <c r="J56" s="4">
        <v>0</v>
      </c>
      <c r="K56" s="4">
        <v>0</v>
      </c>
      <c r="L56" s="4">
        <f t="shared" si="1"/>
        <v>192600</v>
      </c>
    </row>
    <row r="57" spans="1:12" ht="14.4" thickBot="1">
      <c r="A57" s="1" t="s">
        <v>86</v>
      </c>
      <c r="B57" s="2">
        <v>30682285431</v>
      </c>
      <c r="C57" s="2" t="s">
        <v>89</v>
      </c>
      <c r="D57" s="3" t="s">
        <v>13</v>
      </c>
      <c r="E57" s="23">
        <v>46054</v>
      </c>
      <c r="F57" s="1" t="s">
        <v>297</v>
      </c>
      <c r="G57" s="1" t="s">
        <v>298</v>
      </c>
      <c r="H57" s="1">
        <v>60</v>
      </c>
      <c r="I57" s="4">
        <v>25000</v>
      </c>
      <c r="J57" s="4">
        <v>0</v>
      </c>
      <c r="K57" s="4">
        <v>0</v>
      </c>
      <c r="L57" s="4">
        <f t="shared" si="1"/>
        <v>25000</v>
      </c>
    </row>
    <row r="58" spans="1:12" ht="14.4" thickBot="1">
      <c r="A58" s="39" t="s">
        <v>90</v>
      </c>
      <c r="B58" s="39">
        <v>30660567840</v>
      </c>
      <c r="C58" s="39" t="s">
        <v>91</v>
      </c>
      <c r="D58" s="40">
        <v>46085</v>
      </c>
      <c r="E58" s="39"/>
      <c r="F58" s="39"/>
      <c r="G58" s="39" t="s">
        <v>298</v>
      </c>
      <c r="H58" s="34"/>
      <c r="I58" s="38">
        <v>12541.71</v>
      </c>
      <c r="J58" s="38">
        <v>0</v>
      </c>
      <c r="K58" s="38">
        <v>0</v>
      </c>
      <c r="L58" s="38">
        <f t="shared" si="1"/>
        <v>12541.71</v>
      </c>
    </row>
    <row r="59" spans="1:12" ht="14.4" thickBot="1">
      <c r="A59" s="39" t="s">
        <v>90</v>
      </c>
      <c r="B59" s="39">
        <v>30660567840</v>
      </c>
      <c r="C59" s="39" t="s">
        <v>92</v>
      </c>
      <c r="D59" s="40">
        <v>46085</v>
      </c>
      <c r="E59" s="39"/>
      <c r="F59" s="39"/>
      <c r="G59" s="39" t="s">
        <v>298</v>
      </c>
      <c r="H59" s="34"/>
      <c r="I59" s="38">
        <v>327908.53999999998</v>
      </c>
      <c r="J59" s="38">
        <v>0</v>
      </c>
      <c r="K59" s="38">
        <v>0</v>
      </c>
      <c r="L59" s="38">
        <f t="shared" si="1"/>
        <v>327908.53999999998</v>
      </c>
    </row>
    <row r="60" spans="1:12" ht="14.4" thickBot="1">
      <c r="A60" s="39" t="s">
        <v>90</v>
      </c>
      <c r="B60" s="39">
        <v>30660567840</v>
      </c>
      <c r="C60" s="39" t="s">
        <v>93</v>
      </c>
      <c r="D60" s="40">
        <v>46086</v>
      </c>
      <c r="E60" s="39"/>
      <c r="F60" s="39"/>
      <c r="G60" s="39" t="s">
        <v>296</v>
      </c>
      <c r="H60" s="34"/>
      <c r="I60" s="38">
        <v>14161.71</v>
      </c>
      <c r="J60" s="38">
        <v>0</v>
      </c>
      <c r="K60" s="38">
        <v>0</v>
      </c>
      <c r="L60" s="38">
        <f t="shared" si="1"/>
        <v>14161.71</v>
      </c>
    </row>
    <row r="61" spans="1:12" ht="14.4" thickBot="1">
      <c r="A61" s="39" t="s">
        <v>90</v>
      </c>
      <c r="B61" s="39">
        <v>30660567840</v>
      </c>
      <c r="C61" s="39" t="s">
        <v>94</v>
      </c>
      <c r="D61" s="40">
        <v>46086</v>
      </c>
      <c r="E61" s="39"/>
      <c r="F61" s="39"/>
      <c r="G61" s="39" t="s">
        <v>295</v>
      </c>
      <c r="H61" s="34"/>
      <c r="I61" s="38">
        <v>286230.12</v>
      </c>
      <c r="J61" s="38">
        <v>0</v>
      </c>
      <c r="K61" s="38">
        <v>0</v>
      </c>
      <c r="L61" s="38">
        <f t="shared" si="1"/>
        <v>286230.12</v>
      </c>
    </row>
    <row r="62" spans="1:12" ht="14.4" thickBot="1">
      <c r="A62" s="1" t="s">
        <v>63</v>
      </c>
      <c r="B62" s="1">
        <v>30708237791</v>
      </c>
      <c r="C62" s="1" t="s">
        <v>64</v>
      </c>
      <c r="D62" s="1" t="s">
        <v>52</v>
      </c>
      <c r="E62" s="23">
        <v>46054</v>
      </c>
      <c r="F62" s="1" t="s">
        <v>297</v>
      </c>
      <c r="G62" s="1" t="s">
        <v>298</v>
      </c>
      <c r="H62" s="1">
        <v>60</v>
      </c>
      <c r="I62" s="4">
        <v>24028</v>
      </c>
      <c r="J62" s="4">
        <v>0</v>
      </c>
      <c r="K62" s="4">
        <v>0</v>
      </c>
      <c r="L62" s="4">
        <f t="shared" si="1"/>
        <v>24028</v>
      </c>
    </row>
    <row r="63" spans="1:12" ht="14.4" thickBot="1">
      <c r="A63" s="1" t="s">
        <v>63</v>
      </c>
      <c r="B63" s="1">
        <v>30708237791</v>
      </c>
      <c r="C63" s="1" t="s">
        <v>119</v>
      </c>
      <c r="D63" s="13">
        <v>45991</v>
      </c>
      <c r="E63" s="23">
        <v>45962</v>
      </c>
      <c r="F63" s="1" t="s">
        <v>297</v>
      </c>
      <c r="G63" s="1" t="s">
        <v>295</v>
      </c>
      <c r="H63" s="1">
        <v>60</v>
      </c>
      <c r="I63" s="4">
        <v>86139</v>
      </c>
      <c r="J63" s="4">
        <v>39863</v>
      </c>
      <c r="K63" s="4">
        <v>0</v>
      </c>
      <c r="L63" s="4">
        <f t="shared" si="1"/>
        <v>46276</v>
      </c>
    </row>
    <row r="64" spans="1:12" ht="14.4" thickBot="1">
      <c r="A64" s="1" t="s">
        <v>11</v>
      </c>
      <c r="B64" s="2">
        <v>30615571454</v>
      </c>
      <c r="C64" s="2" t="s">
        <v>12</v>
      </c>
      <c r="D64" s="3" t="s">
        <v>13</v>
      </c>
      <c r="E64" s="23">
        <v>46054</v>
      </c>
      <c r="F64" s="1" t="s">
        <v>300</v>
      </c>
      <c r="G64" s="1" t="s">
        <v>298</v>
      </c>
      <c r="H64" s="1">
        <v>45</v>
      </c>
      <c r="I64" s="4">
        <v>2837156.92</v>
      </c>
      <c r="J64" s="4">
        <v>396948.13</v>
      </c>
      <c r="K64" s="4">
        <v>116008.04</v>
      </c>
      <c r="L64" s="4">
        <f t="shared" si="1"/>
        <v>2324200.75</v>
      </c>
    </row>
    <row r="65" spans="1:12" ht="14.4" thickBot="1">
      <c r="A65" s="1" t="s">
        <v>11</v>
      </c>
      <c r="B65" s="2">
        <v>30615571454</v>
      </c>
      <c r="C65" s="2" t="s">
        <v>122</v>
      </c>
      <c r="D65" s="3">
        <v>46091</v>
      </c>
      <c r="E65" s="23">
        <v>46054</v>
      </c>
      <c r="F65" s="1" t="s">
        <v>300</v>
      </c>
      <c r="G65" s="1" t="s">
        <v>298</v>
      </c>
      <c r="H65" s="1">
        <v>45</v>
      </c>
      <c r="I65" s="4">
        <v>378451.43</v>
      </c>
      <c r="J65" s="4">
        <v>5919.84</v>
      </c>
      <c r="K65" s="4">
        <v>0</v>
      </c>
      <c r="L65" s="4">
        <f t="shared" si="1"/>
        <v>372531.58999999997</v>
      </c>
    </row>
    <row r="66" spans="1:12" ht="14.4" thickBot="1">
      <c r="A66" s="6" t="s">
        <v>99</v>
      </c>
      <c r="B66" s="6">
        <v>30608875227</v>
      </c>
      <c r="C66" s="6" t="s">
        <v>100</v>
      </c>
      <c r="D66" s="7">
        <v>46083</v>
      </c>
      <c r="E66" s="24">
        <v>46054</v>
      </c>
      <c r="F66" s="6" t="s">
        <v>300</v>
      </c>
      <c r="G66" s="6" t="s">
        <v>296</v>
      </c>
      <c r="H66" s="1">
        <v>60</v>
      </c>
      <c r="I66" s="4">
        <v>495000</v>
      </c>
      <c r="J66" s="4">
        <v>0</v>
      </c>
      <c r="K66" s="4">
        <v>165000</v>
      </c>
      <c r="L66" s="4">
        <f t="shared" si="1"/>
        <v>330000</v>
      </c>
    </row>
    <row r="67" spans="1:12" ht="14.4" thickBot="1">
      <c r="A67" s="39" t="s">
        <v>99</v>
      </c>
      <c r="B67" s="39">
        <v>30608875227</v>
      </c>
      <c r="C67" s="39" t="s">
        <v>101</v>
      </c>
      <c r="D67" s="40">
        <v>46083</v>
      </c>
      <c r="E67" s="41">
        <v>46054</v>
      </c>
      <c r="F67" s="39" t="s">
        <v>300</v>
      </c>
      <c r="G67" s="34" t="s">
        <v>298</v>
      </c>
      <c r="H67" s="39">
        <v>60</v>
      </c>
      <c r="I67" s="38">
        <v>2464000</v>
      </c>
      <c r="J67" s="38">
        <v>0</v>
      </c>
      <c r="K67" s="38">
        <v>0</v>
      </c>
      <c r="L67" s="38">
        <f t="shared" si="1"/>
        <v>2464000</v>
      </c>
    </row>
    <row r="68" spans="1:12" ht="14.4" thickBot="1">
      <c r="A68" s="39" t="s">
        <v>99</v>
      </c>
      <c r="B68" s="39">
        <v>30608875227</v>
      </c>
      <c r="C68" s="39" t="s">
        <v>103</v>
      </c>
      <c r="D68" s="40">
        <v>46084</v>
      </c>
      <c r="E68" s="41">
        <v>46054</v>
      </c>
      <c r="F68" s="39" t="s">
        <v>297</v>
      </c>
      <c r="G68" s="34" t="s">
        <v>298</v>
      </c>
      <c r="H68" s="39">
        <v>60</v>
      </c>
      <c r="I68" s="38">
        <v>102030</v>
      </c>
      <c r="J68" s="38">
        <v>0</v>
      </c>
      <c r="K68" s="38">
        <v>0</v>
      </c>
      <c r="L68" s="38">
        <f t="shared" si="1"/>
        <v>102030</v>
      </c>
    </row>
    <row r="69" spans="1:12" ht="14.4" thickBot="1">
      <c r="A69" s="39" t="s">
        <v>99</v>
      </c>
      <c r="B69" s="39">
        <v>30608875227</v>
      </c>
      <c r="C69" s="39" t="s">
        <v>104</v>
      </c>
      <c r="D69" s="40">
        <v>46084</v>
      </c>
      <c r="E69" s="41">
        <v>46054</v>
      </c>
      <c r="F69" s="39" t="s">
        <v>297</v>
      </c>
      <c r="G69" s="34" t="s">
        <v>298</v>
      </c>
      <c r="H69" s="39">
        <v>60</v>
      </c>
      <c r="I69" s="38">
        <v>27234</v>
      </c>
      <c r="J69" s="38">
        <v>0</v>
      </c>
      <c r="K69" s="38">
        <v>0</v>
      </c>
      <c r="L69" s="38">
        <f t="shared" si="1"/>
        <v>27234</v>
      </c>
    </row>
    <row r="70" spans="1:12" ht="14.4" thickBot="1">
      <c r="A70" s="39" t="s">
        <v>99</v>
      </c>
      <c r="B70" s="39">
        <v>30608875227</v>
      </c>
      <c r="C70" s="39" t="s">
        <v>105</v>
      </c>
      <c r="D70" s="40">
        <v>46084</v>
      </c>
      <c r="E70" s="39"/>
      <c r="F70" s="39"/>
      <c r="G70" s="39" t="s">
        <v>298</v>
      </c>
      <c r="H70" s="34"/>
      <c r="I70" s="38">
        <v>619431</v>
      </c>
      <c r="J70" s="38">
        <v>0</v>
      </c>
      <c r="K70" s="38">
        <v>0</v>
      </c>
      <c r="L70" s="38">
        <f t="shared" si="1"/>
        <v>619431</v>
      </c>
    </row>
    <row r="71" spans="1:12" ht="14.4" thickBot="1">
      <c r="A71" s="39" t="s">
        <v>99</v>
      </c>
      <c r="B71" s="39">
        <v>30608875227</v>
      </c>
      <c r="C71" s="39" t="s">
        <v>123</v>
      </c>
      <c r="D71" s="40">
        <v>46084</v>
      </c>
      <c r="E71" s="39"/>
      <c r="F71" s="39"/>
      <c r="G71" s="39" t="s">
        <v>295</v>
      </c>
      <c r="H71" s="34"/>
      <c r="I71" s="38">
        <v>120970</v>
      </c>
      <c r="J71" s="38">
        <v>44300</v>
      </c>
      <c r="K71" s="38">
        <v>0</v>
      </c>
      <c r="L71" s="38">
        <f t="shared" si="1"/>
        <v>76670</v>
      </c>
    </row>
    <row r="72" spans="1:12" ht="14.4" thickBot="1">
      <c r="A72" s="39" t="s">
        <v>99</v>
      </c>
      <c r="B72" s="39">
        <v>30608875227</v>
      </c>
      <c r="C72" s="39" t="s">
        <v>124</v>
      </c>
      <c r="D72" s="40">
        <v>46084</v>
      </c>
      <c r="E72" s="39"/>
      <c r="F72" s="39"/>
      <c r="G72" s="39" t="s">
        <v>316</v>
      </c>
      <c r="H72" s="34"/>
      <c r="I72" s="38">
        <v>59800</v>
      </c>
      <c r="J72" s="38">
        <v>12200</v>
      </c>
      <c r="K72" s="38">
        <v>0</v>
      </c>
      <c r="L72" s="38">
        <f t="shared" si="1"/>
        <v>47600</v>
      </c>
    </row>
    <row r="73" spans="1:12" ht="14.4" thickBot="1">
      <c r="A73" s="39" t="s">
        <v>99</v>
      </c>
      <c r="B73" s="39">
        <v>30608875227</v>
      </c>
      <c r="C73" s="39" t="s">
        <v>126</v>
      </c>
      <c r="D73" s="40">
        <v>46085</v>
      </c>
      <c r="E73" s="39"/>
      <c r="F73" s="39"/>
      <c r="G73" s="39" t="s">
        <v>298</v>
      </c>
      <c r="H73" s="34"/>
      <c r="I73" s="38">
        <v>762200</v>
      </c>
      <c r="J73" s="38">
        <v>155740</v>
      </c>
      <c r="K73" s="38">
        <v>0</v>
      </c>
      <c r="L73" s="38">
        <f t="shared" si="1"/>
        <v>606460</v>
      </c>
    </row>
    <row r="74" spans="1:12" ht="14.4" thickBot="1">
      <c r="A74" s="1" t="s">
        <v>127</v>
      </c>
      <c r="B74" s="2">
        <v>30546133865</v>
      </c>
      <c r="C74" s="2" t="s">
        <v>128</v>
      </c>
      <c r="D74" s="3" t="s">
        <v>13</v>
      </c>
      <c r="E74" s="23">
        <v>46054</v>
      </c>
      <c r="F74" s="1" t="s">
        <v>297</v>
      </c>
      <c r="G74" s="1" t="s">
        <v>298</v>
      </c>
      <c r="H74" s="1">
        <v>45</v>
      </c>
      <c r="I74" s="4">
        <v>336114.73</v>
      </c>
      <c r="J74" s="4">
        <v>23100</v>
      </c>
      <c r="K74" s="4">
        <v>0</v>
      </c>
      <c r="L74" s="4">
        <f t="shared" si="1"/>
        <v>313014.73</v>
      </c>
    </row>
    <row r="75" spans="1:12" ht="14.4" thickBot="1">
      <c r="A75" s="1" t="s">
        <v>127</v>
      </c>
      <c r="B75" s="2">
        <v>30546133865</v>
      </c>
      <c r="C75" s="2" t="s">
        <v>129</v>
      </c>
      <c r="D75" s="3" t="s">
        <v>13</v>
      </c>
      <c r="E75" s="23">
        <v>46054</v>
      </c>
      <c r="F75" s="1" t="s">
        <v>297</v>
      </c>
      <c r="G75" s="1" t="s">
        <v>296</v>
      </c>
      <c r="H75" s="1">
        <v>60</v>
      </c>
      <c r="I75" s="4">
        <v>64767.88</v>
      </c>
      <c r="J75" s="4">
        <v>9550</v>
      </c>
      <c r="K75" s="4">
        <v>0</v>
      </c>
      <c r="L75" s="4">
        <f t="shared" si="1"/>
        <v>55217.88</v>
      </c>
    </row>
    <row r="76" spans="1:12" ht="14.4" thickBot="1">
      <c r="A76" s="1" t="s">
        <v>111</v>
      </c>
      <c r="B76" s="2">
        <v>30680944691</v>
      </c>
      <c r="C76" s="2" t="s">
        <v>112</v>
      </c>
      <c r="D76" s="3" t="s">
        <v>13</v>
      </c>
      <c r="E76" s="23">
        <v>46054</v>
      </c>
      <c r="F76" s="1" t="s">
        <v>300</v>
      </c>
      <c r="G76" s="1" t="s">
        <v>296</v>
      </c>
      <c r="H76" s="1">
        <v>45</v>
      </c>
      <c r="I76" s="4">
        <v>116258.76</v>
      </c>
      <c r="J76" s="4">
        <v>0</v>
      </c>
      <c r="K76" s="4">
        <v>0</v>
      </c>
      <c r="L76" s="4">
        <f t="shared" si="1"/>
        <v>116258.76</v>
      </c>
    </row>
    <row r="77" spans="1:12" ht="14.4" thickBot="1">
      <c r="A77" s="1" t="s">
        <v>113</v>
      </c>
      <c r="B77" s="2">
        <v>33711273129</v>
      </c>
      <c r="C77" s="2" t="s">
        <v>114</v>
      </c>
      <c r="D77" s="3" t="s">
        <v>52</v>
      </c>
      <c r="E77" s="23">
        <v>46054</v>
      </c>
      <c r="F77" s="1" t="s">
        <v>297</v>
      </c>
      <c r="G77" s="1" t="s">
        <v>298</v>
      </c>
      <c r="H77" s="1">
        <v>60</v>
      </c>
      <c r="I77" s="4">
        <v>139954.4</v>
      </c>
      <c r="J77" s="4">
        <v>0</v>
      </c>
      <c r="K77" s="4">
        <v>0</v>
      </c>
      <c r="L77" s="4">
        <f t="shared" si="1"/>
        <v>139954.4</v>
      </c>
    </row>
    <row r="78" spans="1:12" ht="14.4" thickBot="1">
      <c r="A78" s="1" t="s">
        <v>115</v>
      </c>
      <c r="B78" s="2">
        <v>30680948891</v>
      </c>
      <c r="C78" s="2" t="s">
        <v>116</v>
      </c>
      <c r="D78" s="3" t="s">
        <v>13</v>
      </c>
      <c r="E78" s="23">
        <v>46054</v>
      </c>
      <c r="F78" s="1" t="s">
        <v>297</v>
      </c>
      <c r="G78" s="1" t="s">
        <v>298</v>
      </c>
      <c r="H78" s="1">
        <v>45</v>
      </c>
      <c r="I78" s="4">
        <v>61000</v>
      </c>
      <c r="J78" s="4"/>
      <c r="K78" s="4"/>
      <c r="L78" s="4">
        <f t="shared" si="1"/>
        <v>61000</v>
      </c>
    </row>
    <row r="79" spans="1:12" ht="14.4" thickBot="1">
      <c r="A79" s="1" t="s">
        <v>130</v>
      </c>
      <c r="B79" s="2">
        <v>30553588266</v>
      </c>
      <c r="C79" s="2" t="s">
        <v>131</v>
      </c>
      <c r="D79" s="3" t="s">
        <v>13</v>
      </c>
      <c r="E79" s="23">
        <v>46054</v>
      </c>
      <c r="F79" s="1" t="s">
        <v>297</v>
      </c>
      <c r="G79" s="1" t="s">
        <v>296</v>
      </c>
      <c r="H79" s="1">
        <v>45</v>
      </c>
      <c r="I79" s="4">
        <v>577376.09</v>
      </c>
      <c r="J79" s="4">
        <v>2442.5</v>
      </c>
      <c r="K79" s="4">
        <v>0</v>
      </c>
      <c r="L79" s="4">
        <f t="shared" si="1"/>
        <v>574933.59</v>
      </c>
    </row>
    <row r="80" spans="1:12" ht="14.4" thickBot="1">
      <c r="A80" s="39" t="s">
        <v>151</v>
      </c>
      <c r="B80" s="39">
        <v>30552575292</v>
      </c>
      <c r="C80" s="39" t="s">
        <v>152</v>
      </c>
      <c r="D80" s="40">
        <v>46078</v>
      </c>
      <c r="E80" s="39"/>
      <c r="F80" s="39"/>
      <c r="G80" s="39" t="s">
        <v>296</v>
      </c>
      <c r="H80" s="34"/>
      <c r="I80" s="38">
        <v>510826.8</v>
      </c>
      <c r="J80" s="38">
        <v>312050</v>
      </c>
      <c r="K80" s="38">
        <v>0</v>
      </c>
      <c r="L80" s="38">
        <f t="shared" si="1"/>
        <v>198776.8</v>
      </c>
    </row>
    <row r="81" spans="1:12" ht="14.4" thickBot="1">
      <c r="A81" s="1" t="s">
        <v>120</v>
      </c>
      <c r="B81" s="2">
        <v>30555217419</v>
      </c>
      <c r="C81" s="2" t="s">
        <v>121</v>
      </c>
      <c r="D81" s="3" t="s">
        <v>10</v>
      </c>
      <c r="E81" s="23">
        <v>46054</v>
      </c>
      <c r="F81" s="1" t="s">
        <v>297</v>
      </c>
      <c r="G81" s="1" t="s">
        <v>298</v>
      </c>
      <c r="H81" s="1">
        <v>45</v>
      </c>
      <c r="I81" s="4">
        <v>30587.17</v>
      </c>
      <c r="J81" s="4">
        <v>0</v>
      </c>
      <c r="K81" s="4">
        <v>0</v>
      </c>
      <c r="L81" s="4">
        <f t="shared" si="1"/>
        <v>30587.17</v>
      </c>
    </row>
    <row r="82" spans="1:12" ht="14.4" thickBot="1">
      <c r="A82" s="1" t="s">
        <v>120</v>
      </c>
      <c r="B82" s="2">
        <v>30555217419</v>
      </c>
      <c r="C82" s="2" t="s">
        <v>153</v>
      </c>
      <c r="D82" s="3" t="s">
        <v>9</v>
      </c>
      <c r="E82" s="23">
        <v>46054</v>
      </c>
      <c r="F82" s="1" t="s">
        <v>300</v>
      </c>
      <c r="G82" s="1" t="s">
        <v>296</v>
      </c>
      <c r="H82" s="1">
        <v>45</v>
      </c>
      <c r="I82" s="4">
        <v>2834992.74</v>
      </c>
      <c r="J82" s="4">
        <v>69564.23</v>
      </c>
      <c r="K82" s="4">
        <v>0</v>
      </c>
      <c r="L82" s="4">
        <f t="shared" si="1"/>
        <v>2765428.5100000002</v>
      </c>
    </row>
    <row r="83" spans="1:12" ht="14.4" thickBot="1">
      <c r="A83" s="1" t="s">
        <v>154</v>
      </c>
      <c r="B83" s="2">
        <v>30623578743</v>
      </c>
      <c r="C83" s="2" t="s">
        <v>155</v>
      </c>
      <c r="D83" s="3" t="s">
        <v>13</v>
      </c>
      <c r="E83" s="23">
        <v>46054</v>
      </c>
      <c r="F83" s="1" t="s">
        <v>297</v>
      </c>
      <c r="G83" s="1" t="s">
        <v>296</v>
      </c>
      <c r="H83" s="1">
        <v>45</v>
      </c>
      <c r="I83" s="4">
        <v>175500</v>
      </c>
      <c r="J83" s="4">
        <v>19500</v>
      </c>
      <c r="K83" s="4">
        <v>0</v>
      </c>
      <c r="L83" s="4">
        <f t="shared" si="1"/>
        <v>156000</v>
      </c>
    </row>
    <row r="84" spans="1:12" ht="14.4" thickBot="1">
      <c r="A84" s="39" t="s">
        <v>19</v>
      </c>
      <c r="B84" s="39">
        <v>30680565224</v>
      </c>
      <c r="C84" s="39" t="s">
        <v>20</v>
      </c>
      <c r="D84" s="40">
        <v>46083</v>
      </c>
      <c r="E84" s="39"/>
      <c r="F84" s="39"/>
      <c r="G84" s="39" t="s">
        <v>298</v>
      </c>
      <c r="H84" s="34"/>
      <c r="I84" s="38">
        <v>227170.48</v>
      </c>
      <c r="J84" s="38">
        <v>11777.68</v>
      </c>
      <c r="K84" s="38">
        <v>0</v>
      </c>
      <c r="L84" s="38">
        <f t="shared" si="1"/>
        <v>215392.80000000002</v>
      </c>
    </row>
    <row r="85" spans="1:12" ht="14.4" thickBot="1">
      <c r="A85" s="39" t="s">
        <v>19</v>
      </c>
      <c r="B85" s="39">
        <v>30680565224</v>
      </c>
      <c r="C85" s="39" t="s">
        <v>21</v>
      </c>
      <c r="D85" s="40">
        <v>46083</v>
      </c>
      <c r="E85" s="39"/>
      <c r="F85" s="39"/>
      <c r="G85" s="39" t="s">
        <v>298</v>
      </c>
      <c r="H85" s="34"/>
      <c r="I85" s="38">
        <v>1221.83</v>
      </c>
      <c r="J85" s="38">
        <v>1221.83</v>
      </c>
      <c r="K85" s="38">
        <v>0</v>
      </c>
      <c r="L85" s="38">
        <f t="shared" si="1"/>
        <v>0</v>
      </c>
    </row>
    <row r="86" spans="1:12" ht="14.4" thickBot="1">
      <c r="A86" s="39" t="s">
        <v>19</v>
      </c>
      <c r="B86" s="39">
        <v>30680565224</v>
      </c>
      <c r="C86" s="39" t="s">
        <v>22</v>
      </c>
      <c r="D86" s="40">
        <v>46083</v>
      </c>
      <c r="E86" s="39"/>
      <c r="F86" s="39"/>
      <c r="G86" s="39" t="s">
        <v>318</v>
      </c>
      <c r="H86" s="34"/>
      <c r="I86" s="38">
        <v>20945.330000000002</v>
      </c>
      <c r="J86" s="38">
        <v>997.4</v>
      </c>
      <c r="K86" s="38">
        <v>0</v>
      </c>
      <c r="L86" s="38">
        <f t="shared" si="1"/>
        <v>19947.93</v>
      </c>
    </row>
    <row r="87" spans="1:12" ht="14.4" thickBot="1">
      <c r="A87" s="39" t="s">
        <v>19</v>
      </c>
      <c r="B87" s="39">
        <v>30680565224</v>
      </c>
      <c r="C87" s="39" t="s">
        <v>23</v>
      </c>
      <c r="D87" s="40">
        <v>46083</v>
      </c>
      <c r="E87" s="39"/>
      <c r="F87" s="39"/>
      <c r="G87" s="39" t="s">
        <v>295</v>
      </c>
      <c r="H87" s="34"/>
      <c r="I87" s="38">
        <v>21814.28</v>
      </c>
      <c r="J87" s="38">
        <v>21814.28</v>
      </c>
      <c r="K87" s="38">
        <v>0</v>
      </c>
      <c r="L87" s="38">
        <f t="shared" si="1"/>
        <v>0</v>
      </c>
    </row>
    <row r="88" spans="1:12" ht="14.4" thickBot="1">
      <c r="A88" s="39" t="s">
        <v>19</v>
      </c>
      <c r="B88" s="39">
        <v>30680565224</v>
      </c>
      <c r="C88" s="39" t="s">
        <v>24</v>
      </c>
      <c r="D88" s="40">
        <v>46086</v>
      </c>
      <c r="E88" s="39"/>
      <c r="F88" s="39"/>
      <c r="G88" s="39" t="s">
        <v>296</v>
      </c>
      <c r="H88" s="34"/>
      <c r="I88" s="38">
        <v>60981.32</v>
      </c>
      <c r="J88" s="38">
        <v>19279.04</v>
      </c>
      <c r="K88" s="38">
        <v>0</v>
      </c>
      <c r="L88" s="38">
        <f t="shared" si="1"/>
        <v>41702.28</v>
      </c>
    </row>
    <row r="89" spans="1:12" ht="14.4" thickBot="1">
      <c r="A89" s="39" t="s">
        <v>19</v>
      </c>
      <c r="B89" s="39">
        <v>30680565224</v>
      </c>
      <c r="C89" s="39" t="s">
        <v>125</v>
      </c>
      <c r="D89" s="40">
        <v>46083</v>
      </c>
      <c r="E89" s="39"/>
      <c r="F89" s="39"/>
      <c r="G89" s="39" t="s">
        <v>298</v>
      </c>
      <c r="H89" s="34"/>
      <c r="I89" s="38">
        <v>15766.62</v>
      </c>
      <c r="J89" s="38">
        <v>0</v>
      </c>
      <c r="K89" s="38">
        <v>0</v>
      </c>
      <c r="L89" s="38">
        <f t="shared" si="1"/>
        <v>15766.62</v>
      </c>
    </row>
    <row r="90" spans="1:12" ht="14.4" thickBot="1">
      <c r="A90" s="1" t="s">
        <v>132</v>
      </c>
      <c r="B90" s="2">
        <v>30623442566</v>
      </c>
      <c r="C90" s="2" t="s">
        <v>133</v>
      </c>
      <c r="D90" s="3" t="s">
        <v>10</v>
      </c>
      <c r="E90" s="23">
        <v>46054</v>
      </c>
      <c r="F90" s="1" t="s">
        <v>297</v>
      </c>
      <c r="G90" s="1" t="s">
        <v>295</v>
      </c>
      <c r="H90" s="1">
        <v>60</v>
      </c>
      <c r="I90" s="4">
        <v>79174.55</v>
      </c>
      <c r="J90" s="4">
        <v>0</v>
      </c>
      <c r="K90" s="4">
        <v>0</v>
      </c>
      <c r="L90" s="4">
        <f t="shared" si="1"/>
        <v>79174.55</v>
      </c>
    </row>
    <row r="91" spans="1:12" ht="14.4" thickBot="1">
      <c r="A91" s="1" t="s">
        <v>132</v>
      </c>
      <c r="B91" s="2">
        <v>30623442566</v>
      </c>
      <c r="C91" s="2" t="s">
        <v>134</v>
      </c>
      <c r="D91" s="3" t="s">
        <v>10</v>
      </c>
      <c r="E91" s="23">
        <v>46054</v>
      </c>
      <c r="F91" s="1" t="s">
        <v>297</v>
      </c>
      <c r="G91" s="1" t="s">
        <v>295</v>
      </c>
      <c r="H91" s="1">
        <v>60</v>
      </c>
      <c r="I91" s="4">
        <v>26189.49</v>
      </c>
      <c r="J91" s="4">
        <v>0</v>
      </c>
      <c r="K91" s="4">
        <v>0</v>
      </c>
      <c r="L91" s="4">
        <f t="shared" si="1"/>
        <v>26189.49</v>
      </c>
    </row>
    <row r="92" spans="1:12" ht="14.4" thickBot="1">
      <c r="A92" s="1" t="s">
        <v>132</v>
      </c>
      <c r="B92" s="2">
        <v>30623442566</v>
      </c>
      <c r="C92" s="2" t="s">
        <v>135</v>
      </c>
      <c r="D92" s="3" t="s">
        <v>10</v>
      </c>
      <c r="E92" s="23">
        <v>46054</v>
      </c>
      <c r="F92" s="1" t="s">
        <v>297</v>
      </c>
      <c r="G92" s="1" t="s">
        <v>296</v>
      </c>
      <c r="H92" s="1">
        <v>60</v>
      </c>
      <c r="I92" s="4">
        <v>1337850.46</v>
      </c>
      <c r="J92" s="4">
        <v>0</v>
      </c>
      <c r="K92" s="4">
        <v>0</v>
      </c>
      <c r="L92" s="4">
        <f t="shared" si="1"/>
        <v>1337850.46</v>
      </c>
    </row>
    <row r="93" spans="1:12" ht="14.4" thickBot="1">
      <c r="A93" s="1" t="s">
        <v>132</v>
      </c>
      <c r="B93" s="2">
        <v>30623442566</v>
      </c>
      <c r="C93" s="2" t="s">
        <v>136</v>
      </c>
      <c r="D93" s="3" t="s">
        <v>10</v>
      </c>
      <c r="E93" s="23">
        <v>46054</v>
      </c>
      <c r="F93" s="1" t="s">
        <v>297</v>
      </c>
      <c r="G93" s="1" t="s">
        <v>296</v>
      </c>
      <c r="H93" s="1">
        <v>60</v>
      </c>
      <c r="I93" s="4">
        <v>19452.79</v>
      </c>
      <c r="J93" s="4">
        <v>0</v>
      </c>
      <c r="K93" s="4">
        <v>0</v>
      </c>
      <c r="L93" s="4">
        <f t="shared" si="1"/>
        <v>19452.79</v>
      </c>
    </row>
    <row r="94" spans="1:12" ht="14.4" thickBot="1">
      <c r="A94" s="1" t="s">
        <v>132</v>
      </c>
      <c r="B94" s="2">
        <v>30623442566</v>
      </c>
      <c r="C94" s="2" t="s">
        <v>137</v>
      </c>
      <c r="D94" s="3" t="s">
        <v>13</v>
      </c>
      <c r="E94" s="23">
        <v>46054</v>
      </c>
      <c r="F94" s="1" t="s">
        <v>297</v>
      </c>
      <c r="G94" s="1" t="s">
        <v>298</v>
      </c>
      <c r="H94" s="1">
        <v>60</v>
      </c>
      <c r="I94" s="4">
        <v>43892.36</v>
      </c>
      <c r="J94" s="4">
        <v>0</v>
      </c>
      <c r="K94" s="4">
        <v>0</v>
      </c>
      <c r="L94" s="4">
        <f t="shared" si="1"/>
        <v>43892.36</v>
      </c>
    </row>
    <row r="95" spans="1:12" ht="14.4" thickBot="1">
      <c r="A95" s="1" t="s">
        <v>132</v>
      </c>
      <c r="B95" s="2">
        <v>30623442566</v>
      </c>
      <c r="C95" s="2" t="s">
        <v>138</v>
      </c>
      <c r="D95" s="3" t="s">
        <v>13</v>
      </c>
      <c r="E95" s="23">
        <v>46054</v>
      </c>
      <c r="F95" s="1" t="s">
        <v>297</v>
      </c>
      <c r="G95" s="1" t="s">
        <v>294</v>
      </c>
      <c r="H95" s="1">
        <v>60</v>
      </c>
      <c r="I95" s="4">
        <v>39544.14</v>
      </c>
      <c r="J95" s="4">
        <v>0</v>
      </c>
      <c r="K95" s="4">
        <v>0</v>
      </c>
      <c r="L95" s="4">
        <f t="shared" si="1"/>
        <v>39544.14</v>
      </c>
    </row>
    <row r="96" spans="1:12" ht="14.4" thickBot="1">
      <c r="A96" s="1" t="s">
        <v>139</v>
      </c>
      <c r="B96" s="2">
        <v>30602764032</v>
      </c>
      <c r="C96" s="2" t="s">
        <v>140</v>
      </c>
      <c r="D96" s="3" t="s">
        <v>13</v>
      </c>
      <c r="E96" s="23">
        <v>46054</v>
      </c>
      <c r="F96" s="1" t="s">
        <v>301</v>
      </c>
      <c r="G96" s="1" t="s">
        <v>298</v>
      </c>
      <c r="H96" s="1">
        <v>30</v>
      </c>
      <c r="I96" s="4">
        <v>1800000</v>
      </c>
      <c r="J96" s="4">
        <v>0</v>
      </c>
      <c r="K96" s="4">
        <v>0</v>
      </c>
      <c r="L96" s="4">
        <f t="shared" si="1"/>
        <v>1800000</v>
      </c>
    </row>
    <row r="97" spans="1:12" ht="14.4" thickBot="1">
      <c r="A97" s="1" t="s">
        <v>141</v>
      </c>
      <c r="B97" s="2">
        <v>30708910208</v>
      </c>
      <c r="C97" s="2" t="s">
        <v>142</v>
      </c>
      <c r="D97" s="3" t="s">
        <v>13</v>
      </c>
      <c r="E97" s="23">
        <v>46054</v>
      </c>
      <c r="F97" s="1" t="s">
        <v>302</v>
      </c>
      <c r="G97" s="1" t="s">
        <v>295</v>
      </c>
      <c r="H97" s="1">
        <v>60</v>
      </c>
      <c r="I97" s="4">
        <v>12810</v>
      </c>
      <c r="J97" s="4">
        <v>0</v>
      </c>
      <c r="K97" s="4">
        <v>0</v>
      </c>
      <c r="L97" s="4">
        <f t="shared" si="1"/>
        <v>12810</v>
      </c>
    </row>
    <row r="98" spans="1:12" ht="14.4" thickBot="1">
      <c r="A98" s="39" t="s">
        <v>141</v>
      </c>
      <c r="B98" s="39">
        <v>30708910208</v>
      </c>
      <c r="C98" s="39" t="s">
        <v>143</v>
      </c>
      <c r="D98" s="40">
        <v>46086</v>
      </c>
      <c r="E98" s="39"/>
      <c r="F98" s="39"/>
      <c r="G98" s="39" t="s">
        <v>295</v>
      </c>
      <c r="H98" s="34"/>
      <c r="I98" s="38">
        <v>119172</v>
      </c>
      <c r="J98" s="38">
        <v>0</v>
      </c>
      <c r="K98" s="38">
        <v>0</v>
      </c>
      <c r="L98" s="38">
        <f t="shared" si="1"/>
        <v>119172</v>
      </c>
    </row>
    <row r="99" spans="1:12" ht="14.4" thickBot="1">
      <c r="A99" s="39" t="s">
        <v>141</v>
      </c>
      <c r="B99" s="39">
        <v>30708910208</v>
      </c>
      <c r="C99" s="39" t="s">
        <v>144</v>
      </c>
      <c r="D99" s="40">
        <v>46086</v>
      </c>
      <c r="E99" s="39"/>
      <c r="F99" s="39"/>
      <c r="G99" s="39" t="s">
        <v>298</v>
      </c>
      <c r="H99" s="34"/>
      <c r="I99" s="38">
        <v>132500</v>
      </c>
      <c r="J99" s="38">
        <v>0</v>
      </c>
      <c r="K99" s="38">
        <v>0</v>
      </c>
      <c r="L99" s="38">
        <f t="shared" si="1"/>
        <v>132500</v>
      </c>
    </row>
    <row r="100" spans="1:12" ht="14.4" thickBot="1">
      <c r="A100" s="39" t="s">
        <v>141</v>
      </c>
      <c r="B100" s="39">
        <v>30708910208</v>
      </c>
      <c r="C100" s="39" t="s">
        <v>145</v>
      </c>
      <c r="D100" s="40">
        <v>46086</v>
      </c>
      <c r="E100" s="39"/>
      <c r="F100" s="39"/>
      <c r="G100" s="39" t="s">
        <v>316</v>
      </c>
      <c r="H100" s="34"/>
      <c r="I100" s="38">
        <v>9100</v>
      </c>
      <c r="J100" s="38">
        <v>0</v>
      </c>
      <c r="K100" s="38">
        <v>0</v>
      </c>
      <c r="L100" s="38">
        <f t="shared" si="1"/>
        <v>9100</v>
      </c>
    </row>
    <row r="101" spans="1:12" ht="14.4" thickBot="1">
      <c r="A101" s="39" t="s">
        <v>141</v>
      </c>
      <c r="B101" s="39">
        <v>30708910208</v>
      </c>
      <c r="C101" s="39" t="s">
        <v>146</v>
      </c>
      <c r="D101" s="40">
        <v>46086</v>
      </c>
      <c r="E101" s="39"/>
      <c r="F101" s="39"/>
      <c r="G101" s="39" t="s">
        <v>296</v>
      </c>
      <c r="H101" s="34"/>
      <c r="I101" s="38">
        <v>224460</v>
      </c>
      <c r="J101" s="38">
        <v>0</v>
      </c>
      <c r="K101" s="38">
        <v>0</v>
      </c>
      <c r="L101" s="38">
        <v>224460</v>
      </c>
    </row>
    <row r="102" spans="1:12" ht="14.4" thickBot="1">
      <c r="A102" s="1" t="s">
        <v>147</v>
      </c>
      <c r="B102" s="2">
        <v>33716532629</v>
      </c>
      <c r="C102" s="2" t="s">
        <v>148</v>
      </c>
      <c r="D102" s="3" t="s">
        <v>39</v>
      </c>
      <c r="E102" s="23">
        <v>46054</v>
      </c>
      <c r="F102" s="1" t="s">
        <v>297</v>
      </c>
      <c r="G102" s="1" t="s">
        <v>296</v>
      </c>
      <c r="H102" s="1">
        <v>45</v>
      </c>
      <c r="I102" s="4">
        <v>54269</v>
      </c>
      <c r="J102" s="4">
        <v>0</v>
      </c>
      <c r="K102" s="4">
        <v>0</v>
      </c>
      <c r="L102" s="4">
        <f t="shared" ref="L102:L164" si="2">I102-J102-K102</f>
        <v>54269</v>
      </c>
    </row>
    <row r="103" spans="1:12" ht="14.4" thickBot="1">
      <c r="A103" s="1" t="s">
        <v>149</v>
      </c>
      <c r="B103" s="2">
        <v>30717147835</v>
      </c>
      <c r="C103" s="2" t="s">
        <v>150</v>
      </c>
      <c r="D103" s="3" t="s">
        <v>9</v>
      </c>
      <c r="E103" s="23">
        <v>46054</v>
      </c>
      <c r="F103" s="1" t="s">
        <v>297</v>
      </c>
      <c r="G103" s="1" t="s">
        <v>298</v>
      </c>
      <c r="H103" s="1">
        <v>60</v>
      </c>
      <c r="I103" s="4">
        <v>96112.56</v>
      </c>
      <c r="J103" s="4">
        <v>0</v>
      </c>
      <c r="K103" s="4">
        <v>0</v>
      </c>
      <c r="L103" s="4">
        <f t="shared" si="2"/>
        <v>96112.56</v>
      </c>
    </row>
    <row r="104" spans="1:12" ht="14.4" thickBot="1">
      <c r="A104" s="1" t="s">
        <v>158</v>
      </c>
      <c r="B104" s="2">
        <v>33577427009</v>
      </c>
      <c r="C104" s="2" t="s">
        <v>159</v>
      </c>
      <c r="D104" s="7">
        <v>46090</v>
      </c>
      <c r="E104" s="23">
        <v>46054</v>
      </c>
      <c r="F104" s="1" t="s">
        <v>297</v>
      </c>
      <c r="G104" s="1" t="s">
        <v>296</v>
      </c>
      <c r="H104" s="1">
        <v>45</v>
      </c>
      <c r="I104" s="4">
        <v>705107</v>
      </c>
      <c r="J104" s="4">
        <v>255112</v>
      </c>
      <c r="K104" s="4">
        <v>0</v>
      </c>
      <c r="L104" s="4">
        <f t="shared" si="2"/>
        <v>449995</v>
      </c>
    </row>
    <row r="105" spans="1:12" ht="14.4" thickBot="1">
      <c r="A105" s="1" t="s">
        <v>158</v>
      </c>
      <c r="B105" s="2">
        <v>33577427009</v>
      </c>
      <c r="C105" s="2" t="s">
        <v>162</v>
      </c>
      <c r="D105" s="7">
        <v>46090</v>
      </c>
      <c r="E105" s="23">
        <v>46054</v>
      </c>
      <c r="F105" s="1" t="s">
        <v>297</v>
      </c>
      <c r="G105" s="1" t="s">
        <v>298</v>
      </c>
      <c r="H105" s="1">
        <v>45</v>
      </c>
      <c r="I105" s="4">
        <v>1339240</v>
      </c>
      <c r="J105" s="4">
        <v>261697</v>
      </c>
      <c r="K105" s="4">
        <v>0</v>
      </c>
      <c r="L105" s="4">
        <f t="shared" si="2"/>
        <v>1077543</v>
      </c>
    </row>
    <row r="106" spans="1:12" ht="14.4" thickBot="1">
      <c r="A106" s="1" t="s">
        <v>163</v>
      </c>
      <c r="B106" s="2">
        <v>30714398454</v>
      </c>
      <c r="C106" s="2" t="s">
        <v>164</v>
      </c>
      <c r="D106" s="3">
        <v>46083</v>
      </c>
      <c r="E106" s="23">
        <v>46054</v>
      </c>
      <c r="F106" s="1" t="s">
        <v>297</v>
      </c>
      <c r="G106" s="1" t="s">
        <v>298</v>
      </c>
      <c r="H106" s="1">
        <v>45</v>
      </c>
      <c r="I106" s="4">
        <v>600000</v>
      </c>
      <c r="J106" s="4">
        <v>600000</v>
      </c>
      <c r="K106" s="4">
        <v>0</v>
      </c>
      <c r="L106" s="4">
        <f t="shared" si="2"/>
        <v>0</v>
      </c>
    </row>
    <row r="107" spans="1:12" ht="14.4" thickBot="1">
      <c r="A107" s="1" t="s">
        <v>156</v>
      </c>
      <c r="B107" s="2">
        <v>30709242195</v>
      </c>
      <c r="C107" s="2" t="s">
        <v>157</v>
      </c>
      <c r="D107" s="3" t="s">
        <v>29</v>
      </c>
      <c r="E107" s="23">
        <v>46054</v>
      </c>
      <c r="F107" s="1" t="s">
        <v>297</v>
      </c>
      <c r="G107" s="1" t="s">
        <v>298</v>
      </c>
      <c r="H107" s="1">
        <v>45</v>
      </c>
      <c r="I107" s="4">
        <v>216159.6</v>
      </c>
      <c r="J107" s="4">
        <v>0</v>
      </c>
      <c r="K107" s="4">
        <v>0</v>
      </c>
      <c r="L107" s="4">
        <f t="shared" si="2"/>
        <v>216159.6</v>
      </c>
    </row>
    <row r="108" spans="1:12" ht="14.4" thickBot="1">
      <c r="A108" s="6" t="s">
        <v>286</v>
      </c>
      <c r="B108" s="14">
        <v>30717358909</v>
      </c>
      <c r="C108" s="15" t="s">
        <v>287</v>
      </c>
      <c r="D108" s="16">
        <v>46092</v>
      </c>
      <c r="E108" s="24">
        <v>45689</v>
      </c>
      <c r="F108" s="6" t="s">
        <v>300</v>
      </c>
      <c r="G108" s="6" t="s">
        <v>296</v>
      </c>
      <c r="H108" s="1">
        <v>30</v>
      </c>
      <c r="I108" s="4">
        <v>783276.56</v>
      </c>
      <c r="J108" s="4">
        <v>499023.74</v>
      </c>
      <c r="K108" s="4">
        <v>0</v>
      </c>
      <c r="L108" s="4">
        <f t="shared" si="2"/>
        <v>284252.82000000007</v>
      </c>
    </row>
    <row r="109" spans="1:12" ht="14.4" thickBot="1">
      <c r="A109" s="1" t="s">
        <v>160</v>
      </c>
      <c r="B109" s="2">
        <v>30716142015</v>
      </c>
      <c r="C109" s="2" t="s">
        <v>161</v>
      </c>
      <c r="D109" s="3" t="s">
        <v>9</v>
      </c>
      <c r="E109" s="23">
        <v>46054</v>
      </c>
      <c r="F109" s="1" t="s">
        <v>297</v>
      </c>
      <c r="G109" s="1" t="s">
        <v>298</v>
      </c>
      <c r="H109" s="1">
        <v>60</v>
      </c>
      <c r="I109" s="4">
        <v>192100</v>
      </c>
      <c r="J109" s="4">
        <v>0</v>
      </c>
      <c r="K109" s="4">
        <v>0</v>
      </c>
      <c r="L109" s="4">
        <f t="shared" si="2"/>
        <v>192100</v>
      </c>
    </row>
    <row r="110" spans="1:12" ht="14.4" thickBot="1">
      <c r="A110" s="1" t="s">
        <v>160</v>
      </c>
      <c r="B110" s="2">
        <v>30716142015</v>
      </c>
      <c r="C110" s="2" t="s">
        <v>165</v>
      </c>
      <c r="D110" s="3" t="s">
        <v>166</v>
      </c>
      <c r="E110" s="23">
        <v>46054</v>
      </c>
      <c r="F110" s="1" t="s">
        <v>297</v>
      </c>
      <c r="G110" s="1" t="s">
        <v>294</v>
      </c>
      <c r="H110" s="1">
        <v>60</v>
      </c>
      <c r="I110" s="4">
        <v>223975</v>
      </c>
      <c r="J110" s="4">
        <v>31722</v>
      </c>
      <c r="K110" s="4">
        <v>0</v>
      </c>
      <c r="L110" s="4">
        <f t="shared" si="2"/>
        <v>192253</v>
      </c>
    </row>
    <row r="111" spans="1:12" ht="14.4" thickBot="1">
      <c r="A111" s="1" t="s">
        <v>160</v>
      </c>
      <c r="B111" s="2">
        <v>30716142015</v>
      </c>
      <c r="C111" s="2" t="s">
        <v>170</v>
      </c>
      <c r="D111" s="3" t="s">
        <v>29</v>
      </c>
      <c r="E111" s="23">
        <v>46054</v>
      </c>
      <c r="F111" s="1" t="s">
        <v>297</v>
      </c>
      <c r="G111" s="1" t="s">
        <v>295</v>
      </c>
      <c r="H111" s="1">
        <v>60</v>
      </c>
      <c r="I111" s="4">
        <v>575875</v>
      </c>
      <c r="J111" s="4">
        <v>86588</v>
      </c>
      <c r="K111" s="4">
        <v>0</v>
      </c>
      <c r="L111" s="4">
        <f t="shared" si="2"/>
        <v>489287</v>
      </c>
    </row>
    <row r="112" spans="1:12" ht="14.4" thickBot="1">
      <c r="A112" s="1" t="s">
        <v>160</v>
      </c>
      <c r="B112" s="2">
        <v>30716142015</v>
      </c>
      <c r="C112" s="2" t="s">
        <v>175</v>
      </c>
      <c r="D112" s="3" t="s">
        <v>29</v>
      </c>
      <c r="E112" s="23">
        <v>46054</v>
      </c>
      <c r="F112" s="1" t="s">
        <v>297</v>
      </c>
      <c r="G112" s="1" t="s">
        <v>296</v>
      </c>
      <c r="H112" s="1">
        <v>60</v>
      </c>
      <c r="I112" s="4">
        <v>1041683.5</v>
      </c>
      <c r="J112" s="4">
        <v>11383.5</v>
      </c>
      <c r="K112" s="4">
        <v>0</v>
      </c>
      <c r="L112" s="4">
        <f t="shared" si="2"/>
        <v>1030300</v>
      </c>
    </row>
    <row r="113" spans="1:12" ht="14.4" thickBot="1">
      <c r="A113" s="1" t="s">
        <v>167</v>
      </c>
      <c r="B113" s="2">
        <v>30709290866</v>
      </c>
      <c r="C113" s="2" t="s">
        <v>168</v>
      </c>
      <c r="D113" s="3" t="s">
        <v>9</v>
      </c>
      <c r="E113" s="23">
        <v>46082</v>
      </c>
      <c r="F113" s="1" t="s">
        <v>303</v>
      </c>
      <c r="G113" s="1" t="s">
        <v>296</v>
      </c>
      <c r="H113" s="1">
        <v>30</v>
      </c>
      <c r="I113" s="4">
        <v>16128</v>
      </c>
      <c r="J113" s="4">
        <v>0</v>
      </c>
      <c r="K113" s="4">
        <v>0</v>
      </c>
      <c r="L113" s="4">
        <f t="shared" si="2"/>
        <v>16128</v>
      </c>
    </row>
    <row r="114" spans="1:12" ht="14.4" thickBot="1">
      <c r="A114" s="1" t="s">
        <v>167</v>
      </c>
      <c r="B114" s="2">
        <v>30709290866</v>
      </c>
      <c r="C114" s="2" t="s">
        <v>169</v>
      </c>
      <c r="D114" s="3" t="s">
        <v>9</v>
      </c>
      <c r="E114" s="23">
        <v>46082</v>
      </c>
      <c r="F114" s="1" t="s">
        <v>303</v>
      </c>
      <c r="G114" s="1" t="s">
        <v>298</v>
      </c>
      <c r="H114" s="1">
        <v>30</v>
      </c>
      <c r="I114" s="4">
        <v>212616</v>
      </c>
      <c r="J114" s="4">
        <v>0</v>
      </c>
      <c r="K114" s="4">
        <v>0</v>
      </c>
      <c r="L114" s="4">
        <f t="shared" si="2"/>
        <v>212616</v>
      </c>
    </row>
    <row r="115" spans="1:12" ht="14.4" thickBot="1">
      <c r="A115" s="1" t="s">
        <v>167</v>
      </c>
      <c r="B115" s="2">
        <v>30709290866</v>
      </c>
      <c r="C115" s="2" t="s">
        <v>176</v>
      </c>
      <c r="D115" s="3" t="s">
        <v>9</v>
      </c>
      <c r="E115" s="23">
        <v>46082</v>
      </c>
      <c r="F115" s="1" t="s">
        <v>303</v>
      </c>
      <c r="G115" s="1" t="s">
        <v>295</v>
      </c>
      <c r="H115" s="1">
        <v>30</v>
      </c>
      <c r="I115" s="4">
        <v>46560</v>
      </c>
      <c r="J115" s="4">
        <v>23280</v>
      </c>
      <c r="K115" s="4">
        <v>0</v>
      </c>
      <c r="L115" s="4">
        <f t="shared" si="2"/>
        <v>23280</v>
      </c>
    </row>
    <row r="116" spans="1:12" ht="14.4" thickBot="1">
      <c r="A116" s="1" t="s">
        <v>171</v>
      </c>
      <c r="B116" s="2">
        <v>30689768861</v>
      </c>
      <c r="C116" s="2" t="s">
        <v>172</v>
      </c>
      <c r="D116" s="3" t="s">
        <v>10</v>
      </c>
      <c r="E116" s="23">
        <v>46054</v>
      </c>
      <c r="F116" s="1" t="s">
        <v>297</v>
      </c>
      <c r="G116" s="1" t="s">
        <v>296</v>
      </c>
      <c r="H116" s="1">
        <v>60</v>
      </c>
      <c r="I116" s="4">
        <v>6861.64</v>
      </c>
      <c r="J116" s="4">
        <v>0</v>
      </c>
      <c r="K116" s="4">
        <v>0</v>
      </c>
      <c r="L116" s="4">
        <f t="shared" si="2"/>
        <v>6861.64</v>
      </c>
    </row>
    <row r="117" spans="1:12" ht="14.4" thickBot="1">
      <c r="A117" s="1" t="s">
        <v>171</v>
      </c>
      <c r="B117" s="2">
        <v>30689768861</v>
      </c>
      <c r="C117" s="2" t="s">
        <v>177</v>
      </c>
      <c r="D117" s="3" t="s">
        <v>10</v>
      </c>
      <c r="E117" s="23">
        <v>46054</v>
      </c>
      <c r="F117" s="1" t="s">
        <v>297</v>
      </c>
      <c r="G117" s="1" t="s">
        <v>298</v>
      </c>
      <c r="H117" s="1">
        <v>60</v>
      </c>
      <c r="I117" s="4">
        <v>374599.54</v>
      </c>
      <c r="J117" s="4">
        <v>58872.28</v>
      </c>
      <c r="K117" s="4">
        <v>0</v>
      </c>
      <c r="L117" s="4">
        <f t="shared" si="2"/>
        <v>315727.26</v>
      </c>
    </row>
    <row r="118" spans="1:12" ht="14.4" thickBot="1">
      <c r="A118" s="1" t="s">
        <v>173</v>
      </c>
      <c r="B118" s="2">
        <v>30698852441</v>
      </c>
      <c r="C118" s="2" t="s">
        <v>174</v>
      </c>
      <c r="D118" s="7">
        <v>46092</v>
      </c>
      <c r="E118" s="23">
        <v>46054</v>
      </c>
      <c r="F118" s="1" t="s">
        <v>297</v>
      </c>
      <c r="G118" s="1" t="s">
        <v>296</v>
      </c>
      <c r="H118" s="1">
        <v>60</v>
      </c>
      <c r="I118" s="4">
        <v>13976.34</v>
      </c>
      <c r="J118" s="4">
        <v>0</v>
      </c>
      <c r="K118" s="4">
        <v>0</v>
      </c>
      <c r="L118" s="4">
        <f t="shared" si="2"/>
        <v>13976.34</v>
      </c>
    </row>
    <row r="119" spans="1:12" ht="14.4" thickBot="1">
      <c r="A119" s="1" t="s">
        <v>178</v>
      </c>
      <c r="B119" s="2">
        <v>30589770842</v>
      </c>
      <c r="C119" s="2" t="s">
        <v>179</v>
      </c>
      <c r="D119" s="3" t="s">
        <v>52</v>
      </c>
      <c r="E119" s="23">
        <v>46054</v>
      </c>
      <c r="F119" s="1" t="s">
        <v>297</v>
      </c>
      <c r="G119" s="1" t="s">
        <v>296</v>
      </c>
      <c r="H119" s="1">
        <v>60</v>
      </c>
      <c r="I119" s="4">
        <v>100248.56</v>
      </c>
      <c r="J119" s="4">
        <v>0</v>
      </c>
      <c r="K119" s="4">
        <v>0</v>
      </c>
      <c r="L119" s="4">
        <f t="shared" si="2"/>
        <v>100248.56</v>
      </c>
    </row>
    <row r="120" spans="1:12" ht="14.4" thickBot="1">
      <c r="A120" s="1" t="s">
        <v>178</v>
      </c>
      <c r="B120" s="2">
        <v>30589770842</v>
      </c>
      <c r="C120" s="2" t="s">
        <v>180</v>
      </c>
      <c r="D120" s="3" t="s">
        <v>52</v>
      </c>
      <c r="E120" s="23">
        <v>46054</v>
      </c>
      <c r="F120" s="1" t="s">
        <v>297</v>
      </c>
      <c r="G120" s="1" t="s">
        <v>294</v>
      </c>
      <c r="H120" s="1">
        <v>60</v>
      </c>
      <c r="I120" s="4">
        <v>100532.15</v>
      </c>
      <c r="J120" s="4">
        <v>0</v>
      </c>
      <c r="K120" s="4">
        <v>0</v>
      </c>
      <c r="L120" s="4">
        <f t="shared" si="2"/>
        <v>100532.15</v>
      </c>
    </row>
    <row r="121" spans="1:12" ht="14.4" thickBot="1">
      <c r="A121" s="1" t="s">
        <v>178</v>
      </c>
      <c r="B121" s="2">
        <v>30589770842</v>
      </c>
      <c r="C121" s="2" t="s">
        <v>181</v>
      </c>
      <c r="D121" s="3" t="s">
        <v>52</v>
      </c>
      <c r="E121" s="23">
        <v>46054</v>
      </c>
      <c r="F121" s="1" t="s">
        <v>297</v>
      </c>
      <c r="G121" s="1" t="s">
        <v>295</v>
      </c>
      <c r="H121" s="1">
        <v>60</v>
      </c>
      <c r="I121" s="4">
        <v>135481.76</v>
      </c>
      <c r="J121" s="4">
        <v>0</v>
      </c>
      <c r="K121" s="4">
        <v>0</v>
      </c>
      <c r="L121" s="4">
        <f t="shared" si="2"/>
        <v>135481.76</v>
      </c>
    </row>
    <row r="122" spans="1:12" ht="14.4" thickBot="1">
      <c r="A122" s="1" t="s">
        <v>178</v>
      </c>
      <c r="B122" s="2">
        <v>30589770842</v>
      </c>
      <c r="C122" s="2" t="s">
        <v>182</v>
      </c>
      <c r="D122" s="3" t="s">
        <v>52</v>
      </c>
      <c r="E122" s="23">
        <v>46054</v>
      </c>
      <c r="F122" s="1" t="s">
        <v>297</v>
      </c>
      <c r="G122" s="1" t="s">
        <v>296</v>
      </c>
      <c r="H122" s="1">
        <v>60</v>
      </c>
      <c r="I122" s="4">
        <v>437136.32</v>
      </c>
      <c r="J122" s="4">
        <v>0</v>
      </c>
      <c r="K122" s="4">
        <v>0</v>
      </c>
      <c r="L122" s="4">
        <f t="shared" si="2"/>
        <v>437136.32</v>
      </c>
    </row>
    <row r="123" spans="1:12" ht="14.4" thickBot="1">
      <c r="A123" s="1" t="s">
        <v>178</v>
      </c>
      <c r="B123" s="2">
        <v>30589770842</v>
      </c>
      <c r="C123" s="2" t="s">
        <v>183</v>
      </c>
      <c r="D123" s="3" t="s">
        <v>52</v>
      </c>
      <c r="E123" s="23">
        <v>46054</v>
      </c>
      <c r="F123" s="1" t="s">
        <v>297</v>
      </c>
      <c r="G123" s="1" t="s">
        <v>298</v>
      </c>
      <c r="H123" s="1">
        <v>60</v>
      </c>
      <c r="I123" s="4">
        <v>154106.32999999999</v>
      </c>
      <c r="J123" s="4">
        <v>0</v>
      </c>
      <c r="K123" s="4">
        <v>0</v>
      </c>
      <c r="L123" s="4">
        <f t="shared" si="2"/>
        <v>154106.32999999999</v>
      </c>
    </row>
    <row r="124" spans="1:12" ht="14.4" thickBot="1">
      <c r="A124" s="1" t="s">
        <v>178</v>
      </c>
      <c r="B124" s="2">
        <v>30589770842</v>
      </c>
      <c r="C124" s="2" t="s">
        <v>184</v>
      </c>
      <c r="D124" s="3" t="s">
        <v>52</v>
      </c>
      <c r="E124" s="23">
        <v>46054</v>
      </c>
      <c r="F124" s="1" t="s">
        <v>297</v>
      </c>
      <c r="G124" s="1" t="s">
        <v>294</v>
      </c>
      <c r="H124" s="1">
        <v>60</v>
      </c>
      <c r="I124" s="4">
        <v>134328.95999999999</v>
      </c>
      <c r="J124" s="4">
        <v>12000</v>
      </c>
      <c r="K124" s="4">
        <v>0</v>
      </c>
      <c r="L124" s="4">
        <f t="shared" si="2"/>
        <v>122328.95999999999</v>
      </c>
    </row>
    <row r="125" spans="1:12" ht="14.4" thickBot="1">
      <c r="A125" s="1" t="s">
        <v>178</v>
      </c>
      <c r="B125" s="2">
        <v>30589770842</v>
      </c>
      <c r="C125" s="2" t="s">
        <v>185</v>
      </c>
      <c r="D125" s="3" t="s">
        <v>52</v>
      </c>
      <c r="E125" s="23">
        <v>46054</v>
      </c>
      <c r="F125" s="1" t="s">
        <v>297</v>
      </c>
      <c r="G125" s="1" t="s">
        <v>298</v>
      </c>
      <c r="H125" s="1">
        <v>60</v>
      </c>
      <c r="I125" s="4">
        <v>804303.79</v>
      </c>
      <c r="J125" s="4">
        <v>0</v>
      </c>
      <c r="K125" s="4">
        <v>0</v>
      </c>
      <c r="L125" s="4">
        <f t="shared" si="2"/>
        <v>804303.79</v>
      </c>
    </row>
    <row r="126" spans="1:12" ht="14.4" thickBot="1">
      <c r="A126" s="1" t="s">
        <v>178</v>
      </c>
      <c r="B126" s="2">
        <v>30589770842</v>
      </c>
      <c r="C126" s="2" t="s">
        <v>186</v>
      </c>
      <c r="D126" s="3">
        <v>46081</v>
      </c>
      <c r="E126" s="23">
        <v>46054</v>
      </c>
      <c r="F126" s="1" t="s">
        <v>297</v>
      </c>
      <c r="G126" s="1" t="s">
        <v>298</v>
      </c>
      <c r="H126" s="1">
        <v>60</v>
      </c>
      <c r="I126" s="4">
        <v>237725.46</v>
      </c>
      <c r="J126" s="4">
        <v>0</v>
      </c>
      <c r="K126" s="4">
        <v>0</v>
      </c>
      <c r="L126" s="4">
        <f t="shared" si="2"/>
        <v>237725.46</v>
      </c>
    </row>
    <row r="127" spans="1:12" ht="14.4" thickBot="1">
      <c r="A127" s="1" t="s">
        <v>178</v>
      </c>
      <c r="B127" s="2">
        <v>30589770842</v>
      </c>
      <c r="C127" s="2" t="s">
        <v>187</v>
      </c>
      <c r="D127" s="3" t="s">
        <v>52</v>
      </c>
      <c r="E127" s="23">
        <v>46054</v>
      </c>
      <c r="F127" s="1" t="s">
        <v>297</v>
      </c>
      <c r="G127" s="1" t="s">
        <v>298</v>
      </c>
      <c r="H127" s="1">
        <v>60</v>
      </c>
      <c r="I127" s="4">
        <v>1060212.97</v>
      </c>
      <c r="J127" s="4">
        <v>0</v>
      </c>
      <c r="K127" s="4">
        <v>0</v>
      </c>
      <c r="L127" s="4">
        <f t="shared" si="2"/>
        <v>1060212.97</v>
      </c>
    </row>
    <row r="128" spans="1:12" ht="14.4" thickBot="1">
      <c r="A128" s="1" t="s">
        <v>178</v>
      </c>
      <c r="B128" s="2">
        <v>30589770842</v>
      </c>
      <c r="C128" s="2" t="s">
        <v>188</v>
      </c>
      <c r="D128" s="3" t="s">
        <v>52</v>
      </c>
      <c r="E128" s="23">
        <v>46054</v>
      </c>
      <c r="F128" s="1" t="s">
        <v>297</v>
      </c>
      <c r="G128" s="1" t="s">
        <v>298</v>
      </c>
      <c r="H128" s="1">
        <v>60</v>
      </c>
      <c r="I128" s="4">
        <v>21911.5</v>
      </c>
      <c r="J128" s="4">
        <v>0</v>
      </c>
      <c r="K128" s="4">
        <v>0</v>
      </c>
      <c r="L128" s="4">
        <f t="shared" si="2"/>
        <v>21911.5</v>
      </c>
    </row>
    <row r="129" spans="1:12" ht="14.4" thickBot="1">
      <c r="A129" s="1" t="s">
        <v>178</v>
      </c>
      <c r="B129" s="2">
        <v>30589770842</v>
      </c>
      <c r="C129" s="2" t="s">
        <v>189</v>
      </c>
      <c r="D129" s="3" t="s">
        <v>52</v>
      </c>
      <c r="E129" s="23">
        <v>46054</v>
      </c>
      <c r="F129" s="1" t="s">
        <v>297</v>
      </c>
      <c r="G129" s="1" t="s">
        <v>296</v>
      </c>
      <c r="H129" s="1">
        <v>60</v>
      </c>
      <c r="I129" s="4">
        <v>740992</v>
      </c>
      <c r="J129" s="4">
        <v>0</v>
      </c>
      <c r="K129" s="4">
        <v>0</v>
      </c>
      <c r="L129" s="4">
        <f t="shared" si="2"/>
        <v>740992</v>
      </c>
    </row>
    <row r="130" spans="1:12" ht="14.4" thickBot="1">
      <c r="A130" s="1" t="s">
        <v>178</v>
      </c>
      <c r="B130" s="2">
        <v>30589770842</v>
      </c>
      <c r="C130" s="2" t="s">
        <v>190</v>
      </c>
      <c r="D130" s="3" t="s">
        <v>52</v>
      </c>
      <c r="E130" s="23">
        <v>46054</v>
      </c>
      <c r="F130" s="1" t="s">
        <v>297</v>
      </c>
      <c r="G130" s="1" t="s">
        <v>295</v>
      </c>
      <c r="H130" s="1">
        <v>60</v>
      </c>
      <c r="I130" s="4">
        <v>9911.5</v>
      </c>
      <c r="J130" s="4">
        <v>0</v>
      </c>
      <c r="K130" s="4">
        <v>0</v>
      </c>
      <c r="L130" s="4">
        <f t="shared" si="2"/>
        <v>9911.5</v>
      </c>
    </row>
    <row r="131" spans="1:12" ht="14.4" thickBot="1">
      <c r="A131" s="1" t="s">
        <v>178</v>
      </c>
      <c r="B131" s="2">
        <v>30589770842</v>
      </c>
      <c r="C131" s="2" t="s">
        <v>191</v>
      </c>
      <c r="D131" s="3" t="s">
        <v>52</v>
      </c>
      <c r="E131" s="23">
        <v>46054</v>
      </c>
      <c r="F131" s="1" t="s">
        <v>297</v>
      </c>
      <c r="G131" s="1" t="s">
        <v>295</v>
      </c>
      <c r="H131" s="1">
        <v>60</v>
      </c>
      <c r="I131" s="4">
        <v>348723.11</v>
      </c>
      <c r="J131" s="4">
        <v>0</v>
      </c>
      <c r="K131" s="4">
        <v>0</v>
      </c>
      <c r="L131" s="4">
        <f t="shared" si="2"/>
        <v>348723.11</v>
      </c>
    </row>
    <row r="132" spans="1:12" ht="14.4" thickBot="1">
      <c r="A132" s="1" t="s">
        <v>178</v>
      </c>
      <c r="B132" s="2">
        <v>30589770842</v>
      </c>
      <c r="C132" s="2" t="s">
        <v>192</v>
      </c>
      <c r="D132" s="3" t="s">
        <v>52</v>
      </c>
      <c r="E132" s="23">
        <v>46054</v>
      </c>
      <c r="F132" s="1" t="s">
        <v>297</v>
      </c>
      <c r="G132" s="1" t="s">
        <v>295</v>
      </c>
      <c r="H132" s="1">
        <v>60</v>
      </c>
      <c r="I132" s="4">
        <v>43460</v>
      </c>
      <c r="J132" s="4">
        <v>0</v>
      </c>
      <c r="K132" s="4">
        <v>0</v>
      </c>
      <c r="L132" s="4">
        <f t="shared" si="2"/>
        <v>43460</v>
      </c>
    </row>
    <row r="133" spans="1:12" ht="14.4" thickBot="1">
      <c r="A133" s="1" t="s">
        <v>178</v>
      </c>
      <c r="B133" s="2">
        <v>30589770842</v>
      </c>
      <c r="C133" s="2" t="s">
        <v>193</v>
      </c>
      <c r="D133" s="3" t="s">
        <v>52</v>
      </c>
      <c r="E133" s="23">
        <v>46054</v>
      </c>
      <c r="F133" s="1" t="s">
        <v>297</v>
      </c>
      <c r="G133" s="1" t="s">
        <v>294</v>
      </c>
      <c r="H133" s="1">
        <v>60</v>
      </c>
      <c r="I133" s="4">
        <v>26780</v>
      </c>
      <c r="J133" s="4">
        <v>0</v>
      </c>
      <c r="K133" s="4">
        <v>0</v>
      </c>
      <c r="L133" s="4">
        <f t="shared" si="2"/>
        <v>26780</v>
      </c>
    </row>
    <row r="134" spans="1:12" ht="14.4" thickBot="1">
      <c r="A134" s="1" t="s">
        <v>178</v>
      </c>
      <c r="B134" s="2">
        <v>30589770842</v>
      </c>
      <c r="C134" s="2" t="s">
        <v>194</v>
      </c>
      <c r="D134" s="3" t="s">
        <v>52</v>
      </c>
      <c r="E134" s="23">
        <v>46054</v>
      </c>
      <c r="F134" s="1" t="s">
        <v>297</v>
      </c>
      <c r="G134" s="1" t="s">
        <v>298</v>
      </c>
      <c r="H134" s="1">
        <v>60</v>
      </c>
      <c r="I134" s="4">
        <v>382660.61</v>
      </c>
      <c r="J134" s="4">
        <v>0</v>
      </c>
      <c r="K134" s="4">
        <v>0</v>
      </c>
      <c r="L134" s="4">
        <f t="shared" si="2"/>
        <v>382660.61</v>
      </c>
    </row>
    <row r="135" spans="1:12" ht="14.4" thickBot="1">
      <c r="A135" s="1" t="s">
        <v>178</v>
      </c>
      <c r="B135" s="2">
        <v>30589770842</v>
      </c>
      <c r="C135" s="2" t="s">
        <v>195</v>
      </c>
      <c r="D135" s="3" t="s">
        <v>52</v>
      </c>
      <c r="E135" s="23">
        <v>46054</v>
      </c>
      <c r="F135" s="1" t="s">
        <v>297</v>
      </c>
      <c r="G135" s="1" t="s">
        <v>295</v>
      </c>
      <c r="H135" s="1">
        <v>60</v>
      </c>
      <c r="I135" s="4">
        <v>2541207.48</v>
      </c>
      <c r="J135" s="4">
        <v>24000</v>
      </c>
      <c r="K135" s="4">
        <v>0</v>
      </c>
      <c r="L135" s="4">
        <f t="shared" si="2"/>
        <v>2517207.48</v>
      </c>
    </row>
    <row r="136" spans="1:12" ht="14.4" thickBot="1">
      <c r="A136" s="1" t="s">
        <v>178</v>
      </c>
      <c r="B136" s="2">
        <v>30589770842</v>
      </c>
      <c r="C136" s="2" t="s">
        <v>196</v>
      </c>
      <c r="D136" s="3" t="s">
        <v>52</v>
      </c>
      <c r="E136" s="23">
        <v>46054</v>
      </c>
      <c r="F136" s="1" t="s">
        <v>297</v>
      </c>
      <c r="G136" s="1" t="s">
        <v>295</v>
      </c>
      <c r="H136" s="1">
        <v>60</v>
      </c>
      <c r="I136" s="4">
        <v>267231.98</v>
      </c>
      <c r="J136" s="4">
        <v>2690</v>
      </c>
      <c r="K136" s="4">
        <v>0</v>
      </c>
      <c r="L136" s="4">
        <f t="shared" si="2"/>
        <v>264541.98</v>
      </c>
    </row>
    <row r="137" spans="1:12" ht="14.4" thickBot="1">
      <c r="A137" s="1" t="s">
        <v>178</v>
      </c>
      <c r="B137" s="2">
        <v>30589770842</v>
      </c>
      <c r="C137" s="2" t="s">
        <v>197</v>
      </c>
      <c r="D137" s="3" t="s">
        <v>52</v>
      </c>
      <c r="E137" s="23">
        <v>46054</v>
      </c>
      <c r="F137" s="1" t="s">
        <v>297</v>
      </c>
      <c r="G137" s="1" t="s">
        <v>296</v>
      </c>
      <c r="H137" s="1">
        <v>60</v>
      </c>
      <c r="I137" s="4">
        <v>104357.8</v>
      </c>
      <c r="J137" s="4">
        <v>0</v>
      </c>
      <c r="K137" s="4">
        <v>0</v>
      </c>
      <c r="L137" s="4">
        <f t="shared" si="2"/>
        <v>104357.8</v>
      </c>
    </row>
    <row r="138" spans="1:12" ht="14.4" thickBot="1">
      <c r="A138" s="1" t="s">
        <v>178</v>
      </c>
      <c r="B138" s="2">
        <v>30589770842</v>
      </c>
      <c r="C138" s="2" t="s">
        <v>198</v>
      </c>
      <c r="D138" s="3" t="s">
        <v>52</v>
      </c>
      <c r="E138" s="23">
        <v>46054</v>
      </c>
      <c r="F138" s="1" t="s">
        <v>297</v>
      </c>
      <c r="G138" s="1" t="s">
        <v>298</v>
      </c>
      <c r="H138" s="1">
        <v>60</v>
      </c>
      <c r="I138" s="4">
        <v>493759</v>
      </c>
      <c r="J138" s="4">
        <v>0</v>
      </c>
      <c r="K138" s="4">
        <v>0</v>
      </c>
      <c r="L138" s="4">
        <f t="shared" si="2"/>
        <v>493759</v>
      </c>
    </row>
    <row r="139" spans="1:12" ht="14.4" thickBot="1">
      <c r="A139" s="1" t="s">
        <v>178</v>
      </c>
      <c r="B139" s="2">
        <v>30589770842</v>
      </c>
      <c r="C139" s="2" t="s">
        <v>199</v>
      </c>
      <c r="D139" s="3" t="s">
        <v>52</v>
      </c>
      <c r="E139" s="23">
        <v>46054</v>
      </c>
      <c r="F139" s="1" t="s">
        <v>297</v>
      </c>
      <c r="G139" s="1" t="s">
        <v>295</v>
      </c>
      <c r="H139" s="1">
        <v>60</v>
      </c>
      <c r="I139" s="4">
        <v>351095.23</v>
      </c>
      <c r="J139" s="4">
        <v>0</v>
      </c>
      <c r="K139" s="4">
        <v>0</v>
      </c>
      <c r="L139" s="4">
        <f t="shared" si="2"/>
        <v>351095.23</v>
      </c>
    </row>
    <row r="140" spans="1:12" ht="14.4" thickBot="1">
      <c r="A140" s="1" t="s">
        <v>178</v>
      </c>
      <c r="B140" s="2">
        <v>30589770842</v>
      </c>
      <c r="C140" s="2" t="s">
        <v>200</v>
      </c>
      <c r="D140" s="3" t="s">
        <v>52</v>
      </c>
      <c r="E140" s="23">
        <v>46054</v>
      </c>
      <c r="F140" s="1" t="s">
        <v>297</v>
      </c>
      <c r="G140" s="1" t="s">
        <v>296</v>
      </c>
      <c r="H140" s="1">
        <v>60</v>
      </c>
      <c r="I140" s="4">
        <v>555979.76</v>
      </c>
      <c r="J140" s="4">
        <v>0</v>
      </c>
      <c r="K140" s="4">
        <v>0</v>
      </c>
      <c r="L140" s="4">
        <f t="shared" si="2"/>
        <v>555979.76</v>
      </c>
    </row>
    <row r="141" spans="1:12" ht="14.4" thickBot="1">
      <c r="A141" s="1" t="s">
        <v>178</v>
      </c>
      <c r="B141" s="2">
        <v>30589770842</v>
      </c>
      <c r="C141" s="2" t="s">
        <v>203</v>
      </c>
      <c r="D141" s="3" t="s">
        <v>52</v>
      </c>
      <c r="E141" s="23">
        <v>46054</v>
      </c>
      <c r="F141" s="1" t="s">
        <v>297</v>
      </c>
      <c r="G141" s="1" t="s">
        <v>296</v>
      </c>
      <c r="H141" s="1">
        <v>60</v>
      </c>
      <c r="I141" s="4">
        <v>335272.56</v>
      </c>
      <c r="J141" s="4">
        <v>41844.78</v>
      </c>
      <c r="K141" s="4">
        <v>0</v>
      </c>
      <c r="L141" s="4">
        <f t="shared" si="2"/>
        <v>293427.78000000003</v>
      </c>
    </row>
    <row r="142" spans="1:12" ht="14.4" thickBot="1">
      <c r="A142" s="1" t="s">
        <v>178</v>
      </c>
      <c r="B142" s="2">
        <v>30589770842</v>
      </c>
      <c r="C142" s="2" t="s">
        <v>209</v>
      </c>
      <c r="D142" s="3" t="s">
        <v>52</v>
      </c>
      <c r="E142" s="23">
        <v>46054</v>
      </c>
      <c r="F142" s="1" t="s">
        <v>297</v>
      </c>
      <c r="G142" s="1" t="s">
        <v>298</v>
      </c>
      <c r="H142" s="1">
        <v>60</v>
      </c>
      <c r="I142" s="4">
        <v>2475805.44</v>
      </c>
      <c r="J142" s="4">
        <v>20132</v>
      </c>
      <c r="K142" s="4">
        <v>0</v>
      </c>
      <c r="L142" s="4">
        <f t="shared" si="2"/>
        <v>2455673.44</v>
      </c>
    </row>
    <row r="143" spans="1:12" ht="14.4" thickBot="1">
      <c r="A143" s="1" t="s">
        <v>178</v>
      </c>
      <c r="B143" s="2">
        <v>30589770842</v>
      </c>
      <c r="C143" s="2" t="s">
        <v>210</v>
      </c>
      <c r="D143" s="3" t="s">
        <v>52</v>
      </c>
      <c r="E143" s="23">
        <v>46054</v>
      </c>
      <c r="F143" s="1" t="s">
        <v>297</v>
      </c>
      <c r="G143" s="1" t="s">
        <v>295</v>
      </c>
      <c r="H143" s="1">
        <v>60</v>
      </c>
      <c r="I143" s="4">
        <v>681352.06</v>
      </c>
      <c r="J143" s="4">
        <v>29600</v>
      </c>
      <c r="K143" s="4">
        <v>0</v>
      </c>
      <c r="L143" s="4">
        <f t="shared" si="2"/>
        <v>651752.06000000006</v>
      </c>
    </row>
    <row r="144" spans="1:12" ht="14.4" thickBot="1">
      <c r="A144" s="1" t="s">
        <v>201</v>
      </c>
      <c r="B144" s="2">
        <v>30659560093</v>
      </c>
      <c r="C144" s="2" t="s">
        <v>202</v>
      </c>
      <c r="D144" s="3" t="s">
        <v>10</v>
      </c>
      <c r="E144" s="23">
        <v>46054</v>
      </c>
      <c r="F144" s="1" t="s">
        <v>297</v>
      </c>
      <c r="G144" s="1" t="s">
        <v>298</v>
      </c>
      <c r="H144" s="1">
        <v>45</v>
      </c>
      <c r="I144" s="4">
        <v>138804</v>
      </c>
      <c r="J144" s="4">
        <v>0</v>
      </c>
      <c r="K144" s="4">
        <v>0</v>
      </c>
      <c r="L144" s="4">
        <f t="shared" si="2"/>
        <v>138804</v>
      </c>
    </row>
    <row r="145" spans="1:12" ht="14.4" thickBot="1">
      <c r="A145" s="1" t="s">
        <v>201</v>
      </c>
      <c r="B145" s="2">
        <v>30659560093</v>
      </c>
      <c r="C145" s="2" t="s">
        <v>204</v>
      </c>
      <c r="D145" s="3" t="s">
        <v>10</v>
      </c>
      <c r="E145" s="23">
        <v>46054</v>
      </c>
      <c r="F145" s="1" t="s">
        <v>297</v>
      </c>
      <c r="G145" s="1" t="s">
        <v>295</v>
      </c>
      <c r="H145" s="1">
        <v>45</v>
      </c>
      <c r="I145" s="4">
        <v>41438</v>
      </c>
      <c r="J145" s="4">
        <v>0</v>
      </c>
      <c r="K145" s="4">
        <v>0</v>
      </c>
      <c r="L145" s="4">
        <f t="shared" si="2"/>
        <v>41438</v>
      </c>
    </row>
    <row r="146" spans="1:12" ht="14.4" thickBot="1">
      <c r="A146" s="1" t="s">
        <v>201</v>
      </c>
      <c r="B146" s="2">
        <v>30659560093</v>
      </c>
      <c r="C146" s="2" t="s">
        <v>205</v>
      </c>
      <c r="D146" s="3" t="s">
        <v>10</v>
      </c>
      <c r="E146" s="23">
        <v>46054</v>
      </c>
      <c r="F146" s="1" t="s">
        <v>297</v>
      </c>
      <c r="G146" s="1" t="s">
        <v>298</v>
      </c>
      <c r="H146" s="1">
        <v>45</v>
      </c>
      <c r="I146" s="4">
        <v>469285</v>
      </c>
      <c r="J146" s="4">
        <v>0</v>
      </c>
      <c r="K146" s="4">
        <v>0</v>
      </c>
      <c r="L146" s="4">
        <f t="shared" si="2"/>
        <v>469285</v>
      </c>
    </row>
    <row r="147" spans="1:12" ht="14.4" thickBot="1">
      <c r="A147" s="1" t="s">
        <v>201</v>
      </c>
      <c r="B147" s="2">
        <v>30659560093</v>
      </c>
      <c r="C147" s="2" t="s">
        <v>206</v>
      </c>
      <c r="D147" s="3" t="s">
        <v>10</v>
      </c>
      <c r="E147" s="23">
        <v>46054</v>
      </c>
      <c r="F147" s="1" t="s">
        <v>297</v>
      </c>
      <c r="G147" s="1" t="s">
        <v>298</v>
      </c>
      <c r="H147" s="1">
        <v>45</v>
      </c>
      <c r="I147" s="4">
        <v>390498</v>
      </c>
      <c r="J147" s="4">
        <v>0</v>
      </c>
      <c r="K147" s="4">
        <v>0</v>
      </c>
      <c r="L147" s="4">
        <f t="shared" si="2"/>
        <v>390498</v>
      </c>
    </row>
    <row r="148" spans="1:12" ht="14.4" thickBot="1">
      <c r="A148" s="1" t="s">
        <v>201</v>
      </c>
      <c r="B148" s="2">
        <v>30659560093</v>
      </c>
      <c r="C148" s="2" t="s">
        <v>211</v>
      </c>
      <c r="D148" s="3" t="s">
        <v>10</v>
      </c>
      <c r="E148" s="23">
        <v>46054</v>
      </c>
      <c r="F148" s="1" t="s">
        <v>297</v>
      </c>
      <c r="G148" s="1" t="s">
        <v>298</v>
      </c>
      <c r="H148" s="1">
        <v>45</v>
      </c>
      <c r="I148" s="4">
        <v>103167</v>
      </c>
      <c r="J148" s="4">
        <v>10863.8</v>
      </c>
      <c r="K148" s="4">
        <v>0</v>
      </c>
      <c r="L148" s="4">
        <f t="shared" si="2"/>
        <v>92303.2</v>
      </c>
    </row>
    <row r="149" spans="1:12" ht="14.4" thickBot="1">
      <c r="A149" s="1" t="s">
        <v>207</v>
      </c>
      <c r="B149" s="2">
        <v>30606141579</v>
      </c>
      <c r="C149" s="2" t="s">
        <v>208</v>
      </c>
      <c r="D149" s="3" t="s">
        <v>39</v>
      </c>
      <c r="E149" s="23">
        <v>46054</v>
      </c>
      <c r="F149" s="1" t="s">
        <v>297</v>
      </c>
      <c r="G149" s="1" t="s">
        <v>295</v>
      </c>
      <c r="H149" s="1">
        <v>45</v>
      </c>
      <c r="I149" s="4">
        <v>4326000</v>
      </c>
      <c r="J149" s="4">
        <v>0</v>
      </c>
      <c r="K149" s="4">
        <v>0</v>
      </c>
      <c r="L149" s="4">
        <f t="shared" si="2"/>
        <v>4326000</v>
      </c>
    </row>
    <row r="150" spans="1:12" ht="14.4" thickBot="1">
      <c r="A150" s="1" t="s">
        <v>216</v>
      </c>
      <c r="B150" s="2">
        <v>33717029009</v>
      </c>
      <c r="C150" s="2" t="s">
        <v>217</v>
      </c>
      <c r="D150" s="3" t="s">
        <v>13</v>
      </c>
      <c r="E150" s="23">
        <v>46054</v>
      </c>
      <c r="F150" s="1" t="s">
        <v>297</v>
      </c>
      <c r="G150" s="1" t="s">
        <v>295</v>
      </c>
      <c r="H150" s="1">
        <v>60</v>
      </c>
      <c r="I150" s="4">
        <v>70000</v>
      </c>
      <c r="J150" s="4">
        <v>10740</v>
      </c>
      <c r="K150" s="4">
        <v>0</v>
      </c>
      <c r="L150" s="4">
        <f t="shared" si="2"/>
        <v>59260</v>
      </c>
    </row>
    <row r="151" spans="1:12" ht="14.4" thickBot="1">
      <c r="A151" s="1" t="s">
        <v>281</v>
      </c>
      <c r="B151" s="2">
        <v>30716824809</v>
      </c>
      <c r="C151" s="5" t="s">
        <v>282</v>
      </c>
      <c r="D151" s="3">
        <v>46091</v>
      </c>
      <c r="E151" s="23">
        <v>46054</v>
      </c>
      <c r="F151" s="1" t="s">
        <v>300</v>
      </c>
      <c r="G151" s="1" t="s">
        <v>298</v>
      </c>
      <c r="H151" s="1">
        <v>90</v>
      </c>
      <c r="I151" s="4">
        <v>4000000</v>
      </c>
      <c r="J151" s="4">
        <v>0</v>
      </c>
      <c r="K151" s="4">
        <v>0</v>
      </c>
      <c r="L151" s="4">
        <f t="shared" si="2"/>
        <v>4000000</v>
      </c>
    </row>
    <row r="152" spans="1:12" ht="14.4" thickBot="1">
      <c r="A152" s="1" t="s">
        <v>221</v>
      </c>
      <c r="B152" s="2">
        <v>30677558888</v>
      </c>
      <c r="C152" s="2" t="s">
        <v>222</v>
      </c>
      <c r="D152" s="3" t="s">
        <v>39</v>
      </c>
      <c r="E152" s="23">
        <v>46054</v>
      </c>
      <c r="F152" s="1" t="s">
        <v>297</v>
      </c>
      <c r="G152" s="1" t="s">
        <v>298</v>
      </c>
      <c r="H152" s="1">
        <v>60</v>
      </c>
      <c r="I152" s="4">
        <v>200400</v>
      </c>
      <c r="J152" s="4">
        <v>33400</v>
      </c>
      <c r="K152" s="4">
        <v>0</v>
      </c>
      <c r="L152" s="4">
        <f t="shared" si="2"/>
        <v>167000</v>
      </c>
    </row>
    <row r="153" spans="1:12" ht="14.4" thickBot="1">
      <c r="A153" s="1" t="s">
        <v>212</v>
      </c>
      <c r="B153" s="2">
        <v>30580553040</v>
      </c>
      <c r="C153" s="2" t="s">
        <v>213</v>
      </c>
      <c r="D153" s="3" t="s">
        <v>39</v>
      </c>
      <c r="E153" s="23">
        <v>46054</v>
      </c>
      <c r="F153" s="1" t="s">
        <v>297</v>
      </c>
      <c r="G153" s="1" t="s">
        <v>298</v>
      </c>
      <c r="H153" s="1">
        <v>45</v>
      </c>
      <c r="I153" s="4">
        <v>244225.71</v>
      </c>
      <c r="J153" s="4">
        <v>0</v>
      </c>
      <c r="K153" s="4">
        <v>0</v>
      </c>
      <c r="L153" s="4">
        <f t="shared" si="2"/>
        <v>244225.71</v>
      </c>
    </row>
    <row r="154" spans="1:12" ht="14.4" thickBot="1">
      <c r="A154" s="1" t="s">
        <v>212</v>
      </c>
      <c r="B154" s="2">
        <v>30580553040</v>
      </c>
      <c r="C154" s="2" t="s">
        <v>214</v>
      </c>
      <c r="D154" s="3" t="s">
        <v>39</v>
      </c>
      <c r="E154" s="23">
        <v>46054</v>
      </c>
      <c r="F154" s="1" t="s">
        <v>297</v>
      </c>
      <c r="G154" s="1" t="s">
        <v>295</v>
      </c>
      <c r="H154" s="1">
        <v>45</v>
      </c>
      <c r="I154" s="4">
        <v>14119.33</v>
      </c>
      <c r="J154" s="4">
        <v>0</v>
      </c>
      <c r="K154" s="4">
        <v>0</v>
      </c>
      <c r="L154" s="4">
        <f t="shared" si="2"/>
        <v>14119.33</v>
      </c>
    </row>
    <row r="155" spans="1:12" ht="14.4" thickBot="1">
      <c r="A155" s="1" t="s">
        <v>212</v>
      </c>
      <c r="B155" s="2">
        <v>30580553040</v>
      </c>
      <c r="C155" s="2" t="s">
        <v>215</v>
      </c>
      <c r="D155" s="3">
        <v>46045</v>
      </c>
      <c r="E155" s="23">
        <v>46054</v>
      </c>
      <c r="F155" s="1" t="s">
        <v>304</v>
      </c>
      <c r="G155" s="1" t="s">
        <v>298</v>
      </c>
      <c r="H155" s="1">
        <v>45</v>
      </c>
      <c r="I155" s="4">
        <v>55292.99</v>
      </c>
      <c r="J155" s="4">
        <v>0</v>
      </c>
      <c r="K155" s="4">
        <v>0</v>
      </c>
      <c r="L155" s="4">
        <f t="shared" si="2"/>
        <v>55292.99</v>
      </c>
    </row>
    <row r="156" spans="1:12" ht="14.4" thickBot="1">
      <c r="A156" s="1" t="s">
        <v>225</v>
      </c>
      <c r="B156" s="2">
        <v>30708276878</v>
      </c>
      <c r="C156" s="5">
        <v>57193</v>
      </c>
      <c r="D156" s="3">
        <v>46092</v>
      </c>
      <c r="E156" s="23">
        <v>46054</v>
      </c>
      <c r="F156" s="1" t="s">
        <v>297</v>
      </c>
      <c r="G156" s="1" t="s">
        <v>295</v>
      </c>
      <c r="H156" s="1">
        <v>30</v>
      </c>
      <c r="I156" s="4">
        <v>1056408</v>
      </c>
      <c r="J156" s="4">
        <v>1056408</v>
      </c>
      <c r="K156" s="4">
        <v>0</v>
      </c>
      <c r="L156" s="4">
        <f t="shared" si="2"/>
        <v>0</v>
      </c>
    </row>
    <row r="157" spans="1:12" ht="14.4" thickBot="1">
      <c r="A157" s="1" t="s">
        <v>223</v>
      </c>
      <c r="B157" s="2">
        <v>30694300487</v>
      </c>
      <c r="C157" s="2" t="s">
        <v>224</v>
      </c>
      <c r="D157" s="3" t="s">
        <v>52</v>
      </c>
      <c r="E157" s="23">
        <v>46054</v>
      </c>
      <c r="F157" s="1" t="s">
        <v>297</v>
      </c>
      <c r="G157" s="1" t="s">
        <v>298</v>
      </c>
      <c r="H157" s="1">
        <v>60</v>
      </c>
      <c r="I157" s="4">
        <v>748538.44</v>
      </c>
      <c r="J157" s="4">
        <v>213934.5</v>
      </c>
      <c r="K157" s="4">
        <v>0</v>
      </c>
      <c r="L157" s="4">
        <f t="shared" si="2"/>
        <v>534603.93999999994</v>
      </c>
    </row>
    <row r="158" spans="1:12" ht="14.4" thickBot="1">
      <c r="A158" s="1" t="s">
        <v>218</v>
      </c>
      <c r="B158" s="2">
        <v>30708497629</v>
      </c>
      <c r="C158" s="2" t="s">
        <v>219</v>
      </c>
      <c r="D158" s="3" t="s">
        <v>58</v>
      </c>
      <c r="E158" s="23">
        <v>46054</v>
      </c>
      <c r="F158" s="1" t="s">
        <v>297</v>
      </c>
      <c r="G158" s="1" t="s">
        <v>296</v>
      </c>
      <c r="H158" s="1">
        <v>60</v>
      </c>
      <c r="I158" s="4">
        <v>34963.78</v>
      </c>
      <c r="J158" s="4">
        <v>0</v>
      </c>
      <c r="K158" s="4">
        <v>0</v>
      </c>
      <c r="L158" s="4">
        <f t="shared" si="2"/>
        <v>34963.78</v>
      </c>
    </row>
    <row r="159" spans="1:12" ht="14.4" thickBot="1">
      <c r="A159" s="1" t="s">
        <v>218</v>
      </c>
      <c r="B159" s="2">
        <v>30708497629</v>
      </c>
      <c r="C159" s="2" t="s">
        <v>220</v>
      </c>
      <c r="D159" s="3" t="s">
        <v>39</v>
      </c>
      <c r="E159" s="23">
        <v>46054</v>
      </c>
      <c r="F159" s="1" t="s">
        <v>297</v>
      </c>
      <c r="G159" s="1" t="s">
        <v>295</v>
      </c>
      <c r="H159" s="1">
        <v>60</v>
      </c>
      <c r="I159" s="4">
        <v>8802.07</v>
      </c>
      <c r="J159" s="4">
        <v>0</v>
      </c>
      <c r="K159" s="4">
        <v>0</v>
      </c>
      <c r="L159" s="4">
        <f t="shared" si="2"/>
        <v>8802.07</v>
      </c>
    </row>
    <row r="160" spans="1:12" ht="14.4" thickBot="1">
      <c r="A160" s="6" t="s">
        <v>25</v>
      </c>
      <c r="B160" s="6">
        <v>30709956880</v>
      </c>
      <c r="C160" s="6" t="s">
        <v>26</v>
      </c>
      <c r="D160" s="7">
        <v>46064</v>
      </c>
      <c r="E160" s="24">
        <v>46023</v>
      </c>
      <c r="F160" s="6" t="s">
        <v>300</v>
      </c>
      <c r="G160" s="6" t="s">
        <v>298</v>
      </c>
      <c r="H160" s="1">
        <v>45</v>
      </c>
      <c r="I160" s="4">
        <v>6097795.8200000003</v>
      </c>
      <c r="J160" s="4">
        <v>545610.19999999995</v>
      </c>
      <c r="K160" s="4">
        <v>117867.47</v>
      </c>
      <c r="L160" s="4">
        <f t="shared" si="2"/>
        <v>5434318.1500000004</v>
      </c>
    </row>
    <row r="161" spans="1:12" ht="14.4" thickBot="1">
      <c r="A161" s="6" t="s">
        <v>25</v>
      </c>
      <c r="B161" s="6">
        <v>30709956880</v>
      </c>
      <c r="C161" s="15">
        <v>1037746</v>
      </c>
      <c r="D161" s="7">
        <v>46094</v>
      </c>
      <c r="E161" s="24">
        <v>46054</v>
      </c>
      <c r="F161" s="6" t="s">
        <v>300</v>
      </c>
      <c r="G161" s="6" t="s">
        <v>296</v>
      </c>
      <c r="H161" s="1">
        <v>45</v>
      </c>
      <c r="I161" s="4">
        <v>1471134.97</v>
      </c>
      <c r="J161" s="4">
        <v>365905.76</v>
      </c>
      <c r="K161" s="4">
        <v>0</v>
      </c>
      <c r="L161" s="4">
        <f t="shared" si="2"/>
        <v>1105229.21</v>
      </c>
    </row>
    <row r="162" spans="1:12" ht="14.4" thickBot="1">
      <c r="A162" s="6" t="s">
        <v>25</v>
      </c>
      <c r="B162" s="6">
        <v>30709956880</v>
      </c>
      <c r="C162" s="15">
        <v>1072810</v>
      </c>
      <c r="D162" s="7">
        <v>46094</v>
      </c>
      <c r="E162" s="24">
        <v>46054</v>
      </c>
      <c r="F162" s="6" t="s">
        <v>300</v>
      </c>
      <c r="G162" s="6" t="s">
        <v>298</v>
      </c>
      <c r="H162" s="1">
        <v>45</v>
      </c>
      <c r="I162" s="4">
        <v>2140392.9900000002</v>
      </c>
      <c r="J162" s="4">
        <v>363354.38</v>
      </c>
      <c r="K162" s="4">
        <v>0</v>
      </c>
      <c r="L162" s="4">
        <f t="shared" si="2"/>
        <v>1777038.6100000003</v>
      </c>
    </row>
    <row r="163" spans="1:12" ht="14.4" thickBot="1">
      <c r="A163" s="6" t="s">
        <v>25</v>
      </c>
      <c r="B163" s="6">
        <v>30709956880</v>
      </c>
      <c r="C163" s="6" t="s">
        <v>226</v>
      </c>
      <c r="D163" s="7">
        <v>46064</v>
      </c>
      <c r="E163" s="24">
        <v>46023</v>
      </c>
      <c r="F163" s="6" t="s">
        <v>297</v>
      </c>
      <c r="G163" s="6" t="s">
        <v>298</v>
      </c>
      <c r="H163" s="1">
        <v>45</v>
      </c>
      <c r="I163" s="4">
        <v>1190238.48</v>
      </c>
      <c r="J163" s="4">
        <v>129921.21</v>
      </c>
      <c r="K163" s="4">
        <v>0</v>
      </c>
      <c r="L163" s="4">
        <f t="shared" si="2"/>
        <v>1060317.27</v>
      </c>
    </row>
    <row r="164" spans="1:12" ht="14.4" thickBot="1">
      <c r="A164" s="6" t="s">
        <v>25</v>
      </c>
      <c r="B164" s="6">
        <v>30709956880</v>
      </c>
      <c r="C164" s="6" t="s">
        <v>227</v>
      </c>
      <c r="D164" s="7">
        <v>46064</v>
      </c>
      <c r="E164" s="24">
        <v>46023</v>
      </c>
      <c r="F164" s="6" t="s">
        <v>300</v>
      </c>
      <c r="G164" s="6" t="s">
        <v>296</v>
      </c>
      <c r="H164" s="1">
        <v>45</v>
      </c>
      <c r="I164" s="4">
        <v>1637791.99</v>
      </c>
      <c r="J164" s="4">
        <v>364320.27</v>
      </c>
      <c r="K164" s="4">
        <v>0</v>
      </c>
      <c r="L164" s="4">
        <f t="shared" si="2"/>
        <v>1273471.72</v>
      </c>
    </row>
    <row r="165" spans="1:12" ht="14.4" thickBot="1">
      <c r="A165" s="6" t="s">
        <v>25</v>
      </c>
      <c r="B165" s="6">
        <v>30709956880</v>
      </c>
      <c r="C165" s="6" t="s">
        <v>228</v>
      </c>
      <c r="D165" s="7">
        <v>46064</v>
      </c>
      <c r="E165" s="24">
        <v>46023</v>
      </c>
      <c r="F165" s="6" t="s">
        <v>297</v>
      </c>
      <c r="G165" s="6" t="s">
        <v>296</v>
      </c>
      <c r="H165" s="1">
        <v>45</v>
      </c>
      <c r="I165" s="4">
        <v>2791268.43</v>
      </c>
      <c r="J165" s="4">
        <v>51645.15</v>
      </c>
      <c r="K165" s="4">
        <v>0</v>
      </c>
      <c r="L165" s="4">
        <f t="shared" ref="L165:L207" si="3">I165-J165-K165</f>
        <v>2739623.2800000003</v>
      </c>
    </row>
    <row r="166" spans="1:12" ht="14.4" thickBot="1">
      <c r="A166" s="6" t="s">
        <v>25</v>
      </c>
      <c r="B166" s="6">
        <v>30709956880</v>
      </c>
      <c r="C166" s="15" t="s">
        <v>229</v>
      </c>
      <c r="D166" s="7">
        <v>46094</v>
      </c>
      <c r="E166" s="24">
        <v>46054</v>
      </c>
      <c r="F166" s="6" t="s">
        <v>297</v>
      </c>
      <c r="G166" s="6" t="s">
        <v>296</v>
      </c>
      <c r="H166" s="1">
        <v>45</v>
      </c>
      <c r="I166" s="4">
        <v>538004.81000000006</v>
      </c>
      <c r="J166" s="4">
        <v>0</v>
      </c>
      <c r="K166" s="4">
        <v>0</v>
      </c>
      <c r="L166" s="4">
        <f t="shared" si="3"/>
        <v>538004.81000000006</v>
      </c>
    </row>
    <row r="167" spans="1:12" ht="14.4" thickBot="1">
      <c r="A167" s="6" t="s">
        <v>25</v>
      </c>
      <c r="B167" s="6">
        <v>30709956880</v>
      </c>
      <c r="C167" s="6" t="s">
        <v>230</v>
      </c>
      <c r="D167" s="7">
        <v>46094</v>
      </c>
      <c r="E167" s="24">
        <v>46054</v>
      </c>
      <c r="F167" s="6" t="s">
        <v>297</v>
      </c>
      <c r="G167" s="6" t="s">
        <v>298</v>
      </c>
      <c r="H167" s="1">
        <v>45</v>
      </c>
      <c r="I167" s="4">
        <v>1304701.43</v>
      </c>
      <c r="J167" s="4">
        <v>163500.09</v>
      </c>
      <c r="K167" s="4">
        <v>0</v>
      </c>
      <c r="L167" s="4">
        <f t="shared" si="3"/>
        <v>1141201.3399999999</v>
      </c>
    </row>
    <row r="168" spans="1:12" ht="14.4" thickBot="1">
      <c r="A168" s="1" t="s">
        <v>231</v>
      </c>
      <c r="B168" s="2">
        <v>30689767946</v>
      </c>
      <c r="C168" s="2" t="s">
        <v>232</v>
      </c>
      <c r="D168" s="3" t="s">
        <v>52</v>
      </c>
      <c r="E168" s="23">
        <v>46054</v>
      </c>
      <c r="F168" s="1" t="s">
        <v>297</v>
      </c>
      <c r="G168" s="1" t="s">
        <v>296</v>
      </c>
      <c r="H168" s="1">
        <v>45</v>
      </c>
      <c r="I168" s="4">
        <v>1486142.73</v>
      </c>
      <c r="J168" s="4">
        <v>82208.7</v>
      </c>
      <c r="K168" s="4">
        <v>0</v>
      </c>
      <c r="L168" s="4">
        <f t="shared" si="3"/>
        <v>1403934.03</v>
      </c>
    </row>
    <row r="169" spans="1:12" ht="14.4" thickBot="1">
      <c r="A169" s="1" t="s">
        <v>231</v>
      </c>
      <c r="B169" s="2">
        <v>30689767946</v>
      </c>
      <c r="C169" s="2" t="s">
        <v>233</v>
      </c>
      <c r="D169" s="3" t="s">
        <v>52</v>
      </c>
      <c r="E169" s="23">
        <v>46054</v>
      </c>
      <c r="F169" s="1" t="s">
        <v>297</v>
      </c>
      <c r="G169" s="1" t="s">
        <v>298</v>
      </c>
      <c r="H169" s="1">
        <v>45</v>
      </c>
      <c r="I169" s="4">
        <v>1116038.3700000001</v>
      </c>
      <c r="J169" s="4">
        <v>6285.57</v>
      </c>
      <c r="K169" s="4">
        <v>0</v>
      </c>
      <c r="L169" s="4">
        <f t="shared" si="3"/>
        <v>1109752.8</v>
      </c>
    </row>
    <row r="170" spans="1:12" ht="14.4" thickBot="1">
      <c r="A170" s="1" t="s">
        <v>231</v>
      </c>
      <c r="B170" s="2">
        <v>30689767946</v>
      </c>
      <c r="C170" s="2" t="s">
        <v>234</v>
      </c>
      <c r="D170" s="3" t="s">
        <v>52</v>
      </c>
      <c r="E170" s="23">
        <v>46054</v>
      </c>
      <c r="F170" s="1" t="s">
        <v>297</v>
      </c>
      <c r="G170" s="1" t="s">
        <v>305</v>
      </c>
      <c r="H170" s="1">
        <v>45</v>
      </c>
      <c r="I170" s="4">
        <v>1125506.23</v>
      </c>
      <c r="J170" s="4">
        <v>200996.86</v>
      </c>
      <c r="K170" s="4">
        <v>0</v>
      </c>
      <c r="L170" s="4">
        <f t="shared" si="3"/>
        <v>924509.37</v>
      </c>
    </row>
    <row r="171" spans="1:12" ht="14.4" thickBot="1">
      <c r="A171" s="1" t="s">
        <v>231</v>
      </c>
      <c r="B171" s="2">
        <v>30689767946</v>
      </c>
      <c r="C171" s="2" t="s">
        <v>235</v>
      </c>
      <c r="D171" s="3" t="s">
        <v>52</v>
      </c>
      <c r="E171" s="23">
        <v>46054</v>
      </c>
      <c r="F171" s="1" t="s">
        <v>300</v>
      </c>
      <c r="G171" s="1" t="s">
        <v>296</v>
      </c>
      <c r="H171" s="1">
        <v>45</v>
      </c>
      <c r="I171" s="4">
        <v>985431.88</v>
      </c>
      <c r="J171" s="4">
        <v>0</v>
      </c>
      <c r="K171" s="4">
        <v>0</v>
      </c>
      <c r="L171" s="4">
        <f t="shared" si="3"/>
        <v>985431.88</v>
      </c>
    </row>
    <row r="172" spans="1:12" ht="14.4" thickBot="1">
      <c r="A172" s="1" t="s">
        <v>231</v>
      </c>
      <c r="B172" s="2">
        <v>30689767946</v>
      </c>
      <c r="C172" s="2" t="s">
        <v>236</v>
      </c>
      <c r="D172" s="3" t="s">
        <v>52</v>
      </c>
      <c r="E172" s="23">
        <v>46054</v>
      </c>
      <c r="F172" s="1" t="s">
        <v>300</v>
      </c>
      <c r="G172" s="1" t="s">
        <v>296</v>
      </c>
      <c r="H172" s="1">
        <v>45</v>
      </c>
      <c r="I172" s="4">
        <v>180647.37</v>
      </c>
      <c r="J172" s="4">
        <v>180647.37</v>
      </c>
      <c r="K172" s="4">
        <v>0</v>
      </c>
      <c r="L172" s="4">
        <f t="shared" si="3"/>
        <v>0</v>
      </c>
    </row>
    <row r="173" spans="1:12" ht="14.4" thickBot="1">
      <c r="A173" s="1" t="s">
        <v>237</v>
      </c>
      <c r="B173" s="2">
        <v>30545879138</v>
      </c>
      <c r="C173" s="2" t="s">
        <v>238</v>
      </c>
      <c r="D173" s="7">
        <v>46087</v>
      </c>
      <c r="E173" s="23">
        <v>46054</v>
      </c>
      <c r="F173" s="1" t="s">
        <v>297</v>
      </c>
      <c r="G173" s="1" t="s">
        <v>305</v>
      </c>
      <c r="H173" s="1">
        <v>60</v>
      </c>
      <c r="I173" s="4">
        <v>747174.17</v>
      </c>
      <c r="J173" s="4">
        <v>0</v>
      </c>
      <c r="K173" s="4">
        <v>0</v>
      </c>
      <c r="L173" s="4">
        <f t="shared" si="3"/>
        <v>747174.17</v>
      </c>
    </row>
    <row r="174" spans="1:12" ht="14.4" thickBot="1">
      <c r="A174" s="1" t="s">
        <v>237</v>
      </c>
      <c r="B174" s="2">
        <v>30545879138</v>
      </c>
      <c r="C174" s="2" t="s">
        <v>239</v>
      </c>
      <c r="D174" s="7">
        <v>46084</v>
      </c>
      <c r="E174" s="23">
        <v>46054</v>
      </c>
      <c r="F174" s="1" t="s">
        <v>297</v>
      </c>
      <c r="G174" s="1" t="s">
        <v>296</v>
      </c>
      <c r="H174" s="1">
        <v>60</v>
      </c>
      <c r="I174" s="4">
        <v>27483.47</v>
      </c>
      <c r="J174" s="4">
        <v>0</v>
      </c>
      <c r="K174" s="4">
        <v>0</v>
      </c>
      <c r="L174" s="4">
        <f t="shared" si="3"/>
        <v>27483.47</v>
      </c>
    </row>
    <row r="175" spans="1:12" ht="14.4" thickBot="1">
      <c r="A175" s="1" t="s">
        <v>237</v>
      </c>
      <c r="B175" s="2">
        <v>30545879138</v>
      </c>
      <c r="C175" s="2" t="s">
        <v>240</v>
      </c>
      <c r="D175" s="7">
        <v>46084</v>
      </c>
      <c r="E175" s="23">
        <v>46054</v>
      </c>
      <c r="F175" s="1" t="s">
        <v>302</v>
      </c>
      <c r="G175" s="1" t="s">
        <v>305</v>
      </c>
      <c r="H175" s="1">
        <v>60</v>
      </c>
      <c r="I175" s="4">
        <v>26300</v>
      </c>
      <c r="J175" s="4">
        <v>0</v>
      </c>
      <c r="K175" s="4">
        <v>0</v>
      </c>
      <c r="L175" s="4">
        <f t="shared" si="3"/>
        <v>26300</v>
      </c>
    </row>
    <row r="176" spans="1:12" ht="14.4" thickBot="1">
      <c r="A176" s="1" t="s">
        <v>241</v>
      </c>
      <c r="B176" s="2">
        <v>30562336237</v>
      </c>
      <c r="C176" s="2" t="s">
        <v>242</v>
      </c>
      <c r="D176" s="3" t="s">
        <v>10</v>
      </c>
      <c r="E176" s="23">
        <v>46054</v>
      </c>
      <c r="F176" s="1" t="s">
        <v>297</v>
      </c>
      <c r="G176" s="1" t="s">
        <v>298</v>
      </c>
      <c r="H176" s="1">
        <v>60</v>
      </c>
      <c r="I176" s="4">
        <v>18540</v>
      </c>
      <c r="J176" s="4">
        <v>0</v>
      </c>
      <c r="K176" s="4">
        <v>0</v>
      </c>
      <c r="L176" s="4">
        <f t="shared" si="3"/>
        <v>18540</v>
      </c>
    </row>
    <row r="177" spans="1:12" ht="14.4" thickBot="1">
      <c r="A177" s="1" t="s">
        <v>243</v>
      </c>
      <c r="B177" s="2">
        <v>30715227696</v>
      </c>
      <c r="C177" s="2" t="s">
        <v>244</v>
      </c>
      <c r="D177" s="3" t="s">
        <v>9</v>
      </c>
      <c r="E177" s="23">
        <v>46054</v>
      </c>
      <c r="F177" s="1" t="s">
        <v>297</v>
      </c>
      <c r="G177" s="1" t="s">
        <v>296</v>
      </c>
      <c r="H177" s="1">
        <v>60</v>
      </c>
      <c r="I177" s="4">
        <v>92000</v>
      </c>
      <c r="J177" s="4">
        <v>0</v>
      </c>
      <c r="K177" s="4">
        <v>0</v>
      </c>
      <c r="L177" s="4">
        <f t="shared" si="3"/>
        <v>92000</v>
      </c>
    </row>
    <row r="178" spans="1:12" ht="14.4" thickBot="1">
      <c r="A178" s="1" t="s">
        <v>243</v>
      </c>
      <c r="B178" s="2">
        <v>30715227696</v>
      </c>
      <c r="C178" s="2" t="s">
        <v>245</v>
      </c>
      <c r="D178" s="3" t="s">
        <v>9</v>
      </c>
      <c r="E178" s="23">
        <v>46054</v>
      </c>
      <c r="F178" s="1" t="s">
        <v>297</v>
      </c>
      <c r="G178" s="1" t="s">
        <v>298</v>
      </c>
      <c r="H178" s="1">
        <v>60</v>
      </c>
      <c r="I178" s="4">
        <v>271240</v>
      </c>
      <c r="J178" s="4">
        <v>0</v>
      </c>
      <c r="K178" s="4">
        <v>0</v>
      </c>
      <c r="L178" s="4">
        <f t="shared" si="3"/>
        <v>271240</v>
      </c>
    </row>
    <row r="179" spans="1:12" ht="14.4" thickBot="1">
      <c r="A179" s="1" t="s">
        <v>246</v>
      </c>
      <c r="B179" s="2">
        <v>30645189988</v>
      </c>
      <c r="C179" s="2" t="s">
        <v>247</v>
      </c>
      <c r="D179" s="3" t="s">
        <v>10</v>
      </c>
      <c r="E179" s="23">
        <v>46054</v>
      </c>
      <c r="F179" s="1" t="s">
        <v>297</v>
      </c>
      <c r="G179" s="1" t="s">
        <v>298</v>
      </c>
      <c r="H179" s="1">
        <v>60</v>
      </c>
      <c r="I179" s="4">
        <v>1556101.71</v>
      </c>
      <c r="J179" s="4">
        <v>0</v>
      </c>
      <c r="K179" s="4">
        <v>0</v>
      </c>
      <c r="L179" s="4">
        <f t="shared" si="3"/>
        <v>1556101.71</v>
      </c>
    </row>
    <row r="180" spans="1:12" ht="14.4" thickBot="1">
      <c r="A180" s="1" t="s">
        <v>246</v>
      </c>
      <c r="B180" s="2">
        <v>30645189988</v>
      </c>
      <c r="C180" s="2" t="s">
        <v>248</v>
      </c>
      <c r="D180" s="3" t="s">
        <v>10</v>
      </c>
      <c r="E180" s="23">
        <v>46054</v>
      </c>
      <c r="F180" s="1" t="s">
        <v>297</v>
      </c>
      <c r="G180" s="1" t="s">
        <v>296</v>
      </c>
      <c r="H180" s="1">
        <v>60</v>
      </c>
      <c r="I180" s="4">
        <v>42200.58</v>
      </c>
      <c r="J180" s="4">
        <v>0</v>
      </c>
      <c r="K180" s="4">
        <v>0</v>
      </c>
      <c r="L180" s="4">
        <f t="shared" si="3"/>
        <v>42200.58</v>
      </c>
    </row>
    <row r="181" spans="1:12" ht="14.4" thickBot="1">
      <c r="A181" s="1" t="s">
        <v>246</v>
      </c>
      <c r="B181" s="2">
        <v>30645189988</v>
      </c>
      <c r="C181" s="2" t="s">
        <v>249</v>
      </c>
      <c r="D181" s="3" t="s">
        <v>10</v>
      </c>
      <c r="E181" s="23">
        <v>46054</v>
      </c>
      <c r="F181" s="1" t="s">
        <v>300</v>
      </c>
      <c r="G181" s="1" t="s">
        <v>298</v>
      </c>
      <c r="H181" s="1">
        <v>60</v>
      </c>
      <c r="I181" s="4">
        <v>9980886.1600000001</v>
      </c>
      <c r="J181" s="4">
        <v>0</v>
      </c>
      <c r="K181" s="4">
        <v>1112774.19</v>
      </c>
      <c r="L181" s="4">
        <f t="shared" si="3"/>
        <v>8868111.9700000007</v>
      </c>
    </row>
    <row r="182" spans="1:12" ht="14.4" thickBot="1">
      <c r="A182" s="1" t="s">
        <v>246</v>
      </c>
      <c r="B182" s="2">
        <v>30645189988</v>
      </c>
      <c r="C182" s="2" t="s">
        <v>250</v>
      </c>
      <c r="D182" s="3" t="s">
        <v>10</v>
      </c>
      <c r="E182" s="23">
        <v>46054</v>
      </c>
      <c r="F182" s="1" t="s">
        <v>300</v>
      </c>
      <c r="G182" s="1" t="s">
        <v>298</v>
      </c>
      <c r="H182" s="1">
        <v>60</v>
      </c>
      <c r="I182" s="4">
        <v>22379135.710000001</v>
      </c>
      <c r="J182" s="4">
        <v>0</v>
      </c>
      <c r="K182" s="4">
        <v>1058837.7</v>
      </c>
      <c r="L182" s="4">
        <f t="shared" si="3"/>
        <v>21320298.010000002</v>
      </c>
    </row>
    <row r="183" spans="1:12" ht="14.4" thickBot="1">
      <c r="A183" s="1" t="s">
        <v>246</v>
      </c>
      <c r="B183" s="2">
        <v>30645189988</v>
      </c>
      <c r="C183" s="2" t="s">
        <v>251</v>
      </c>
      <c r="D183" s="3" t="s">
        <v>10</v>
      </c>
      <c r="E183" s="23">
        <v>46054</v>
      </c>
      <c r="F183" s="1" t="s">
        <v>300</v>
      </c>
      <c r="G183" s="1" t="s">
        <v>298</v>
      </c>
      <c r="H183" s="1">
        <v>60</v>
      </c>
      <c r="I183" s="4">
        <v>8492271.1300000008</v>
      </c>
      <c r="J183" s="4">
        <v>0</v>
      </c>
      <c r="K183" s="4">
        <v>1006938.4</v>
      </c>
      <c r="L183" s="4">
        <f t="shared" si="3"/>
        <v>7485332.7300000004</v>
      </c>
    </row>
    <row r="184" spans="1:12" ht="14.4" thickBot="1">
      <c r="A184" s="1" t="s">
        <v>246</v>
      </c>
      <c r="B184" s="2">
        <v>30645189988</v>
      </c>
      <c r="C184" s="2" t="s">
        <v>252</v>
      </c>
      <c r="D184" s="3" t="s">
        <v>10</v>
      </c>
      <c r="E184" s="23">
        <v>46054</v>
      </c>
      <c r="F184" s="1" t="s">
        <v>300</v>
      </c>
      <c r="G184" s="1" t="s">
        <v>294</v>
      </c>
      <c r="H184" s="1">
        <v>60</v>
      </c>
      <c r="I184" s="4">
        <v>2335686.7000000002</v>
      </c>
      <c r="J184" s="4">
        <v>0</v>
      </c>
      <c r="K184" s="4">
        <v>141897.88</v>
      </c>
      <c r="L184" s="4">
        <f t="shared" si="3"/>
        <v>2193788.8200000003</v>
      </c>
    </row>
    <row r="185" spans="1:12" ht="14.4" thickBot="1">
      <c r="A185" s="1" t="s">
        <v>246</v>
      </c>
      <c r="B185" s="2">
        <v>30645189988</v>
      </c>
      <c r="C185" s="2" t="s">
        <v>253</v>
      </c>
      <c r="D185" s="3" t="s">
        <v>13</v>
      </c>
      <c r="E185" s="23">
        <v>46054</v>
      </c>
      <c r="F185" s="1" t="s">
        <v>297</v>
      </c>
      <c r="G185" s="1" t="s">
        <v>298</v>
      </c>
      <c r="H185" s="1">
        <v>60</v>
      </c>
      <c r="I185" s="4">
        <v>163284.22</v>
      </c>
      <c r="J185" s="4">
        <v>0</v>
      </c>
      <c r="K185" s="4">
        <v>0</v>
      </c>
      <c r="L185" s="4">
        <f t="shared" si="3"/>
        <v>163284.22</v>
      </c>
    </row>
    <row r="186" spans="1:12" ht="14.4" thickBot="1">
      <c r="A186" s="1" t="s">
        <v>246</v>
      </c>
      <c r="B186" s="2">
        <v>30645189988</v>
      </c>
      <c r="C186" s="2" t="s">
        <v>254</v>
      </c>
      <c r="D186" s="3" t="s">
        <v>13</v>
      </c>
      <c r="E186" s="23">
        <v>46054</v>
      </c>
      <c r="F186" s="1" t="s">
        <v>300</v>
      </c>
      <c r="G186" s="1" t="s">
        <v>298</v>
      </c>
      <c r="H186" s="1">
        <v>60</v>
      </c>
      <c r="I186" s="4">
        <v>3641129.51</v>
      </c>
      <c r="J186" s="4">
        <v>0</v>
      </c>
      <c r="K186" s="4">
        <v>299540.11</v>
      </c>
      <c r="L186" s="4">
        <f t="shared" si="3"/>
        <v>3341589.4</v>
      </c>
    </row>
    <row r="187" spans="1:12" ht="14.4" thickBot="1">
      <c r="A187" s="1" t="s">
        <v>255</v>
      </c>
      <c r="B187" s="2">
        <v>30545894528</v>
      </c>
      <c r="C187" s="2" t="s">
        <v>256</v>
      </c>
      <c r="D187" s="3" t="s">
        <v>39</v>
      </c>
      <c r="E187" s="23">
        <v>46054</v>
      </c>
      <c r="F187" s="1" t="s">
        <v>300</v>
      </c>
      <c r="G187" s="1" t="s">
        <v>296</v>
      </c>
      <c r="H187" s="1">
        <v>60</v>
      </c>
      <c r="I187" s="4">
        <v>6618190.0700000003</v>
      </c>
      <c r="J187" s="4">
        <v>0</v>
      </c>
      <c r="K187" s="4">
        <v>233965.78</v>
      </c>
      <c r="L187" s="4">
        <f t="shared" si="3"/>
        <v>6384224.29</v>
      </c>
    </row>
    <row r="188" spans="1:12" ht="14.4" thickBot="1">
      <c r="A188" s="1" t="s">
        <v>255</v>
      </c>
      <c r="B188" s="2">
        <v>30545894528</v>
      </c>
      <c r="C188" s="2" t="s">
        <v>257</v>
      </c>
      <c r="D188" s="3" t="s">
        <v>39</v>
      </c>
      <c r="E188" s="23">
        <v>46054</v>
      </c>
      <c r="F188" s="1" t="s">
        <v>300</v>
      </c>
      <c r="G188" s="1" t="s">
        <v>296</v>
      </c>
      <c r="H188" s="1">
        <v>60</v>
      </c>
      <c r="I188" s="4">
        <v>1951325.4</v>
      </c>
      <c r="J188" s="4">
        <v>0</v>
      </c>
      <c r="K188" s="4">
        <v>0</v>
      </c>
      <c r="L188" s="4">
        <f t="shared" si="3"/>
        <v>1951325.4</v>
      </c>
    </row>
    <row r="189" spans="1:12" ht="14.4" thickBot="1">
      <c r="A189" s="1" t="s">
        <v>255</v>
      </c>
      <c r="B189" s="2">
        <v>30545894528</v>
      </c>
      <c r="C189" s="2" t="s">
        <v>258</v>
      </c>
      <c r="D189" s="3" t="s">
        <v>9</v>
      </c>
      <c r="E189" s="23">
        <v>46054</v>
      </c>
      <c r="F189" s="1" t="s">
        <v>300</v>
      </c>
      <c r="G189" s="1" t="s">
        <v>298</v>
      </c>
      <c r="H189" s="1">
        <v>60</v>
      </c>
      <c r="I189" s="4">
        <v>1950592.16</v>
      </c>
      <c r="J189" s="4">
        <v>0</v>
      </c>
      <c r="K189" s="4">
        <v>233551.53</v>
      </c>
      <c r="L189" s="4">
        <f t="shared" si="3"/>
        <v>1717040.63</v>
      </c>
    </row>
    <row r="190" spans="1:12" ht="14.4" thickBot="1">
      <c r="A190" s="1" t="s">
        <v>255</v>
      </c>
      <c r="B190" s="2">
        <v>30545894528</v>
      </c>
      <c r="C190" s="2" t="s">
        <v>259</v>
      </c>
      <c r="D190" s="3" t="s">
        <v>9</v>
      </c>
      <c r="E190" s="23">
        <v>46054</v>
      </c>
      <c r="F190" s="1" t="s">
        <v>300</v>
      </c>
      <c r="G190" s="1" t="s">
        <v>298</v>
      </c>
      <c r="H190" s="1">
        <v>60</v>
      </c>
      <c r="I190" s="4">
        <v>1896558.83</v>
      </c>
      <c r="J190" s="4">
        <v>0</v>
      </c>
      <c r="K190" s="4">
        <v>198175</v>
      </c>
      <c r="L190" s="4">
        <f t="shared" si="3"/>
        <v>1698383.83</v>
      </c>
    </row>
    <row r="191" spans="1:12" ht="14.4" thickBot="1">
      <c r="A191" s="1" t="s">
        <v>255</v>
      </c>
      <c r="B191" s="2">
        <v>30545894528</v>
      </c>
      <c r="C191" s="2" t="s">
        <v>260</v>
      </c>
      <c r="D191" s="3" t="s">
        <v>9</v>
      </c>
      <c r="E191" s="23">
        <v>46054</v>
      </c>
      <c r="F191" s="1" t="s">
        <v>300</v>
      </c>
      <c r="G191" s="1" t="s">
        <v>298</v>
      </c>
      <c r="H191" s="1">
        <v>60</v>
      </c>
      <c r="I191" s="4">
        <v>7381194.7699999996</v>
      </c>
      <c r="J191" s="4">
        <v>0</v>
      </c>
      <c r="K191" s="4">
        <v>283135.73</v>
      </c>
      <c r="L191" s="4">
        <f t="shared" si="3"/>
        <v>7098059.0399999991</v>
      </c>
    </row>
    <row r="192" spans="1:12" ht="14.4" thickBot="1">
      <c r="A192" s="1" t="s">
        <v>255</v>
      </c>
      <c r="B192" s="2">
        <v>30545894528</v>
      </c>
      <c r="C192" s="2" t="s">
        <v>261</v>
      </c>
      <c r="D192" s="3" t="s">
        <v>9</v>
      </c>
      <c r="E192" s="23">
        <v>46054</v>
      </c>
      <c r="F192" s="1" t="s">
        <v>297</v>
      </c>
      <c r="G192" s="1" t="s">
        <v>295</v>
      </c>
      <c r="H192" s="1">
        <v>60</v>
      </c>
      <c r="I192" s="4">
        <v>8802.07</v>
      </c>
      <c r="J192" s="4">
        <v>0</v>
      </c>
      <c r="K192" s="4">
        <v>0</v>
      </c>
      <c r="L192" s="4">
        <f t="shared" si="3"/>
        <v>8802.07</v>
      </c>
    </row>
    <row r="193" spans="1:12" ht="14.4" thickBot="1">
      <c r="A193" s="1" t="s">
        <v>255</v>
      </c>
      <c r="B193" s="2">
        <v>30545894528</v>
      </c>
      <c r="C193" s="2" t="s">
        <v>262</v>
      </c>
      <c r="D193" s="3" t="s">
        <v>29</v>
      </c>
      <c r="E193" s="23">
        <v>46054</v>
      </c>
      <c r="F193" s="1" t="s">
        <v>297</v>
      </c>
      <c r="G193" s="1" t="s">
        <v>296</v>
      </c>
      <c r="H193" s="1">
        <v>60</v>
      </c>
      <c r="I193" s="4">
        <v>457834.12</v>
      </c>
      <c r="J193" s="4">
        <v>63716.85</v>
      </c>
      <c r="K193" s="4">
        <v>0</v>
      </c>
      <c r="L193" s="4">
        <f t="shared" si="3"/>
        <v>394117.27</v>
      </c>
    </row>
    <row r="194" spans="1:12" ht="14.4" thickBot="1">
      <c r="A194" s="1" t="s">
        <v>255</v>
      </c>
      <c r="B194" s="2">
        <v>30545894528</v>
      </c>
      <c r="C194" s="2" t="s">
        <v>263</v>
      </c>
      <c r="D194" s="3" t="s">
        <v>29</v>
      </c>
      <c r="E194" s="23">
        <v>46054</v>
      </c>
      <c r="F194" s="1" t="s">
        <v>300</v>
      </c>
      <c r="G194" s="1" t="s">
        <v>298</v>
      </c>
      <c r="H194" s="1">
        <v>60</v>
      </c>
      <c r="I194" s="4">
        <v>22904180.379999999</v>
      </c>
      <c r="J194" s="4">
        <v>0</v>
      </c>
      <c r="K194" s="4">
        <v>839329.63</v>
      </c>
      <c r="L194" s="4">
        <f t="shared" si="3"/>
        <v>22064850.75</v>
      </c>
    </row>
    <row r="195" spans="1:12" ht="14.4" thickBot="1">
      <c r="A195" s="1" t="s">
        <v>264</v>
      </c>
      <c r="B195" s="2">
        <v>30716784386</v>
      </c>
      <c r="C195" s="2" t="s">
        <v>265</v>
      </c>
      <c r="D195" s="3" t="s">
        <v>73</v>
      </c>
      <c r="E195" s="23">
        <v>46054</v>
      </c>
      <c r="F195" s="1" t="s">
        <v>297</v>
      </c>
      <c r="G195" s="1" t="s">
        <v>295</v>
      </c>
      <c r="H195" s="1">
        <v>60</v>
      </c>
      <c r="I195" s="4">
        <v>51800</v>
      </c>
      <c r="J195" s="4">
        <v>0</v>
      </c>
      <c r="K195" s="4">
        <v>0</v>
      </c>
      <c r="L195" s="4">
        <f t="shared" si="3"/>
        <v>51800</v>
      </c>
    </row>
    <row r="196" spans="1:12" ht="14.4" thickBot="1">
      <c r="A196" s="1" t="s">
        <v>264</v>
      </c>
      <c r="B196" s="2">
        <v>30716784386</v>
      </c>
      <c r="C196" s="2" t="s">
        <v>266</v>
      </c>
      <c r="D196" s="3" t="s">
        <v>9</v>
      </c>
      <c r="E196" s="23">
        <v>46054</v>
      </c>
      <c r="F196" s="1" t="s">
        <v>297</v>
      </c>
      <c r="G196" s="1" t="s">
        <v>298</v>
      </c>
      <c r="H196" s="1">
        <v>60</v>
      </c>
      <c r="I196" s="4">
        <v>555173.54</v>
      </c>
      <c r="J196" s="4">
        <v>0</v>
      </c>
      <c r="K196" s="4">
        <v>0</v>
      </c>
      <c r="L196" s="4">
        <f t="shared" si="3"/>
        <v>555173.54</v>
      </c>
    </row>
    <row r="197" spans="1:12" ht="15.75" customHeight="1" thickBot="1">
      <c r="A197" s="1" t="s">
        <v>264</v>
      </c>
      <c r="B197" s="2">
        <v>30716784386</v>
      </c>
      <c r="C197" s="2" t="s">
        <v>267</v>
      </c>
      <c r="D197" s="3" t="s">
        <v>9</v>
      </c>
      <c r="E197" s="23">
        <v>46054</v>
      </c>
      <c r="F197" s="1" t="s">
        <v>297</v>
      </c>
      <c r="G197" s="1" t="s">
        <v>296</v>
      </c>
      <c r="H197" s="1">
        <v>60</v>
      </c>
      <c r="I197" s="4">
        <v>244111.34</v>
      </c>
      <c r="J197" s="4">
        <v>0</v>
      </c>
      <c r="K197" s="4">
        <v>0</v>
      </c>
      <c r="L197" s="4">
        <f t="shared" si="3"/>
        <v>244111.34</v>
      </c>
    </row>
    <row r="198" spans="1:12" ht="15.75" customHeight="1" thickBot="1">
      <c r="A198" s="1" t="s">
        <v>268</v>
      </c>
      <c r="B198" s="2">
        <v>30681218285</v>
      </c>
      <c r="C198" s="2" t="s">
        <v>269</v>
      </c>
      <c r="D198" s="3" t="s">
        <v>9</v>
      </c>
      <c r="E198" s="23">
        <v>46082</v>
      </c>
      <c r="F198" s="1" t="s">
        <v>303</v>
      </c>
      <c r="G198" s="1" t="s">
        <v>298</v>
      </c>
      <c r="H198" s="1">
        <v>30</v>
      </c>
      <c r="I198" s="4">
        <v>2108250</v>
      </c>
      <c r="J198" s="4">
        <v>0</v>
      </c>
      <c r="K198" s="4">
        <v>0</v>
      </c>
      <c r="L198" s="4">
        <f t="shared" si="3"/>
        <v>2108250</v>
      </c>
    </row>
    <row r="199" spans="1:12" ht="14.4" thickBot="1">
      <c r="A199" s="1" t="s">
        <v>270</v>
      </c>
      <c r="B199" s="2">
        <v>30711999074</v>
      </c>
      <c r="C199" s="2" t="s">
        <v>271</v>
      </c>
      <c r="D199" s="3" t="s">
        <v>13</v>
      </c>
      <c r="E199" s="23">
        <v>46054</v>
      </c>
      <c r="F199" s="1" t="s">
        <v>297</v>
      </c>
      <c r="G199" s="1" t="s">
        <v>296</v>
      </c>
      <c r="H199" s="1">
        <v>60</v>
      </c>
      <c r="I199" s="4">
        <v>245500</v>
      </c>
      <c r="J199" s="4">
        <v>81600</v>
      </c>
      <c r="K199" s="4">
        <v>0</v>
      </c>
      <c r="L199" s="4">
        <f t="shared" si="3"/>
        <v>163900</v>
      </c>
    </row>
    <row r="200" spans="1:12" ht="14.4" thickBot="1">
      <c r="A200" s="1" t="s">
        <v>270</v>
      </c>
      <c r="B200" s="2">
        <v>30711999074</v>
      </c>
      <c r="C200" s="2" t="s">
        <v>272</v>
      </c>
      <c r="D200" s="3" t="s">
        <v>13</v>
      </c>
      <c r="E200" s="23">
        <v>46054</v>
      </c>
      <c r="F200" s="1" t="s">
        <v>297</v>
      </c>
      <c r="G200" s="1" t="s">
        <v>298</v>
      </c>
      <c r="H200" s="1">
        <v>60</v>
      </c>
      <c r="I200" s="4">
        <v>689580</v>
      </c>
      <c r="J200" s="4">
        <v>44800</v>
      </c>
      <c r="K200" s="4">
        <v>0</v>
      </c>
      <c r="L200" s="4">
        <f t="shared" si="3"/>
        <v>644780</v>
      </c>
    </row>
    <row r="201" spans="1:12" ht="14.4" thickBot="1">
      <c r="A201" s="17" t="s">
        <v>278</v>
      </c>
      <c r="B201" s="18">
        <v>30546670623</v>
      </c>
      <c r="C201" s="19">
        <v>776233</v>
      </c>
      <c r="D201" s="20">
        <v>46087</v>
      </c>
      <c r="E201" s="25">
        <v>46054</v>
      </c>
      <c r="F201" s="17" t="s">
        <v>297</v>
      </c>
      <c r="G201" s="17" t="s">
        <v>298</v>
      </c>
      <c r="H201" s="1">
        <v>45</v>
      </c>
      <c r="I201" s="4">
        <v>35000</v>
      </c>
      <c r="J201" s="4">
        <v>27500</v>
      </c>
      <c r="K201" s="4">
        <v>0</v>
      </c>
      <c r="L201" s="4">
        <f t="shared" si="3"/>
        <v>7500</v>
      </c>
    </row>
    <row r="202" spans="1:12" ht="14.4" thickBot="1">
      <c r="A202" s="1" t="s">
        <v>273</v>
      </c>
      <c r="B202" s="2">
        <v>30703378222</v>
      </c>
      <c r="C202" s="2" t="s">
        <v>274</v>
      </c>
      <c r="D202" s="3" t="s">
        <v>73</v>
      </c>
      <c r="E202" s="23">
        <v>46054</v>
      </c>
      <c r="F202" s="1" t="s">
        <v>297</v>
      </c>
      <c r="G202" s="1" t="s">
        <v>294</v>
      </c>
      <c r="H202" s="1">
        <v>60</v>
      </c>
      <c r="I202" s="4">
        <v>4000</v>
      </c>
      <c r="J202" s="4">
        <v>0</v>
      </c>
      <c r="K202" s="4">
        <v>0</v>
      </c>
      <c r="L202" s="4">
        <f t="shared" si="3"/>
        <v>4000</v>
      </c>
    </row>
    <row r="203" spans="1:12" ht="15.75" customHeight="1" thickBot="1">
      <c r="A203" s="1" t="s">
        <v>273</v>
      </c>
      <c r="B203" s="2">
        <v>30703378222</v>
      </c>
      <c r="C203" s="2" t="s">
        <v>275</v>
      </c>
      <c r="D203" s="3" t="s">
        <v>73</v>
      </c>
      <c r="E203" s="23">
        <v>46054</v>
      </c>
      <c r="F203" s="1" t="s">
        <v>297</v>
      </c>
      <c r="G203" s="1" t="s">
        <v>295</v>
      </c>
      <c r="H203" s="1">
        <v>60</v>
      </c>
      <c r="I203" s="4">
        <v>4000</v>
      </c>
      <c r="J203" s="4">
        <v>0</v>
      </c>
      <c r="K203" s="4">
        <v>0</v>
      </c>
      <c r="L203" s="4">
        <f t="shared" si="3"/>
        <v>4000</v>
      </c>
    </row>
    <row r="204" spans="1:12" ht="15.75" customHeight="1" thickBot="1">
      <c r="A204" s="1" t="s">
        <v>273</v>
      </c>
      <c r="B204" s="2">
        <v>30703378222</v>
      </c>
      <c r="C204" s="2" t="s">
        <v>276</v>
      </c>
      <c r="D204" s="3" t="s">
        <v>73</v>
      </c>
      <c r="E204" s="23">
        <v>46054</v>
      </c>
      <c r="F204" s="1" t="s">
        <v>297</v>
      </c>
      <c r="G204" s="1" t="s">
        <v>296</v>
      </c>
      <c r="H204" s="1">
        <v>60</v>
      </c>
      <c r="I204" s="4">
        <v>16000</v>
      </c>
      <c r="J204" s="4">
        <v>0</v>
      </c>
      <c r="K204" s="4">
        <v>0</v>
      </c>
      <c r="L204" s="4">
        <f t="shared" si="3"/>
        <v>16000</v>
      </c>
    </row>
    <row r="205" spans="1:12" ht="15.75" customHeight="1" thickBot="1">
      <c r="A205" s="1" t="s">
        <v>273</v>
      </c>
      <c r="B205" s="2">
        <v>30703378222</v>
      </c>
      <c r="C205" s="2" t="s">
        <v>277</v>
      </c>
      <c r="D205" s="3" t="s">
        <v>73</v>
      </c>
      <c r="E205" s="23">
        <v>46054</v>
      </c>
      <c r="F205" s="1" t="s">
        <v>297</v>
      </c>
      <c r="G205" s="1" t="s">
        <v>305</v>
      </c>
      <c r="H205" s="1">
        <v>60</v>
      </c>
      <c r="I205" s="4">
        <v>32000</v>
      </c>
      <c r="J205" s="4">
        <v>0</v>
      </c>
      <c r="K205" s="4">
        <v>0</v>
      </c>
      <c r="L205" s="4">
        <f t="shared" si="3"/>
        <v>32000</v>
      </c>
    </row>
    <row r="206" spans="1:12" s="22" customFormat="1" ht="15.75" customHeight="1" thickBot="1">
      <c r="A206" s="1" t="s">
        <v>279</v>
      </c>
      <c r="B206" s="2">
        <v>30716413256</v>
      </c>
      <c r="C206" s="5" t="s">
        <v>280</v>
      </c>
      <c r="D206" s="9">
        <v>46090</v>
      </c>
      <c r="E206" s="23">
        <v>46054</v>
      </c>
      <c r="F206" s="1" t="s">
        <v>297</v>
      </c>
      <c r="G206" s="1" t="s">
        <v>298</v>
      </c>
      <c r="H206" s="1">
        <v>60</v>
      </c>
      <c r="I206" s="4">
        <v>88500</v>
      </c>
      <c r="J206" s="4">
        <v>44600</v>
      </c>
      <c r="K206" s="4">
        <v>0</v>
      </c>
      <c r="L206" s="4">
        <f t="shared" si="3"/>
        <v>43900</v>
      </c>
    </row>
    <row r="207" spans="1:12" s="22" customFormat="1" ht="15.75" customHeight="1" thickBot="1">
      <c r="A207" s="34" t="s">
        <v>290</v>
      </c>
      <c r="B207" s="35">
        <v>30712443681</v>
      </c>
      <c r="C207" s="42" t="s">
        <v>291</v>
      </c>
      <c r="D207" s="36">
        <v>46128</v>
      </c>
      <c r="E207" s="34" t="s">
        <v>292</v>
      </c>
      <c r="F207" s="34" t="s">
        <v>306</v>
      </c>
      <c r="G207" s="34" t="s">
        <v>298</v>
      </c>
      <c r="H207" s="34" t="s">
        <v>307</v>
      </c>
      <c r="I207" s="38">
        <v>2530000</v>
      </c>
      <c r="J207" s="38">
        <v>0</v>
      </c>
      <c r="K207" s="38">
        <v>0</v>
      </c>
      <c r="L207" s="38">
        <f t="shared" si="3"/>
        <v>2530000</v>
      </c>
    </row>
    <row r="208" spans="1:12" ht="15.75" customHeight="1">
      <c r="A208" s="43"/>
      <c r="B208" s="44"/>
      <c r="C208" s="45"/>
      <c r="D208" s="46"/>
      <c r="E208" s="43"/>
      <c r="F208" s="47"/>
      <c r="G208" s="47"/>
      <c r="H208" s="47"/>
      <c r="I208" s="48"/>
      <c r="J208" s="48"/>
      <c r="K208" s="48"/>
      <c r="L208" s="48">
        <f>SUBTOTAL(109,Tabla1[A PAGAR])</f>
        <v>255807358.9900001</v>
      </c>
    </row>
    <row r="209" spans="4:8" ht="15.75" customHeight="1">
      <c r="D209" s="50"/>
      <c r="F209" s="51"/>
      <c r="G209" s="51"/>
      <c r="H209" s="51"/>
    </row>
    <row r="210" spans="4:8" ht="15.75" customHeight="1">
      <c r="D210" s="50"/>
      <c r="F210" s="51"/>
      <c r="G210" s="51"/>
      <c r="H210" s="51"/>
    </row>
    <row r="211" spans="4:8" ht="15.75" customHeight="1">
      <c r="D211" s="50"/>
      <c r="F211" s="51"/>
      <c r="G211" s="51"/>
      <c r="H211" s="51"/>
    </row>
    <row r="212" spans="4:8" ht="15.75" customHeight="1">
      <c r="D212" s="50"/>
      <c r="F212" s="51"/>
      <c r="G212" s="51"/>
      <c r="H212" s="51"/>
    </row>
    <row r="213" spans="4:8" ht="15.75" customHeight="1">
      <c r="D213" s="50"/>
      <c r="F213" s="51"/>
      <c r="G213" s="51"/>
      <c r="H213" s="51"/>
    </row>
    <row r="214" spans="4:8" ht="15.75" customHeight="1">
      <c r="D214" s="50"/>
      <c r="F214" s="51"/>
      <c r="G214" s="51"/>
      <c r="H214" s="51"/>
    </row>
    <row r="215" spans="4:8" ht="15.75" customHeight="1">
      <c r="D215" s="50"/>
      <c r="F215" s="51"/>
      <c r="G215" s="51"/>
      <c r="H215" s="51"/>
    </row>
    <row r="216" spans="4:8" ht="15.75" customHeight="1">
      <c r="D216" s="50"/>
      <c r="F216" s="51"/>
      <c r="G216" s="51"/>
      <c r="H216" s="51"/>
    </row>
    <row r="217" spans="4:8" ht="15.75" customHeight="1">
      <c r="D217" s="50"/>
      <c r="F217" s="51"/>
      <c r="G217" s="51"/>
      <c r="H217" s="51"/>
    </row>
    <row r="218" spans="4:8" ht="15.75" customHeight="1">
      <c r="D218" s="50"/>
      <c r="F218" s="51"/>
      <c r="G218" s="51"/>
      <c r="H218" s="51"/>
    </row>
    <row r="219" spans="4:8" ht="15.75" customHeight="1">
      <c r="D219" s="50"/>
      <c r="F219" s="51"/>
      <c r="G219" s="51"/>
      <c r="H219" s="51"/>
    </row>
    <row r="220" spans="4:8" ht="15.75" customHeight="1">
      <c r="D220" s="50"/>
      <c r="F220" s="51"/>
      <c r="G220" s="51"/>
      <c r="H220" s="51"/>
    </row>
    <row r="221" spans="4:8" ht="15.75" customHeight="1">
      <c r="D221" s="50"/>
      <c r="F221" s="51"/>
      <c r="G221" s="51"/>
      <c r="H221" s="51"/>
    </row>
    <row r="222" spans="4:8" ht="15.75" customHeight="1">
      <c r="D222" s="50"/>
      <c r="F222" s="51"/>
      <c r="G222" s="51"/>
      <c r="H222" s="51"/>
    </row>
    <row r="223" spans="4:8" ht="15.75" customHeight="1">
      <c r="D223" s="50"/>
      <c r="F223" s="51"/>
      <c r="G223" s="51"/>
      <c r="H223" s="51"/>
    </row>
    <row r="224" spans="4:8" ht="15.75" customHeight="1">
      <c r="D224" s="50"/>
      <c r="F224" s="51"/>
      <c r="G224" s="51"/>
      <c r="H224" s="51"/>
    </row>
    <row r="225" spans="4:8" ht="15.75" customHeight="1">
      <c r="D225" s="50"/>
      <c r="F225" s="51"/>
      <c r="G225" s="51"/>
      <c r="H225" s="51"/>
    </row>
    <row r="226" spans="4:8" ht="15.75" customHeight="1">
      <c r="D226" s="50"/>
      <c r="F226" s="51"/>
      <c r="G226" s="51"/>
      <c r="H226" s="51"/>
    </row>
    <row r="227" spans="4:8" ht="15.75" customHeight="1">
      <c r="D227" s="50"/>
      <c r="F227" s="51"/>
      <c r="G227" s="51"/>
      <c r="H227" s="51"/>
    </row>
    <row r="228" spans="4:8" ht="15.75" customHeight="1">
      <c r="D228" s="50"/>
      <c r="F228" s="51"/>
      <c r="G228" s="51"/>
      <c r="H228" s="51"/>
    </row>
    <row r="229" spans="4:8" ht="15.75" customHeight="1">
      <c r="D229" s="50"/>
      <c r="F229" s="51"/>
      <c r="G229" s="51"/>
      <c r="H229" s="51"/>
    </row>
    <row r="230" spans="4:8" ht="15.75" customHeight="1">
      <c r="D230" s="50"/>
      <c r="F230" s="51"/>
      <c r="G230" s="51"/>
      <c r="H230" s="51"/>
    </row>
    <row r="231" spans="4:8" ht="15.75" customHeight="1">
      <c r="D231" s="50"/>
      <c r="F231" s="51"/>
      <c r="G231" s="51"/>
      <c r="H231" s="51"/>
    </row>
    <row r="232" spans="4:8" ht="15.75" customHeight="1">
      <c r="D232" s="50"/>
      <c r="F232" s="51"/>
      <c r="G232" s="51"/>
      <c r="H232" s="51"/>
    </row>
    <row r="233" spans="4:8" ht="15.75" customHeight="1">
      <c r="D233" s="50"/>
      <c r="F233" s="51"/>
      <c r="G233" s="51"/>
      <c r="H233" s="51"/>
    </row>
    <row r="234" spans="4:8" ht="15.75" customHeight="1">
      <c r="D234" s="50"/>
      <c r="F234" s="51"/>
      <c r="G234" s="51"/>
      <c r="H234" s="51"/>
    </row>
    <row r="235" spans="4:8" ht="15.75" customHeight="1">
      <c r="D235" s="50"/>
      <c r="F235" s="51"/>
      <c r="G235" s="51"/>
      <c r="H235" s="51"/>
    </row>
    <row r="236" spans="4:8" ht="15.75" customHeight="1">
      <c r="D236" s="50"/>
      <c r="F236" s="51"/>
      <c r="G236" s="51"/>
      <c r="H236" s="51"/>
    </row>
    <row r="237" spans="4:8" ht="15.75" customHeight="1">
      <c r="D237" s="50"/>
      <c r="F237" s="51"/>
      <c r="G237" s="51"/>
      <c r="H237" s="51"/>
    </row>
    <row r="238" spans="4:8" ht="15.75" customHeight="1">
      <c r="D238" s="50"/>
      <c r="F238" s="51"/>
      <c r="G238" s="51"/>
      <c r="H238" s="51"/>
    </row>
    <row r="239" spans="4:8" ht="15.75" customHeight="1">
      <c r="D239" s="50"/>
      <c r="F239" s="51"/>
      <c r="G239" s="51"/>
      <c r="H239" s="51"/>
    </row>
    <row r="240" spans="4:8" ht="15.75" customHeight="1">
      <c r="D240" s="50"/>
      <c r="F240" s="51"/>
      <c r="G240" s="51"/>
      <c r="H240" s="51"/>
    </row>
    <row r="241" spans="4:8" ht="15.75" customHeight="1">
      <c r="D241" s="50"/>
      <c r="F241" s="51"/>
      <c r="G241" s="51"/>
      <c r="H241" s="51"/>
    </row>
    <row r="242" spans="4:8" ht="15.75" customHeight="1">
      <c r="D242" s="50"/>
      <c r="F242" s="51"/>
      <c r="G242" s="51"/>
      <c r="H242" s="51"/>
    </row>
    <row r="243" spans="4:8" ht="15.75" customHeight="1">
      <c r="D243" s="50"/>
      <c r="F243" s="51"/>
      <c r="G243" s="51"/>
      <c r="H243" s="51"/>
    </row>
    <row r="244" spans="4:8" ht="15.75" customHeight="1">
      <c r="D244" s="50"/>
      <c r="F244" s="51"/>
      <c r="G244" s="51"/>
      <c r="H244" s="51"/>
    </row>
    <row r="245" spans="4:8" ht="15.75" customHeight="1">
      <c r="D245" s="50"/>
      <c r="F245" s="51"/>
      <c r="G245" s="51"/>
      <c r="H245" s="51"/>
    </row>
    <row r="246" spans="4:8" ht="15.75" customHeight="1">
      <c r="D246" s="50"/>
      <c r="F246" s="51"/>
      <c r="G246" s="51"/>
      <c r="H246" s="51"/>
    </row>
    <row r="247" spans="4:8" ht="15.75" customHeight="1">
      <c r="D247" s="50"/>
      <c r="F247" s="51"/>
      <c r="G247" s="51"/>
      <c r="H247" s="51"/>
    </row>
    <row r="248" spans="4:8" ht="15.75" customHeight="1">
      <c r="D248" s="50"/>
      <c r="F248" s="51"/>
      <c r="G248" s="51"/>
      <c r="H248" s="51"/>
    </row>
    <row r="249" spans="4:8" ht="15.75" customHeight="1">
      <c r="D249" s="50"/>
      <c r="F249" s="51"/>
      <c r="G249" s="51"/>
      <c r="H249" s="51"/>
    </row>
    <row r="250" spans="4:8" ht="15.75" customHeight="1">
      <c r="D250" s="50"/>
      <c r="F250" s="51"/>
      <c r="G250" s="51"/>
      <c r="H250" s="51"/>
    </row>
    <row r="251" spans="4:8" ht="15.75" customHeight="1">
      <c r="D251" s="50"/>
      <c r="F251" s="51"/>
      <c r="G251" s="51"/>
      <c r="H251" s="51"/>
    </row>
    <row r="252" spans="4:8" ht="15.75" customHeight="1">
      <c r="D252" s="50"/>
      <c r="F252" s="51"/>
      <c r="G252" s="51"/>
      <c r="H252" s="51"/>
    </row>
    <row r="253" spans="4:8" ht="15.75" customHeight="1">
      <c r="D253" s="50"/>
      <c r="F253" s="51"/>
      <c r="G253" s="51"/>
      <c r="H253" s="51"/>
    </row>
    <row r="254" spans="4:8" ht="15.75" customHeight="1">
      <c r="D254" s="50"/>
      <c r="F254" s="51"/>
      <c r="G254" s="51"/>
      <c r="H254" s="51"/>
    </row>
    <row r="255" spans="4:8" ht="15.75" customHeight="1">
      <c r="D255" s="50"/>
      <c r="F255" s="51"/>
      <c r="G255" s="51"/>
      <c r="H255" s="51"/>
    </row>
    <row r="256" spans="4:8" ht="15.75" customHeight="1">
      <c r="D256" s="50"/>
      <c r="F256" s="51"/>
      <c r="G256" s="51"/>
      <c r="H256" s="51"/>
    </row>
    <row r="257" spans="4:8" ht="15.75" customHeight="1">
      <c r="D257" s="50"/>
      <c r="F257" s="51"/>
      <c r="G257" s="51"/>
      <c r="H257" s="51"/>
    </row>
    <row r="258" spans="4:8" ht="15.75" customHeight="1">
      <c r="D258" s="50"/>
      <c r="F258" s="51"/>
      <c r="G258" s="51"/>
      <c r="H258" s="51"/>
    </row>
    <row r="259" spans="4:8" ht="15.75" customHeight="1">
      <c r="D259" s="50"/>
      <c r="F259" s="51"/>
      <c r="G259" s="51"/>
      <c r="H259" s="51"/>
    </row>
    <row r="260" spans="4:8" ht="15.75" customHeight="1">
      <c r="D260" s="50"/>
      <c r="F260" s="51"/>
      <c r="G260" s="51"/>
      <c r="H260" s="51"/>
    </row>
    <row r="261" spans="4:8" ht="15.75" customHeight="1">
      <c r="D261" s="50"/>
      <c r="F261" s="51"/>
      <c r="G261" s="51"/>
      <c r="H261" s="51"/>
    </row>
    <row r="262" spans="4:8" ht="15.75" customHeight="1">
      <c r="D262" s="50"/>
      <c r="F262" s="51"/>
      <c r="G262" s="51"/>
      <c r="H262" s="51"/>
    </row>
    <row r="263" spans="4:8" ht="15.75" customHeight="1">
      <c r="D263" s="50"/>
      <c r="F263" s="51"/>
      <c r="G263" s="51"/>
      <c r="H263" s="51"/>
    </row>
    <row r="264" spans="4:8" ht="15.75" customHeight="1">
      <c r="D264" s="50"/>
      <c r="F264" s="51"/>
      <c r="G264" s="51"/>
      <c r="H264" s="51"/>
    </row>
    <row r="265" spans="4:8" ht="15.75" customHeight="1">
      <c r="D265" s="50"/>
      <c r="F265" s="51"/>
      <c r="G265" s="51"/>
      <c r="H265" s="51"/>
    </row>
    <row r="266" spans="4:8" ht="15.75" customHeight="1">
      <c r="D266" s="50"/>
      <c r="F266" s="51"/>
      <c r="G266" s="51"/>
      <c r="H266" s="51"/>
    </row>
    <row r="267" spans="4:8" ht="15.75" customHeight="1">
      <c r="D267" s="50"/>
      <c r="F267" s="51"/>
      <c r="G267" s="51"/>
      <c r="H267" s="51"/>
    </row>
    <row r="268" spans="4:8" ht="15.75" customHeight="1">
      <c r="D268" s="50"/>
      <c r="F268" s="51"/>
      <c r="G268" s="51"/>
      <c r="H268" s="51"/>
    </row>
    <row r="269" spans="4:8" ht="15.75" customHeight="1">
      <c r="D269" s="50"/>
      <c r="F269" s="51"/>
      <c r="G269" s="51"/>
      <c r="H269" s="51"/>
    </row>
    <row r="270" spans="4:8" ht="15.75" customHeight="1">
      <c r="D270" s="50"/>
      <c r="F270" s="51"/>
      <c r="G270" s="51"/>
      <c r="H270" s="51"/>
    </row>
    <row r="271" spans="4:8" ht="15.75" customHeight="1">
      <c r="D271" s="50"/>
      <c r="F271" s="51"/>
      <c r="G271" s="51"/>
      <c r="H271" s="51"/>
    </row>
    <row r="272" spans="4:8" ht="15.75" customHeight="1">
      <c r="D272" s="50"/>
      <c r="F272" s="51"/>
      <c r="G272" s="51"/>
      <c r="H272" s="51"/>
    </row>
    <row r="273" spans="4:8" ht="15.75" customHeight="1">
      <c r="D273" s="50"/>
      <c r="F273" s="51"/>
      <c r="G273" s="51"/>
      <c r="H273" s="51"/>
    </row>
    <row r="274" spans="4:8" ht="15.75" customHeight="1">
      <c r="D274" s="50"/>
      <c r="F274" s="51"/>
      <c r="G274" s="51"/>
      <c r="H274" s="51"/>
    </row>
    <row r="275" spans="4:8" ht="15.75" customHeight="1">
      <c r="D275" s="50"/>
      <c r="F275" s="51"/>
      <c r="G275" s="51"/>
      <c r="H275" s="51"/>
    </row>
    <row r="276" spans="4:8" ht="15.75" customHeight="1">
      <c r="D276" s="50"/>
      <c r="F276" s="51"/>
      <c r="G276" s="51"/>
      <c r="H276" s="51"/>
    </row>
    <row r="277" spans="4:8" ht="15.75" customHeight="1">
      <c r="D277" s="50"/>
      <c r="F277" s="51"/>
      <c r="G277" s="51"/>
      <c r="H277" s="51"/>
    </row>
    <row r="278" spans="4:8" ht="15.75" customHeight="1">
      <c r="D278" s="50"/>
      <c r="F278" s="51"/>
      <c r="G278" s="51"/>
      <c r="H278" s="51"/>
    </row>
    <row r="279" spans="4:8" ht="15.75" customHeight="1">
      <c r="D279" s="50"/>
      <c r="F279" s="51"/>
      <c r="G279" s="51"/>
      <c r="H279" s="51"/>
    </row>
    <row r="280" spans="4:8" ht="15.75" customHeight="1">
      <c r="D280" s="50"/>
      <c r="F280" s="51"/>
      <c r="G280" s="51"/>
      <c r="H280" s="51"/>
    </row>
    <row r="281" spans="4:8" ht="15.75" customHeight="1">
      <c r="D281" s="50"/>
      <c r="F281" s="51"/>
      <c r="G281" s="51"/>
      <c r="H281" s="51"/>
    </row>
    <row r="282" spans="4:8" ht="15.75" customHeight="1">
      <c r="D282" s="50"/>
      <c r="F282" s="51"/>
      <c r="G282" s="51"/>
      <c r="H282" s="51"/>
    </row>
    <row r="283" spans="4:8" ht="15.75" customHeight="1">
      <c r="D283" s="50"/>
      <c r="F283" s="51"/>
      <c r="G283" s="51"/>
      <c r="H283" s="51"/>
    </row>
    <row r="284" spans="4:8" ht="15.75" customHeight="1">
      <c r="D284" s="50"/>
      <c r="F284" s="51"/>
      <c r="G284" s="51"/>
      <c r="H284" s="51"/>
    </row>
    <row r="285" spans="4:8" ht="15.75" customHeight="1">
      <c r="D285" s="50"/>
      <c r="F285" s="51"/>
      <c r="G285" s="51"/>
      <c r="H285" s="51"/>
    </row>
    <row r="286" spans="4:8" ht="15.75" customHeight="1">
      <c r="D286" s="50"/>
      <c r="F286" s="51"/>
      <c r="G286" s="51"/>
      <c r="H286" s="51"/>
    </row>
    <row r="287" spans="4:8" ht="15.75" customHeight="1">
      <c r="D287" s="50"/>
      <c r="F287" s="51"/>
      <c r="G287" s="51"/>
      <c r="H287" s="51"/>
    </row>
    <row r="288" spans="4:8" ht="15.75" customHeight="1">
      <c r="D288" s="50"/>
      <c r="F288" s="51"/>
      <c r="G288" s="51"/>
      <c r="H288" s="51"/>
    </row>
    <row r="289" spans="4:8" ht="15.75" customHeight="1">
      <c r="D289" s="50"/>
      <c r="F289" s="51"/>
      <c r="G289" s="51"/>
      <c r="H289" s="51"/>
    </row>
    <row r="290" spans="4:8" ht="15.75" customHeight="1">
      <c r="D290" s="50"/>
      <c r="F290" s="51"/>
      <c r="G290" s="51"/>
      <c r="H290" s="51"/>
    </row>
    <row r="291" spans="4:8" ht="15.75" customHeight="1">
      <c r="D291" s="50"/>
      <c r="F291" s="51"/>
      <c r="G291" s="51"/>
      <c r="H291" s="51"/>
    </row>
    <row r="292" spans="4:8" ht="15.75" customHeight="1">
      <c r="D292" s="50"/>
      <c r="F292" s="51"/>
      <c r="G292" s="51"/>
      <c r="H292" s="51"/>
    </row>
    <row r="293" spans="4:8" ht="15.75" customHeight="1">
      <c r="D293" s="50"/>
      <c r="F293" s="51"/>
      <c r="G293" s="51"/>
      <c r="H293" s="51"/>
    </row>
    <row r="294" spans="4:8" ht="15.75" customHeight="1">
      <c r="D294" s="50"/>
      <c r="F294" s="51"/>
      <c r="G294" s="51"/>
      <c r="H294" s="51"/>
    </row>
    <row r="295" spans="4:8" ht="15.75" customHeight="1">
      <c r="D295" s="50"/>
      <c r="F295" s="51"/>
      <c r="G295" s="51"/>
      <c r="H295" s="51"/>
    </row>
    <row r="296" spans="4:8" ht="15.75" customHeight="1">
      <c r="D296" s="50"/>
      <c r="F296" s="51"/>
      <c r="G296" s="51"/>
      <c r="H296" s="51"/>
    </row>
    <row r="297" spans="4:8" ht="15.75" customHeight="1">
      <c r="D297" s="50"/>
      <c r="F297" s="51"/>
      <c r="G297" s="51"/>
      <c r="H297" s="51"/>
    </row>
    <row r="298" spans="4:8" ht="15.75" customHeight="1">
      <c r="D298" s="50"/>
      <c r="F298" s="51"/>
      <c r="G298" s="51"/>
      <c r="H298" s="51"/>
    </row>
    <row r="299" spans="4:8" ht="15.75" customHeight="1">
      <c r="D299" s="50"/>
      <c r="F299" s="51"/>
      <c r="G299" s="51"/>
      <c r="H299" s="51"/>
    </row>
    <row r="300" spans="4:8" ht="15.75" customHeight="1">
      <c r="D300" s="50"/>
      <c r="F300" s="51"/>
      <c r="G300" s="51"/>
      <c r="H300" s="51"/>
    </row>
    <row r="301" spans="4:8" ht="15.75" customHeight="1">
      <c r="D301" s="50"/>
      <c r="F301" s="51"/>
      <c r="G301" s="51"/>
      <c r="H301" s="51"/>
    </row>
    <row r="302" spans="4:8" ht="15.75" customHeight="1">
      <c r="D302" s="50"/>
      <c r="F302" s="51"/>
      <c r="G302" s="51"/>
      <c r="H302" s="51"/>
    </row>
    <row r="303" spans="4:8" ht="15.75" customHeight="1">
      <c r="D303" s="50"/>
      <c r="F303" s="51"/>
      <c r="G303" s="51"/>
      <c r="H303" s="51"/>
    </row>
    <row r="304" spans="4:8" ht="15.75" customHeight="1">
      <c r="D304" s="50"/>
      <c r="F304" s="51"/>
      <c r="G304" s="51"/>
      <c r="H304" s="51"/>
    </row>
    <row r="305" spans="4:8" ht="15.75" customHeight="1">
      <c r="D305" s="50"/>
      <c r="F305" s="51"/>
      <c r="G305" s="51"/>
      <c r="H305" s="51"/>
    </row>
    <row r="306" spans="4:8" ht="15.75" customHeight="1">
      <c r="D306" s="50"/>
      <c r="F306" s="51"/>
      <c r="G306" s="51"/>
      <c r="H306" s="51"/>
    </row>
    <row r="307" spans="4:8" ht="15.75" customHeight="1">
      <c r="D307" s="50"/>
      <c r="F307" s="51"/>
      <c r="G307" s="51"/>
      <c r="H307" s="51"/>
    </row>
    <row r="308" spans="4:8" ht="15.75" customHeight="1">
      <c r="D308" s="50"/>
      <c r="F308" s="51"/>
      <c r="G308" s="51"/>
      <c r="H308" s="51"/>
    </row>
    <row r="309" spans="4:8" ht="15.75" customHeight="1">
      <c r="D309" s="50"/>
      <c r="F309" s="51"/>
      <c r="G309" s="51"/>
      <c r="H309" s="51"/>
    </row>
    <row r="310" spans="4:8" ht="15.75" customHeight="1">
      <c r="D310" s="50"/>
      <c r="F310" s="51"/>
      <c r="G310" s="51"/>
      <c r="H310" s="51"/>
    </row>
    <row r="311" spans="4:8" ht="15.75" customHeight="1">
      <c r="D311" s="50"/>
      <c r="F311" s="51"/>
      <c r="G311" s="51"/>
      <c r="H311" s="51"/>
    </row>
    <row r="312" spans="4:8" ht="15.75" customHeight="1">
      <c r="D312" s="50"/>
      <c r="F312" s="51"/>
      <c r="G312" s="51"/>
      <c r="H312" s="51"/>
    </row>
    <row r="313" spans="4:8" ht="15.75" customHeight="1">
      <c r="D313" s="50"/>
      <c r="F313" s="51"/>
      <c r="G313" s="51"/>
      <c r="H313" s="51"/>
    </row>
    <row r="314" spans="4:8" ht="15.75" customHeight="1">
      <c r="D314" s="50"/>
      <c r="F314" s="51"/>
      <c r="G314" s="51"/>
      <c r="H314" s="51"/>
    </row>
    <row r="315" spans="4:8" ht="15.75" customHeight="1">
      <c r="D315" s="50"/>
      <c r="F315" s="51"/>
      <c r="G315" s="51"/>
      <c r="H315" s="51"/>
    </row>
    <row r="316" spans="4:8" ht="15.75" customHeight="1">
      <c r="D316" s="50"/>
      <c r="F316" s="51"/>
      <c r="G316" s="51"/>
      <c r="H316" s="51"/>
    </row>
    <row r="317" spans="4:8" ht="15.75" customHeight="1">
      <c r="D317" s="50"/>
      <c r="F317" s="51"/>
      <c r="G317" s="51"/>
      <c r="H317" s="51"/>
    </row>
    <row r="318" spans="4:8" ht="15.75" customHeight="1">
      <c r="D318" s="50"/>
      <c r="F318" s="51"/>
      <c r="G318" s="51"/>
      <c r="H318" s="51"/>
    </row>
    <row r="319" spans="4:8" ht="15.75" customHeight="1">
      <c r="D319" s="50"/>
      <c r="F319" s="51"/>
      <c r="G319" s="51"/>
      <c r="H319" s="51"/>
    </row>
    <row r="320" spans="4:8" ht="15.75" customHeight="1">
      <c r="D320" s="50"/>
      <c r="F320" s="51"/>
      <c r="G320" s="51"/>
      <c r="H320" s="51"/>
    </row>
    <row r="321" spans="4:8" ht="15.75" customHeight="1">
      <c r="D321" s="50"/>
      <c r="F321" s="51"/>
      <c r="G321" s="51"/>
      <c r="H321" s="51"/>
    </row>
    <row r="322" spans="4:8" ht="15.75" customHeight="1">
      <c r="D322" s="50"/>
      <c r="F322" s="51"/>
      <c r="G322" s="51"/>
      <c r="H322" s="51"/>
    </row>
    <row r="323" spans="4:8" ht="15.75" customHeight="1">
      <c r="D323" s="50"/>
      <c r="F323" s="51"/>
      <c r="G323" s="51"/>
      <c r="H323" s="51"/>
    </row>
    <row r="324" spans="4:8" ht="15.75" customHeight="1">
      <c r="D324" s="50"/>
      <c r="F324" s="51"/>
      <c r="G324" s="51"/>
      <c r="H324" s="51"/>
    </row>
    <row r="325" spans="4:8" ht="15.75" customHeight="1">
      <c r="D325" s="50"/>
      <c r="F325" s="51"/>
      <c r="G325" s="51"/>
      <c r="H325" s="51"/>
    </row>
    <row r="326" spans="4:8" ht="15.75" customHeight="1">
      <c r="D326" s="50"/>
      <c r="F326" s="51"/>
      <c r="G326" s="51"/>
      <c r="H326" s="51"/>
    </row>
    <row r="327" spans="4:8" ht="15.75" customHeight="1">
      <c r="D327" s="50"/>
      <c r="F327" s="51"/>
      <c r="G327" s="51"/>
      <c r="H327" s="51"/>
    </row>
    <row r="328" spans="4:8" ht="15.75" customHeight="1">
      <c r="D328" s="50"/>
      <c r="F328" s="51"/>
      <c r="G328" s="51"/>
      <c r="H328" s="51"/>
    </row>
    <row r="329" spans="4:8" ht="15.75" customHeight="1">
      <c r="D329" s="50"/>
      <c r="F329" s="51"/>
      <c r="G329" s="51"/>
      <c r="H329" s="51"/>
    </row>
    <row r="330" spans="4:8" ht="15.75" customHeight="1">
      <c r="D330" s="50"/>
      <c r="F330" s="51"/>
      <c r="G330" s="51"/>
      <c r="H330" s="51"/>
    </row>
    <row r="331" spans="4:8" ht="15.75" customHeight="1">
      <c r="D331" s="50"/>
      <c r="F331" s="51"/>
      <c r="G331" s="51"/>
      <c r="H331" s="51"/>
    </row>
    <row r="332" spans="4:8" ht="15.75" customHeight="1">
      <c r="D332" s="50"/>
      <c r="F332" s="51"/>
      <c r="G332" s="51"/>
      <c r="H332" s="51"/>
    </row>
    <row r="333" spans="4:8" ht="15.75" customHeight="1">
      <c r="D333" s="50"/>
      <c r="F333" s="51"/>
      <c r="G333" s="51"/>
      <c r="H333" s="51"/>
    </row>
    <row r="334" spans="4:8" ht="15.75" customHeight="1">
      <c r="D334" s="50"/>
      <c r="F334" s="51"/>
      <c r="G334" s="51"/>
      <c r="H334" s="51"/>
    </row>
    <row r="335" spans="4:8" ht="15.75" customHeight="1">
      <c r="D335" s="50"/>
      <c r="F335" s="51"/>
      <c r="G335" s="51"/>
      <c r="H335" s="51"/>
    </row>
    <row r="336" spans="4:8" ht="15.75" customHeight="1">
      <c r="D336" s="50"/>
      <c r="F336" s="51"/>
      <c r="G336" s="51"/>
      <c r="H336" s="51"/>
    </row>
    <row r="337" spans="4:8" ht="15.75" customHeight="1">
      <c r="D337" s="50"/>
      <c r="F337" s="51"/>
      <c r="G337" s="51"/>
      <c r="H337" s="51"/>
    </row>
    <row r="338" spans="4:8" ht="15.75" customHeight="1">
      <c r="D338" s="50"/>
      <c r="F338" s="51"/>
      <c r="G338" s="51"/>
      <c r="H338" s="51"/>
    </row>
    <row r="339" spans="4:8" ht="15.75" customHeight="1">
      <c r="D339" s="50"/>
      <c r="F339" s="51"/>
      <c r="G339" s="51"/>
      <c r="H339" s="51"/>
    </row>
    <row r="340" spans="4:8" ht="15.75" customHeight="1">
      <c r="D340" s="50"/>
      <c r="F340" s="51"/>
      <c r="G340" s="51"/>
      <c r="H340" s="51"/>
    </row>
    <row r="341" spans="4:8" ht="15.75" customHeight="1">
      <c r="D341" s="50"/>
      <c r="F341" s="51"/>
      <c r="G341" s="51"/>
      <c r="H341" s="51"/>
    </row>
    <row r="342" spans="4:8" ht="15.75" customHeight="1">
      <c r="D342" s="50"/>
      <c r="F342" s="51"/>
      <c r="G342" s="51"/>
      <c r="H342" s="51"/>
    </row>
    <row r="343" spans="4:8" ht="15.75" customHeight="1">
      <c r="D343" s="50"/>
      <c r="F343" s="51"/>
      <c r="G343" s="51"/>
      <c r="H343" s="51"/>
    </row>
    <row r="344" spans="4:8" ht="15.75" customHeight="1">
      <c r="D344" s="50"/>
      <c r="F344" s="51"/>
      <c r="G344" s="51"/>
      <c r="H344" s="51"/>
    </row>
    <row r="345" spans="4:8" ht="15.75" customHeight="1">
      <c r="D345" s="50"/>
      <c r="F345" s="51"/>
      <c r="G345" s="51"/>
      <c r="H345" s="51"/>
    </row>
    <row r="346" spans="4:8" ht="15.75" customHeight="1">
      <c r="D346" s="50"/>
      <c r="F346" s="51"/>
      <c r="G346" s="51"/>
      <c r="H346" s="51"/>
    </row>
    <row r="347" spans="4:8" ht="15.75" customHeight="1">
      <c r="D347" s="50"/>
      <c r="F347" s="51"/>
      <c r="G347" s="51"/>
      <c r="H347" s="51"/>
    </row>
    <row r="348" spans="4:8" ht="15.75" customHeight="1">
      <c r="D348" s="50"/>
      <c r="F348" s="51"/>
      <c r="G348" s="51"/>
      <c r="H348" s="51"/>
    </row>
    <row r="349" spans="4:8" ht="15.75" customHeight="1">
      <c r="D349" s="50"/>
      <c r="F349" s="51"/>
      <c r="G349" s="51"/>
      <c r="H349" s="51"/>
    </row>
    <row r="350" spans="4:8" ht="15.75" customHeight="1">
      <c r="D350" s="50"/>
      <c r="F350" s="51"/>
      <c r="G350" s="51"/>
      <c r="H350" s="51"/>
    </row>
    <row r="351" spans="4:8" ht="15.75" customHeight="1">
      <c r="D351" s="50"/>
      <c r="F351" s="51"/>
      <c r="G351" s="51"/>
      <c r="H351" s="51"/>
    </row>
    <row r="352" spans="4:8" ht="15.75" customHeight="1">
      <c r="D352" s="50"/>
      <c r="F352" s="51"/>
      <c r="G352" s="51"/>
      <c r="H352" s="51"/>
    </row>
    <row r="353" spans="4:8" ht="15.75" customHeight="1">
      <c r="D353" s="50"/>
      <c r="F353" s="51"/>
      <c r="G353" s="51"/>
      <c r="H353" s="51"/>
    </row>
    <row r="354" spans="4:8" ht="15.75" customHeight="1">
      <c r="D354" s="50"/>
      <c r="F354" s="51"/>
      <c r="G354" s="51"/>
      <c r="H354" s="51"/>
    </row>
    <row r="355" spans="4:8" ht="15.75" customHeight="1">
      <c r="D355" s="50"/>
      <c r="F355" s="51"/>
      <c r="G355" s="51"/>
      <c r="H355" s="51"/>
    </row>
    <row r="356" spans="4:8" ht="15.75" customHeight="1">
      <c r="D356" s="50"/>
      <c r="F356" s="51"/>
      <c r="G356" s="51"/>
      <c r="H356" s="51"/>
    </row>
    <row r="357" spans="4:8" ht="15.75" customHeight="1">
      <c r="D357" s="50"/>
      <c r="F357" s="51"/>
      <c r="G357" s="51"/>
      <c r="H357" s="51"/>
    </row>
    <row r="358" spans="4:8" ht="15.75" customHeight="1">
      <c r="D358" s="50"/>
      <c r="F358" s="51"/>
      <c r="G358" s="51"/>
      <c r="H358" s="51"/>
    </row>
    <row r="359" spans="4:8" ht="15.75" customHeight="1">
      <c r="D359" s="50"/>
      <c r="F359" s="51"/>
      <c r="G359" s="51"/>
      <c r="H359" s="51"/>
    </row>
    <row r="360" spans="4:8" ht="15.75" customHeight="1">
      <c r="D360" s="50"/>
      <c r="F360" s="51"/>
      <c r="G360" s="51"/>
      <c r="H360" s="51"/>
    </row>
    <row r="361" spans="4:8" ht="15.75" customHeight="1">
      <c r="D361" s="50"/>
      <c r="F361" s="51"/>
      <c r="G361" s="51"/>
      <c r="H361" s="51"/>
    </row>
    <row r="362" spans="4:8" ht="15.75" customHeight="1">
      <c r="D362" s="50"/>
      <c r="F362" s="51"/>
      <c r="G362" s="51"/>
      <c r="H362" s="51"/>
    </row>
    <row r="363" spans="4:8" ht="15.75" customHeight="1">
      <c r="D363" s="50"/>
      <c r="F363" s="51"/>
      <c r="G363" s="51"/>
      <c r="H363" s="51"/>
    </row>
    <row r="364" spans="4:8" ht="15.75" customHeight="1">
      <c r="D364" s="50"/>
      <c r="F364" s="51"/>
      <c r="G364" s="51"/>
      <c r="H364" s="51"/>
    </row>
    <row r="365" spans="4:8" ht="15.75" customHeight="1">
      <c r="D365" s="50"/>
      <c r="F365" s="51"/>
      <c r="G365" s="51"/>
      <c r="H365" s="51"/>
    </row>
    <row r="366" spans="4:8" ht="15.75" customHeight="1">
      <c r="D366" s="50"/>
      <c r="F366" s="51"/>
      <c r="G366" s="51"/>
      <c r="H366" s="51"/>
    </row>
    <row r="367" spans="4:8" ht="15.75" customHeight="1">
      <c r="D367" s="50"/>
      <c r="F367" s="51"/>
      <c r="G367" s="51"/>
      <c r="H367" s="51"/>
    </row>
    <row r="368" spans="4:8" ht="15.75" customHeight="1">
      <c r="D368" s="50"/>
      <c r="F368" s="51"/>
      <c r="G368" s="51"/>
      <c r="H368" s="51"/>
    </row>
    <row r="369" spans="4:8" ht="15.75" customHeight="1">
      <c r="D369" s="50"/>
      <c r="F369" s="51"/>
      <c r="G369" s="51"/>
      <c r="H369" s="51"/>
    </row>
    <row r="370" spans="4:8" ht="15.75" customHeight="1">
      <c r="D370" s="50"/>
      <c r="F370" s="51"/>
      <c r="G370" s="51"/>
      <c r="H370" s="51"/>
    </row>
    <row r="371" spans="4:8" ht="15.75" customHeight="1">
      <c r="D371" s="50"/>
      <c r="F371" s="51"/>
      <c r="G371" s="51"/>
      <c r="H371" s="51"/>
    </row>
    <row r="372" spans="4:8" ht="15.75" customHeight="1">
      <c r="D372" s="50"/>
      <c r="F372" s="51"/>
      <c r="G372" s="51"/>
      <c r="H372" s="51"/>
    </row>
    <row r="373" spans="4:8" ht="15.75" customHeight="1">
      <c r="D373" s="50"/>
      <c r="F373" s="51"/>
      <c r="G373" s="51"/>
      <c r="H373" s="51"/>
    </row>
    <row r="374" spans="4:8" ht="15.75" customHeight="1">
      <c r="D374" s="50"/>
      <c r="F374" s="51"/>
      <c r="G374" s="51"/>
      <c r="H374" s="51"/>
    </row>
    <row r="375" spans="4:8" ht="15.75" customHeight="1">
      <c r="D375" s="50"/>
      <c r="F375" s="51"/>
      <c r="G375" s="51"/>
      <c r="H375" s="51"/>
    </row>
    <row r="376" spans="4:8" ht="15.75" customHeight="1">
      <c r="D376" s="50"/>
      <c r="F376" s="51"/>
      <c r="G376" s="51"/>
      <c r="H376" s="51"/>
    </row>
    <row r="377" spans="4:8" ht="15.75" customHeight="1">
      <c r="D377" s="50"/>
      <c r="F377" s="51"/>
      <c r="G377" s="51"/>
      <c r="H377" s="51"/>
    </row>
    <row r="378" spans="4:8" ht="15.75" customHeight="1">
      <c r="D378" s="50"/>
      <c r="F378" s="51"/>
      <c r="G378" s="51"/>
      <c r="H378" s="51"/>
    </row>
    <row r="379" spans="4:8" ht="15.75" customHeight="1">
      <c r="D379" s="50"/>
      <c r="F379" s="51"/>
      <c r="G379" s="51"/>
      <c r="H379" s="51"/>
    </row>
    <row r="380" spans="4:8" ht="15.75" customHeight="1">
      <c r="D380" s="50"/>
      <c r="F380" s="51"/>
      <c r="G380" s="51"/>
      <c r="H380" s="51"/>
    </row>
    <row r="381" spans="4:8" ht="15.75" customHeight="1">
      <c r="D381" s="50"/>
      <c r="F381" s="51"/>
      <c r="G381" s="51"/>
      <c r="H381" s="51"/>
    </row>
    <row r="382" spans="4:8" ht="15.75" customHeight="1">
      <c r="D382" s="50"/>
      <c r="F382" s="51"/>
      <c r="G382" s="51"/>
      <c r="H382" s="51"/>
    </row>
    <row r="383" spans="4:8" ht="15.75" customHeight="1">
      <c r="D383" s="50"/>
      <c r="F383" s="51"/>
      <c r="G383" s="51"/>
      <c r="H383" s="51"/>
    </row>
    <row r="384" spans="4:8" ht="15.75" customHeight="1">
      <c r="D384" s="50"/>
      <c r="F384" s="51"/>
      <c r="G384" s="51"/>
      <c r="H384" s="51"/>
    </row>
    <row r="385" spans="4:8" ht="15.75" customHeight="1">
      <c r="D385" s="50"/>
      <c r="F385" s="51"/>
      <c r="G385" s="51"/>
      <c r="H385" s="51"/>
    </row>
    <row r="386" spans="4:8" ht="15.75" customHeight="1">
      <c r="D386" s="50"/>
      <c r="F386" s="51"/>
      <c r="G386" s="51"/>
      <c r="H386" s="51"/>
    </row>
    <row r="387" spans="4:8" ht="15.75" customHeight="1">
      <c r="D387" s="50"/>
      <c r="F387" s="51"/>
      <c r="G387" s="51"/>
      <c r="H387" s="51"/>
    </row>
    <row r="388" spans="4:8" ht="15.75" customHeight="1">
      <c r="D388" s="50"/>
      <c r="F388" s="51"/>
      <c r="G388" s="51"/>
      <c r="H388" s="51"/>
    </row>
    <row r="389" spans="4:8" ht="15.75" customHeight="1">
      <c r="D389" s="50"/>
      <c r="F389" s="51"/>
      <c r="G389" s="51"/>
      <c r="H389" s="51"/>
    </row>
    <row r="390" spans="4:8" ht="15.75" customHeight="1">
      <c r="D390" s="50"/>
      <c r="F390" s="51"/>
      <c r="G390" s="51"/>
      <c r="H390" s="51"/>
    </row>
    <row r="391" spans="4:8" ht="15.75" customHeight="1">
      <c r="D391" s="50"/>
      <c r="F391" s="51"/>
      <c r="G391" s="51"/>
      <c r="H391" s="51"/>
    </row>
    <row r="392" spans="4:8" ht="15.75" customHeight="1">
      <c r="D392" s="50"/>
      <c r="F392" s="51"/>
      <c r="G392" s="51"/>
      <c r="H392" s="51"/>
    </row>
    <row r="393" spans="4:8" ht="15.75" customHeight="1">
      <c r="D393" s="50"/>
      <c r="F393" s="51"/>
      <c r="G393" s="51"/>
      <c r="H393" s="51"/>
    </row>
    <row r="394" spans="4:8" ht="15.75" customHeight="1">
      <c r="D394" s="50"/>
      <c r="F394" s="51"/>
      <c r="G394" s="51"/>
      <c r="H394" s="51"/>
    </row>
    <row r="395" spans="4:8" ht="15.75" customHeight="1">
      <c r="D395" s="50"/>
      <c r="F395" s="51"/>
      <c r="G395" s="51"/>
      <c r="H395" s="51"/>
    </row>
    <row r="396" spans="4:8" ht="15.75" customHeight="1">
      <c r="D396" s="50"/>
      <c r="F396" s="51"/>
      <c r="G396" s="51"/>
      <c r="H396" s="51"/>
    </row>
    <row r="397" spans="4:8" ht="15.75" customHeight="1">
      <c r="D397" s="50"/>
      <c r="F397" s="51"/>
      <c r="G397" s="51"/>
      <c r="H397" s="51"/>
    </row>
    <row r="398" spans="4:8" ht="15.75" customHeight="1">
      <c r="D398" s="50"/>
      <c r="F398" s="51"/>
      <c r="G398" s="51"/>
      <c r="H398" s="51"/>
    </row>
    <row r="399" spans="4:8" ht="15.75" customHeight="1">
      <c r="D399" s="50"/>
      <c r="F399" s="51"/>
      <c r="G399" s="51"/>
      <c r="H399" s="51"/>
    </row>
    <row r="400" spans="4:8" ht="15.75" customHeight="1">
      <c r="D400" s="50"/>
      <c r="F400" s="51"/>
      <c r="G400" s="51"/>
      <c r="H400" s="51"/>
    </row>
    <row r="401" spans="4:8" ht="15.75" customHeight="1">
      <c r="D401" s="50"/>
      <c r="F401" s="51"/>
      <c r="G401" s="51"/>
      <c r="H401" s="51"/>
    </row>
    <row r="402" spans="4:8" ht="15.75" customHeight="1">
      <c r="F402" s="51"/>
      <c r="G402" s="51"/>
      <c r="H402" s="51"/>
    </row>
    <row r="403" spans="4:8" ht="15.75" customHeight="1">
      <c r="F403" s="51"/>
      <c r="G403" s="51"/>
      <c r="H403" s="51"/>
    </row>
    <row r="404" spans="4:8" ht="15.75" customHeight="1">
      <c r="F404" s="51"/>
      <c r="G404" s="51"/>
      <c r="H404" s="51"/>
    </row>
    <row r="405" spans="4:8" ht="15.75" customHeight="1">
      <c r="F405" s="51"/>
      <c r="G405" s="51"/>
      <c r="H405" s="51"/>
    </row>
    <row r="406" spans="4:8" ht="15.75" customHeight="1">
      <c r="F406" s="51"/>
      <c r="G406" s="51"/>
      <c r="H406" s="51"/>
    </row>
    <row r="407" spans="4:8" ht="15.75" customHeight="1">
      <c r="F407" s="51"/>
      <c r="G407" s="51"/>
      <c r="H407" s="51"/>
    </row>
    <row r="408" spans="4:8" ht="15.75" customHeight="1">
      <c r="F408" s="51"/>
      <c r="G408" s="51"/>
      <c r="H408" s="51"/>
    </row>
    <row r="409" spans="4:8" ht="15.75" customHeight="1">
      <c r="F409" s="51"/>
      <c r="G409" s="51"/>
      <c r="H409" s="51"/>
    </row>
    <row r="410" spans="4:8" ht="15.75" customHeight="1">
      <c r="F410" s="51"/>
      <c r="G410" s="51"/>
      <c r="H410" s="51"/>
    </row>
    <row r="411" spans="4:8" ht="15.75" customHeight="1">
      <c r="F411" s="51"/>
      <c r="G411" s="51"/>
      <c r="H411" s="51"/>
    </row>
    <row r="412" spans="4:8" ht="15.75" customHeight="1">
      <c r="F412" s="51"/>
      <c r="G412" s="51"/>
      <c r="H412" s="51"/>
    </row>
    <row r="413" spans="4:8" ht="15.75" customHeight="1">
      <c r="F413" s="51"/>
      <c r="G413" s="51"/>
      <c r="H413" s="51"/>
    </row>
    <row r="414" spans="4:8" ht="15.75" customHeight="1">
      <c r="F414" s="51"/>
      <c r="G414" s="51"/>
      <c r="H414" s="51"/>
    </row>
    <row r="415" spans="4:8" ht="15.75" customHeight="1">
      <c r="F415" s="51"/>
      <c r="G415" s="51"/>
      <c r="H415" s="51"/>
    </row>
    <row r="416" spans="4:8" ht="15.75" customHeight="1">
      <c r="F416" s="51"/>
      <c r="G416" s="51"/>
      <c r="H416" s="51"/>
    </row>
    <row r="417" spans="6:8" ht="15.75" customHeight="1">
      <c r="F417" s="51"/>
      <c r="G417" s="51"/>
      <c r="H417" s="51"/>
    </row>
    <row r="418" spans="6:8" ht="15.75" customHeight="1">
      <c r="F418" s="51"/>
      <c r="G418" s="51"/>
      <c r="H418" s="51"/>
    </row>
    <row r="419" spans="6:8" ht="15.75" customHeight="1">
      <c r="F419" s="51"/>
      <c r="G419" s="51"/>
      <c r="H419" s="51"/>
    </row>
    <row r="420" spans="6:8" ht="15.75" customHeight="1">
      <c r="F420" s="51"/>
      <c r="G420" s="51"/>
      <c r="H420" s="51"/>
    </row>
    <row r="421" spans="6:8" ht="15.75" customHeight="1">
      <c r="F421" s="51"/>
      <c r="G421" s="51"/>
      <c r="H421" s="51"/>
    </row>
    <row r="422" spans="6:8" ht="15.75" customHeight="1">
      <c r="F422" s="51"/>
      <c r="G422" s="51"/>
      <c r="H422" s="51"/>
    </row>
    <row r="423" spans="6:8" ht="15.75" customHeight="1">
      <c r="F423" s="51"/>
      <c r="G423" s="51"/>
      <c r="H423" s="51"/>
    </row>
    <row r="424" spans="6:8" ht="15.75" customHeight="1">
      <c r="F424" s="51"/>
      <c r="G424" s="51"/>
      <c r="H424" s="51"/>
    </row>
    <row r="425" spans="6:8" ht="15.75" customHeight="1">
      <c r="F425" s="51"/>
      <c r="G425" s="51"/>
      <c r="H425" s="51"/>
    </row>
    <row r="426" spans="6:8" ht="15.75" customHeight="1">
      <c r="F426" s="51"/>
      <c r="G426" s="51"/>
      <c r="H426" s="51"/>
    </row>
    <row r="427" spans="6:8" ht="15.75" customHeight="1">
      <c r="F427" s="51"/>
      <c r="G427" s="51"/>
      <c r="H427" s="51"/>
    </row>
    <row r="428" spans="6:8" ht="15.75" customHeight="1">
      <c r="F428" s="51"/>
      <c r="G428" s="51"/>
      <c r="H428" s="51"/>
    </row>
    <row r="429" spans="6:8" ht="15.75" customHeight="1">
      <c r="F429" s="51"/>
      <c r="G429" s="51"/>
      <c r="H429" s="51"/>
    </row>
    <row r="430" spans="6:8" ht="15.75" customHeight="1">
      <c r="F430" s="51"/>
      <c r="G430" s="51"/>
      <c r="H430" s="51"/>
    </row>
    <row r="431" spans="6:8" ht="15.75" customHeight="1">
      <c r="F431" s="51"/>
      <c r="G431" s="51"/>
      <c r="H431" s="51"/>
    </row>
    <row r="432" spans="6:8" ht="15.75" customHeight="1">
      <c r="F432" s="51"/>
      <c r="G432" s="51"/>
      <c r="H432" s="51"/>
    </row>
    <row r="433" spans="6:8" ht="15.75" customHeight="1">
      <c r="F433" s="51"/>
      <c r="G433" s="51"/>
      <c r="H433" s="51"/>
    </row>
    <row r="434" spans="6:8" ht="15.75" customHeight="1">
      <c r="F434" s="51"/>
      <c r="G434" s="51"/>
      <c r="H434" s="51"/>
    </row>
    <row r="435" spans="6:8" ht="15.75" customHeight="1">
      <c r="F435" s="51"/>
      <c r="G435" s="51"/>
      <c r="H435" s="51"/>
    </row>
    <row r="436" spans="6:8" ht="15.75" customHeight="1">
      <c r="F436" s="51"/>
      <c r="G436" s="51"/>
      <c r="H436" s="51"/>
    </row>
    <row r="437" spans="6:8" ht="15.75" customHeight="1">
      <c r="F437" s="51"/>
      <c r="G437" s="51"/>
      <c r="H437" s="51"/>
    </row>
    <row r="438" spans="6:8" ht="15.75" customHeight="1">
      <c r="F438" s="51"/>
      <c r="G438" s="51"/>
      <c r="H438" s="51"/>
    </row>
    <row r="439" spans="6:8" ht="15.75" customHeight="1">
      <c r="F439" s="51"/>
      <c r="G439" s="51"/>
      <c r="H439" s="51"/>
    </row>
    <row r="440" spans="6:8" ht="15.75" customHeight="1">
      <c r="F440" s="51"/>
      <c r="G440" s="51"/>
      <c r="H440" s="51"/>
    </row>
    <row r="441" spans="6:8" ht="15.75" customHeight="1">
      <c r="F441" s="51"/>
      <c r="G441" s="51"/>
      <c r="H441" s="51"/>
    </row>
    <row r="442" spans="6:8" ht="15.75" customHeight="1">
      <c r="F442" s="51"/>
      <c r="G442" s="51"/>
      <c r="H442" s="51"/>
    </row>
    <row r="443" spans="6:8" ht="15.75" customHeight="1">
      <c r="F443" s="51"/>
      <c r="G443" s="51"/>
      <c r="H443" s="51"/>
    </row>
    <row r="444" spans="6:8" ht="15.75" customHeight="1">
      <c r="F444" s="51"/>
      <c r="G444" s="51"/>
      <c r="H444" s="51"/>
    </row>
    <row r="445" spans="6:8" ht="15.75" customHeight="1">
      <c r="F445" s="51"/>
      <c r="G445" s="51"/>
      <c r="H445" s="51"/>
    </row>
    <row r="446" spans="6:8" ht="15.75" customHeight="1">
      <c r="F446" s="51"/>
      <c r="G446" s="51"/>
      <c r="H446" s="51"/>
    </row>
    <row r="447" spans="6:8" ht="15.75" customHeight="1">
      <c r="F447" s="51"/>
      <c r="G447" s="51"/>
      <c r="H447" s="51"/>
    </row>
    <row r="448" spans="6:8" ht="15.75" customHeight="1">
      <c r="F448" s="51"/>
      <c r="G448" s="51"/>
      <c r="H448" s="51"/>
    </row>
    <row r="449" spans="6:8" ht="15.75" customHeight="1">
      <c r="F449" s="51"/>
      <c r="G449" s="51"/>
      <c r="H449" s="51"/>
    </row>
    <row r="450" spans="6:8" ht="15.75" customHeight="1">
      <c r="F450" s="51"/>
      <c r="G450" s="51"/>
      <c r="H450" s="51"/>
    </row>
    <row r="451" spans="6:8" ht="15.75" customHeight="1">
      <c r="F451" s="51"/>
      <c r="G451" s="51"/>
      <c r="H451" s="51"/>
    </row>
    <row r="452" spans="6:8" ht="15.75" customHeight="1">
      <c r="F452" s="51"/>
      <c r="G452" s="51"/>
      <c r="H452" s="51"/>
    </row>
    <row r="453" spans="6:8" ht="15.75" customHeight="1">
      <c r="F453" s="51"/>
      <c r="G453" s="51"/>
      <c r="H453" s="51"/>
    </row>
    <row r="454" spans="6:8" ht="15.75" customHeight="1">
      <c r="F454" s="51"/>
      <c r="G454" s="51"/>
      <c r="H454" s="51"/>
    </row>
    <row r="455" spans="6:8" ht="15.75" customHeight="1">
      <c r="F455" s="51"/>
      <c r="G455" s="51"/>
      <c r="H455" s="51"/>
    </row>
    <row r="456" spans="6:8" ht="15.75" customHeight="1">
      <c r="F456" s="51"/>
      <c r="G456" s="51"/>
      <c r="H456" s="51"/>
    </row>
    <row r="457" spans="6:8" ht="15.75" customHeight="1">
      <c r="F457" s="51"/>
      <c r="G457" s="51"/>
      <c r="H457" s="51"/>
    </row>
    <row r="458" spans="6:8" ht="15.75" customHeight="1">
      <c r="F458" s="51"/>
      <c r="G458" s="51"/>
      <c r="H458" s="51"/>
    </row>
    <row r="459" spans="6:8" ht="15.75" customHeight="1">
      <c r="F459" s="51"/>
      <c r="G459" s="51"/>
      <c r="H459" s="51"/>
    </row>
    <row r="460" spans="6:8" ht="15.75" customHeight="1">
      <c r="F460" s="51"/>
      <c r="G460" s="51"/>
      <c r="H460" s="51"/>
    </row>
    <row r="461" spans="6:8" ht="15.75" customHeight="1">
      <c r="F461" s="51"/>
      <c r="G461" s="51"/>
      <c r="H461" s="51"/>
    </row>
    <row r="462" spans="6:8" ht="15.75" customHeight="1">
      <c r="F462" s="51"/>
      <c r="G462" s="51"/>
      <c r="H462" s="51"/>
    </row>
    <row r="463" spans="6:8" ht="15.75" customHeight="1">
      <c r="F463" s="51"/>
      <c r="G463" s="51"/>
      <c r="H463" s="51"/>
    </row>
    <row r="464" spans="6:8" ht="15.75" customHeight="1">
      <c r="F464" s="51"/>
      <c r="G464" s="51"/>
      <c r="H464" s="51"/>
    </row>
    <row r="465" spans="6:8" ht="15.75" customHeight="1">
      <c r="F465" s="51"/>
      <c r="G465" s="51"/>
      <c r="H465" s="51"/>
    </row>
    <row r="466" spans="6:8" ht="15.75" customHeight="1">
      <c r="F466" s="51"/>
      <c r="G466" s="51"/>
      <c r="H466" s="51"/>
    </row>
    <row r="467" spans="6:8" ht="15.75" customHeight="1">
      <c r="F467" s="51"/>
      <c r="G467" s="51"/>
      <c r="H467" s="51"/>
    </row>
    <row r="468" spans="6:8" ht="15.75" customHeight="1">
      <c r="F468" s="51"/>
      <c r="G468" s="51"/>
      <c r="H468" s="51"/>
    </row>
    <row r="469" spans="6:8" ht="15.75" customHeight="1">
      <c r="F469" s="51"/>
      <c r="G469" s="51"/>
      <c r="H469" s="51"/>
    </row>
    <row r="470" spans="6:8" ht="15.75" customHeight="1">
      <c r="F470" s="51"/>
      <c r="G470" s="51"/>
      <c r="H470" s="51"/>
    </row>
    <row r="471" spans="6:8" ht="15.75" customHeight="1">
      <c r="F471" s="51"/>
      <c r="G471" s="51"/>
      <c r="H471" s="51"/>
    </row>
    <row r="472" spans="6:8" ht="15.75" customHeight="1">
      <c r="F472" s="51"/>
      <c r="G472" s="51"/>
      <c r="H472" s="51"/>
    </row>
    <row r="473" spans="6:8" ht="15.75" customHeight="1">
      <c r="F473" s="51"/>
      <c r="G473" s="51"/>
      <c r="H473" s="51"/>
    </row>
    <row r="474" spans="6:8" ht="15.75" customHeight="1">
      <c r="F474" s="51"/>
      <c r="G474" s="51"/>
      <c r="H474" s="51"/>
    </row>
    <row r="475" spans="6:8" ht="15.75" customHeight="1">
      <c r="F475" s="51"/>
      <c r="G475" s="51"/>
      <c r="H475" s="51"/>
    </row>
    <row r="476" spans="6:8" ht="15.75" customHeight="1">
      <c r="F476" s="51"/>
      <c r="G476" s="51"/>
      <c r="H476" s="51"/>
    </row>
    <row r="477" spans="6:8" ht="15.75" customHeight="1">
      <c r="F477" s="51"/>
      <c r="G477" s="51"/>
      <c r="H477" s="51"/>
    </row>
    <row r="478" spans="6:8" ht="15.75" customHeight="1">
      <c r="F478" s="51"/>
      <c r="G478" s="51"/>
      <c r="H478" s="51"/>
    </row>
    <row r="479" spans="6:8" ht="15.75" customHeight="1">
      <c r="F479" s="51"/>
      <c r="G479" s="51"/>
      <c r="H479" s="51"/>
    </row>
    <row r="480" spans="6:8" ht="15.75" customHeight="1">
      <c r="F480" s="51"/>
      <c r="G480" s="51"/>
      <c r="H480" s="51"/>
    </row>
    <row r="481" spans="6:8" ht="15.75" customHeight="1">
      <c r="F481" s="51"/>
      <c r="G481" s="51"/>
      <c r="H481" s="51"/>
    </row>
    <row r="482" spans="6:8" ht="15.75" customHeight="1">
      <c r="F482" s="51"/>
      <c r="G482" s="51"/>
      <c r="H482" s="51"/>
    </row>
    <row r="483" spans="6:8" ht="15.75" customHeight="1">
      <c r="F483" s="51"/>
      <c r="G483" s="51"/>
      <c r="H483" s="51"/>
    </row>
    <row r="484" spans="6:8" ht="15.75" customHeight="1">
      <c r="F484" s="51"/>
      <c r="G484" s="51"/>
      <c r="H484" s="51"/>
    </row>
    <row r="485" spans="6:8" ht="15.75" customHeight="1">
      <c r="F485" s="51"/>
      <c r="G485" s="51"/>
      <c r="H485" s="51"/>
    </row>
    <row r="486" spans="6:8" ht="15.75" customHeight="1">
      <c r="F486" s="51"/>
      <c r="G486" s="51"/>
      <c r="H486" s="51"/>
    </row>
    <row r="487" spans="6:8" ht="15.75" customHeight="1">
      <c r="F487" s="51"/>
      <c r="G487" s="51"/>
      <c r="H487" s="51"/>
    </row>
    <row r="488" spans="6:8" ht="15.75" customHeight="1">
      <c r="F488" s="51"/>
      <c r="G488" s="51"/>
      <c r="H488" s="51"/>
    </row>
    <row r="489" spans="6:8" ht="15.75" customHeight="1">
      <c r="F489" s="51"/>
      <c r="G489" s="51"/>
      <c r="H489" s="51"/>
    </row>
    <row r="490" spans="6:8" ht="15.75" customHeight="1">
      <c r="F490" s="51"/>
      <c r="G490" s="51"/>
      <c r="H490" s="51"/>
    </row>
    <row r="491" spans="6:8" ht="15.75" customHeight="1">
      <c r="F491" s="51"/>
      <c r="G491" s="51"/>
      <c r="H491" s="51"/>
    </row>
    <row r="492" spans="6:8" ht="15.75" customHeight="1">
      <c r="F492" s="51"/>
      <c r="G492" s="51"/>
      <c r="H492" s="51"/>
    </row>
    <row r="493" spans="6:8" ht="15.75" customHeight="1">
      <c r="F493" s="51"/>
      <c r="G493" s="51"/>
      <c r="H493" s="51"/>
    </row>
    <row r="494" spans="6:8" ht="15.75" customHeight="1">
      <c r="F494" s="51"/>
      <c r="G494" s="51"/>
      <c r="H494" s="51"/>
    </row>
    <row r="495" spans="6:8" ht="15.75" customHeight="1">
      <c r="F495" s="51"/>
      <c r="G495" s="51"/>
      <c r="H495" s="51"/>
    </row>
    <row r="496" spans="6:8" ht="15.75" customHeight="1">
      <c r="F496" s="51"/>
      <c r="G496" s="51"/>
      <c r="H496" s="51"/>
    </row>
    <row r="497" spans="6:8" ht="15.75" customHeight="1">
      <c r="F497" s="51"/>
      <c r="G497" s="51"/>
      <c r="H497" s="51"/>
    </row>
    <row r="498" spans="6:8" ht="15.75" customHeight="1">
      <c r="F498" s="51"/>
      <c r="G498" s="51"/>
      <c r="H498" s="51"/>
    </row>
    <row r="499" spans="6:8" ht="15.75" customHeight="1">
      <c r="F499" s="51"/>
      <c r="G499" s="51"/>
      <c r="H499" s="51"/>
    </row>
    <row r="500" spans="6:8" ht="15.75" customHeight="1">
      <c r="F500" s="51"/>
      <c r="G500" s="51"/>
      <c r="H500" s="51"/>
    </row>
    <row r="501" spans="6:8" ht="15.75" customHeight="1">
      <c r="F501" s="51"/>
      <c r="G501" s="51"/>
      <c r="H501" s="51"/>
    </row>
    <row r="502" spans="6:8" ht="15.75" customHeight="1">
      <c r="F502" s="51"/>
      <c r="G502" s="51"/>
      <c r="H502" s="51"/>
    </row>
    <row r="503" spans="6:8" ht="15.75" customHeight="1">
      <c r="F503" s="51"/>
      <c r="G503" s="51"/>
      <c r="H503" s="51"/>
    </row>
    <row r="504" spans="6:8" ht="15.75" customHeight="1">
      <c r="F504" s="51"/>
      <c r="G504" s="51"/>
      <c r="H504" s="51"/>
    </row>
    <row r="505" spans="6:8" ht="15.75" customHeight="1">
      <c r="F505" s="51"/>
      <c r="G505" s="51"/>
      <c r="H505" s="51"/>
    </row>
    <row r="506" spans="6:8" ht="15.75" customHeight="1">
      <c r="F506" s="51"/>
      <c r="G506" s="51"/>
      <c r="H506" s="51"/>
    </row>
    <row r="507" spans="6:8" ht="15.75" customHeight="1">
      <c r="F507" s="51"/>
      <c r="G507" s="51"/>
      <c r="H507" s="51"/>
    </row>
    <row r="508" spans="6:8" ht="15.75" customHeight="1">
      <c r="F508" s="51"/>
      <c r="G508" s="51"/>
      <c r="H508" s="51"/>
    </row>
    <row r="509" spans="6:8" ht="15.75" customHeight="1">
      <c r="F509" s="51"/>
      <c r="G509" s="51"/>
      <c r="H509" s="51"/>
    </row>
    <row r="510" spans="6:8" ht="15.75" customHeight="1">
      <c r="F510" s="51"/>
      <c r="G510" s="51"/>
      <c r="H510" s="51"/>
    </row>
    <row r="511" spans="6:8" ht="15.75" customHeight="1">
      <c r="F511" s="51"/>
      <c r="G511" s="51"/>
      <c r="H511" s="51"/>
    </row>
    <row r="512" spans="6:8" ht="15.75" customHeight="1">
      <c r="F512" s="51"/>
      <c r="G512" s="51"/>
      <c r="H512" s="51"/>
    </row>
    <row r="513" spans="6:8" ht="15.75" customHeight="1">
      <c r="F513" s="51"/>
      <c r="G513" s="51"/>
      <c r="H513" s="51"/>
    </row>
    <row r="514" spans="6:8" ht="15.75" customHeight="1">
      <c r="F514" s="51"/>
      <c r="G514" s="51"/>
      <c r="H514" s="51"/>
    </row>
    <row r="515" spans="6:8" ht="15.75" customHeight="1">
      <c r="F515" s="51"/>
      <c r="G515" s="51"/>
      <c r="H515" s="51"/>
    </row>
    <row r="516" spans="6:8" ht="15.75" customHeight="1">
      <c r="F516" s="51"/>
      <c r="G516" s="51"/>
      <c r="H516" s="51"/>
    </row>
    <row r="517" spans="6:8" ht="15.75" customHeight="1">
      <c r="F517" s="51"/>
      <c r="G517" s="51"/>
      <c r="H517" s="51"/>
    </row>
    <row r="518" spans="6:8" ht="15.75" customHeight="1">
      <c r="F518" s="51"/>
      <c r="G518" s="51"/>
      <c r="H518" s="51"/>
    </row>
    <row r="519" spans="6:8" ht="15.75" customHeight="1">
      <c r="F519" s="51"/>
      <c r="G519" s="51"/>
      <c r="H519" s="51"/>
    </row>
    <row r="520" spans="6:8" ht="15.75" customHeight="1">
      <c r="F520" s="51"/>
      <c r="G520" s="51"/>
      <c r="H520" s="51"/>
    </row>
    <row r="521" spans="6:8" ht="15.75" customHeight="1">
      <c r="F521" s="51"/>
      <c r="G521" s="51"/>
      <c r="H521" s="51"/>
    </row>
    <row r="522" spans="6:8" ht="15.75" customHeight="1">
      <c r="F522" s="51"/>
      <c r="G522" s="51"/>
      <c r="H522" s="51"/>
    </row>
    <row r="523" spans="6:8" ht="15.75" customHeight="1">
      <c r="F523" s="51"/>
      <c r="G523" s="51"/>
      <c r="H523" s="51"/>
    </row>
    <row r="524" spans="6:8" ht="15.75" customHeight="1">
      <c r="F524" s="51"/>
      <c r="G524" s="51"/>
      <c r="H524" s="51"/>
    </row>
    <row r="525" spans="6:8" ht="15.75" customHeight="1">
      <c r="F525" s="51"/>
      <c r="G525" s="51"/>
      <c r="H525" s="51"/>
    </row>
    <row r="526" spans="6:8" ht="15.75" customHeight="1">
      <c r="F526" s="51"/>
      <c r="G526" s="51"/>
      <c r="H526" s="51"/>
    </row>
    <row r="527" spans="6:8" ht="15.75" customHeight="1">
      <c r="F527" s="51"/>
      <c r="G527" s="51"/>
      <c r="H527" s="51"/>
    </row>
    <row r="528" spans="6:8" ht="15.75" customHeight="1">
      <c r="F528" s="51"/>
      <c r="G528" s="51"/>
      <c r="H528" s="51"/>
    </row>
    <row r="529" spans="6:8" ht="15.75" customHeight="1">
      <c r="F529" s="51"/>
      <c r="G529" s="51"/>
      <c r="H529" s="51"/>
    </row>
    <row r="530" spans="6:8" ht="15.75" customHeight="1">
      <c r="F530" s="51"/>
      <c r="G530" s="51"/>
      <c r="H530" s="51"/>
    </row>
    <row r="531" spans="6:8" ht="15.75" customHeight="1">
      <c r="F531" s="51"/>
      <c r="G531" s="51"/>
      <c r="H531" s="51"/>
    </row>
    <row r="532" spans="6:8" ht="15.75" customHeight="1">
      <c r="F532" s="51"/>
      <c r="G532" s="51"/>
      <c r="H532" s="51"/>
    </row>
    <row r="533" spans="6:8" ht="15.75" customHeight="1">
      <c r="F533" s="51"/>
      <c r="G533" s="51"/>
      <c r="H533" s="51"/>
    </row>
    <row r="534" spans="6:8" ht="15.75" customHeight="1">
      <c r="F534" s="51"/>
      <c r="G534" s="51"/>
      <c r="H534" s="51"/>
    </row>
    <row r="535" spans="6:8" ht="15.75" customHeight="1">
      <c r="F535" s="51"/>
      <c r="G535" s="51"/>
      <c r="H535" s="51"/>
    </row>
    <row r="536" spans="6:8" ht="15.75" customHeight="1">
      <c r="F536" s="51"/>
      <c r="G536" s="51"/>
      <c r="H536" s="51"/>
    </row>
    <row r="537" spans="6:8" ht="15.75" customHeight="1">
      <c r="F537" s="51"/>
      <c r="G537" s="51"/>
      <c r="H537" s="51"/>
    </row>
    <row r="538" spans="6:8" ht="15.75" customHeight="1">
      <c r="F538" s="51"/>
      <c r="G538" s="51"/>
      <c r="H538" s="51"/>
    </row>
    <row r="539" spans="6:8" ht="15.75" customHeight="1">
      <c r="F539" s="51"/>
      <c r="G539" s="51"/>
      <c r="H539" s="51"/>
    </row>
    <row r="540" spans="6:8" ht="15.75" customHeight="1">
      <c r="F540" s="51"/>
      <c r="G540" s="51"/>
      <c r="H540" s="51"/>
    </row>
    <row r="541" spans="6:8" ht="15.75" customHeight="1">
      <c r="F541" s="51"/>
      <c r="G541" s="51"/>
      <c r="H541" s="51"/>
    </row>
    <row r="542" spans="6:8" ht="15.75" customHeight="1">
      <c r="F542" s="51"/>
      <c r="G542" s="51"/>
      <c r="H542" s="51"/>
    </row>
    <row r="543" spans="6:8" ht="15.75" customHeight="1">
      <c r="F543" s="51"/>
      <c r="G543" s="51"/>
      <c r="H543" s="51"/>
    </row>
    <row r="544" spans="6:8" ht="15.75" customHeight="1">
      <c r="F544" s="51"/>
      <c r="G544" s="51"/>
      <c r="H544" s="51"/>
    </row>
    <row r="545" spans="6:8" ht="15.75" customHeight="1">
      <c r="F545" s="51"/>
      <c r="G545" s="51"/>
      <c r="H545" s="51"/>
    </row>
    <row r="546" spans="6:8" ht="15.75" customHeight="1">
      <c r="F546" s="51"/>
      <c r="G546" s="51"/>
      <c r="H546" s="51"/>
    </row>
    <row r="547" spans="6:8" ht="15.75" customHeight="1">
      <c r="F547" s="51"/>
      <c r="G547" s="51"/>
      <c r="H547" s="51"/>
    </row>
    <row r="548" spans="6:8" ht="15.75" customHeight="1">
      <c r="F548" s="51"/>
      <c r="G548" s="51"/>
      <c r="H548" s="51"/>
    </row>
    <row r="549" spans="6:8" ht="15.75" customHeight="1">
      <c r="F549" s="51"/>
      <c r="G549" s="51"/>
      <c r="H549" s="51"/>
    </row>
    <row r="550" spans="6:8" ht="15.75" customHeight="1">
      <c r="F550" s="51"/>
      <c r="G550" s="51"/>
      <c r="H550" s="51"/>
    </row>
    <row r="551" spans="6:8" ht="15.75" customHeight="1">
      <c r="F551" s="51"/>
      <c r="G551" s="51"/>
      <c r="H551" s="51"/>
    </row>
    <row r="552" spans="6:8" ht="15.75" customHeight="1">
      <c r="F552" s="51"/>
      <c r="G552" s="51"/>
      <c r="H552" s="51"/>
    </row>
    <row r="553" spans="6:8" ht="15.75" customHeight="1">
      <c r="F553" s="51"/>
      <c r="G553" s="51"/>
      <c r="H553" s="51"/>
    </row>
    <row r="554" spans="6:8" ht="15.75" customHeight="1">
      <c r="F554" s="51"/>
      <c r="G554" s="51"/>
      <c r="H554" s="51"/>
    </row>
    <row r="555" spans="6:8" ht="15.75" customHeight="1">
      <c r="F555" s="51"/>
      <c r="G555" s="51"/>
      <c r="H555" s="51"/>
    </row>
    <row r="556" spans="6:8" ht="15.75" customHeight="1">
      <c r="F556" s="51"/>
      <c r="G556" s="51"/>
      <c r="H556" s="51"/>
    </row>
    <row r="557" spans="6:8" ht="15.75" customHeight="1">
      <c r="F557" s="51"/>
      <c r="G557" s="51"/>
      <c r="H557" s="51"/>
    </row>
    <row r="558" spans="6:8" ht="15.75" customHeight="1">
      <c r="F558" s="51"/>
      <c r="G558" s="51"/>
      <c r="H558" s="51"/>
    </row>
    <row r="559" spans="6:8" ht="15.75" customHeight="1">
      <c r="F559" s="51"/>
      <c r="G559" s="51"/>
      <c r="H559" s="51"/>
    </row>
    <row r="560" spans="6:8" ht="15.75" customHeight="1">
      <c r="F560" s="51"/>
      <c r="G560" s="51"/>
      <c r="H560" s="51"/>
    </row>
    <row r="561" spans="6:8" ht="15.75" customHeight="1">
      <c r="F561" s="51"/>
      <c r="G561" s="51"/>
      <c r="H561" s="51"/>
    </row>
    <row r="562" spans="6:8" ht="15.75" customHeight="1">
      <c r="F562" s="51"/>
      <c r="G562" s="51"/>
      <c r="H562" s="51"/>
    </row>
    <row r="563" spans="6:8" ht="15.75" customHeight="1">
      <c r="F563" s="51"/>
      <c r="G563" s="51"/>
      <c r="H563" s="51"/>
    </row>
    <row r="564" spans="6:8" ht="15.75" customHeight="1">
      <c r="F564" s="51"/>
      <c r="G564" s="51"/>
      <c r="H564" s="51"/>
    </row>
    <row r="565" spans="6:8" ht="15.75" customHeight="1">
      <c r="F565" s="51"/>
      <c r="G565" s="51"/>
      <c r="H565" s="51"/>
    </row>
    <row r="566" spans="6:8" ht="15.75" customHeight="1">
      <c r="F566" s="51"/>
      <c r="G566" s="51"/>
      <c r="H566" s="51"/>
    </row>
    <row r="567" spans="6:8" ht="15.75" customHeight="1">
      <c r="F567" s="51"/>
      <c r="G567" s="51"/>
      <c r="H567" s="51"/>
    </row>
    <row r="568" spans="6:8" ht="15.75" customHeight="1">
      <c r="F568" s="51"/>
      <c r="G568" s="51"/>
      <c r="H568" s="51"/>
    </row>
    <row r="569" spans="6:8" ht="15.75" customHeight="1">
      <c r="F569" s="51"/>
      <c r="G569" s="51"/>
      <c r="H569" s="51"/>
    </row>
    <row r="570" spans="6:8" ht="15.75" customHeight="1">
      <c r="F570" s="51"/>
      <c r="G570" s="51"/>
      <c r="H570" s="51"/>
    </row>
    <row r="571" spans="6:8" ht="15.75" customHeight="1">
      <c r="F571" s="51"/>
      <c r="G571" s="51"/>
      <c r="H571" s="51"/>
    </row>
    <row r="572" spans="6:8" ht="15.75" customHeight="1">
      <c r="F572" s="51"/>
      <c r="G572" s="51"/>
      <c r="H572" s="51"/>
    </row>
    <row r="573" spans="6:8" ht="15.75" customHeight="1">
      <c r="F573" s="51"/>
      <c r="G573" s="51"/>
      <c r="H573" s="51"/>
    </row>
    <row r="574" spans="6:8" ht="15.75" customHeight="1">
      <c r="F574" s="51"/>
      <c r="G574" s="51"/>
      <c r="H574" s="51"/>
    </row>
    <row r="575" spans="6:8" ht="15.75" customHeight="1">
      <c r="F575" s="51"/>
      <c r="G575" s="51"/>
      <c r="H575" s="51"/>
    </row>
    <row r="576" spans="6:8" ht="15.75" customHeight="1">
      <c r="F576" s="51"/>
      <c r="G576" s="51"/>
      <c r="H576" s="51"/>
    </row>
    <row r="577" spans="6:8" ht="15.75" customHeight="1">
      <c r="F577" s="51"/>
      <c r="G577" s="51"/>
      <c r="H577" s="51"/>
    </row>
    <row r="578" spans="6:8" ht="15.75" customHeight="1">
      <c r="F578" s="51"/>
      <c r="G578" s="51"/>
      <c r="H578" s="51"/>
    </row>
    <row r="579" spans="6:8" ht="15.75" customHeight="1">
      <c r="F579" s="51"/>
      <c r="G579" s="51"/>
      <c r="H579" s="51"/>
    </row>
    <row r="580" spans="6:8" ht="15.75" customHeight="1">
      <c r="F580" s="51"/>
      <c r="G580" s="51"/>
      <c r="H580" s="51"/>
    </row>
    <row r="581" spans="6:8" ht="15.75" customHeight="1">
      <c r="F581" s="51"/>
      <c r="G581" s="51"/>
      <c r="H581" s="51"/>
    </row>
    <row r="582" spans="6:8" ht="15.75" customHeight="1">
      <c r="F582" s="51"/>
      <c r="G582" s="51"/>
      <c r="H582" s="51"/>
    </row>
    <row r="583" spans="6:8" ht="15.75" customHeight="1">
      <c r="F583" s="51"/>
      <c r="G583" s="51"/>
      <c r="H583" s="51"/>
    </row>
    <row r="584" spans="6:8" ht="15.75" customHeight="1">
      <c r="F584" s="51"/>
      <c r="G584" s="51"/>
      <c r="H584" s="51"/>
    </row>
    <row r="585" spans="6:8" ht="15.75" customHeight="1">
      <c r="F585" s="51"/>
      <c r="G585" s="51"/>
      <c r="H585" s="51"/>
    </row>
    <row r="586" spans="6:8" ht="15.75" customHeight="1">
      <c r="F586" s="51"/>
      <c r="G586" s="51"/>
      <c r="H586" s="51"/>
    </row>
    <row r="587" spans="6:8" ht="15.75" customHeight="1">
      <c r="F587" s="51"/>
      <c r="G587" s="51"/>
      <c r="H587" s="51"/>
    </row>
    <row r="588" spans="6:8" ht="15.75" customHeight="1">
      <c r="F588" s="51"/>
      <c r="G588" s="51"/>
      <c r="H588" s="51"/>
    </row>
    <row r="589" spans="6:8" ht="15.75" customHeight="1">
      <c r="F589" s="51"/>
      <c r="G589" s="51"/>
      <c r="H589" s="51"/>
    </row>
    <row r="590" spans="6:8" ht="15.75" customHeight="1">
      <c r="F590" s="51"/>
      <c r="G590" s="51"/>
      <c r="H590" s="51"/>
    </row>
    <row r="591" spans="6:8" ht="15.75" customHeight="1">
      <c r="F591" s="51"/>
      <c r="G591" s="51"/>
      <c r="H591" s="51"/>
    </row>
    <row r="592" spans="6:8" ht="15.75" customHeight="1">
      <c r="F592" s="51"/>
      <c r="G592" s="51"/>
      <c r="H592" s="51"/>
    </row>
    <row r="593" spans="6:8" ht="15.75" customHeight="1">
      <c r="F593" s="51"/>
      <c r="G593" s="51"/>
      <c r="H593" s="51"/>
    </row>
    <row r="594" spans="6:8" ht="15.75" customHeight="1">
      <c r="F594" s="51"/>
      <c r="G594" s="51"/>
      <c r="H594" s="51"/>
    </row>
    <row r="595" spans="6:8" ht="15.75" customHeight="1">
      <c r="F595" s="51"/>
      <c r="G595" s="51"/>
      <c r="H595" s="51"/>
    </row>
    <row r="596" spans="6:8" ht="15.75" customHeight="1">
      <c r="F596" s="51"/>
      <c r="G596" s="51"/>
      <c r="H596" s="51"/>
    </row>
    <row r="597" spans="6:8" ht="15.75" customHeight="1">
      <c r="F597" s="51"/>
      <c r="G597" s="51"/>
      <c r="H597" s="51"/>
    </row>
    <row r="598" spans="6:8" ht="15.75" customHeight="1">
      <c r="F598" s="51"/>
      <c r="G598" s="51"/>
      <c r="H598" s="51"/>
    </row>
    <row r="599" spans="6:8" ht="15.75" customHeight="1">
      <c r="F599" s="51"/>
      <c r="G599" s="51"/>
      <c r="H599" s="51"/>
    </row>
    <row r="600" spans="6:8" ht="15.75" customHeight="1">
      <c r="F600" s="51"/>
      <c r="G600" s="51"/>
      <c r="H600" s="51"/>
    </row>
    <row r="601" spans="6:8" ht="15.75" customHeight="1">
      <c r="F601" s="51"/>
      <c r="G601" s="51"/>
      <c r="H601" s="51"/>
    </row>
    <row r="602" spans="6:8" ht="15.75" customHeight="1">
      <c r="F602" s="51"/>
      <c r="G602" s="51"/>
      <c r="H602" s="51"/>
    </row>
    <row r="603" spans="6:8" ht="15.75" customHeight="1">
      <c r="F603" s="51"/>
      <c r="G603" s="51"/>
      <c r="H603" s="51"/>
    </row>
    <row r="604" spans="6:8" ht="15.75" customHeight="1">
      <c r="F604" s="51"/>
      <c r="G604" s="51"/>
      <c r="H604" s="51"/>
    </row>
    <row r="605" spans="6:8" ht="15.75" customHeight="1">
      <c r="F605" s="51"/>
      <c r="G605" s="51"/>
      <c r="H605" s="51"/>
    </row>
    <row r="606" spans="6:8" ht="15.75" customHeight="1">
      <c r="F606" s="51"/>
      <c r="G606" s="51"/>
      <c r="H606" s="51"/>
    </row>
    <row r="607" spans="6:8" ht="15.75" customHeight="1">
      <c r="F607" s="51"/>
      <c r="G607" s="51"/>
      <c r="H607" s="51"/>
    </row>
    <row r="608" spans="6:8" ht="15.75" customHeight="1">
      <c r="F608" s="51"/>
      <c r="G608" s="51"/>
      <c r="H608" s="51"/>
    </row>
    <row r="609" spans="6:8" ht="15.75" customHeight="1">
      <c r="F609" s="51"/>
      <c r="G609" s="51"/>
      <c r="H609" s="51"/>
    </row>
    <row r="610" spans="6:8" ht="15.75" customHeight="1">
      <c r="F610" s="51"/>
      <c r="G610" s="51"/>
      <c r="H610" s="51"/>
    </row>
    <row r="611" spans="6:8" ht="15.75" customHeight="1">
      <c r="F611" s="51"/>
      <c r="G611" s="51"/>
      <c r="H611" s="51"/>
    </row>
    <row r="612" spans="6:8" ht="15.75" customHeight="1">
      <c r="F612" s="51"/>
      <c r="G612" s="51"/>
      <c r="H612" s="51"/>
    </row>
    <row r="613" spans="6:8" ht="15.75" customHeight="1">
      <c r="F613" s="51"/>
      <c r="G613" s="51"/>
      <c r="H613" s="51"/>
    </row>
    <row r="614" spans="6:8" ht="15.75" customHeight="1">
      <c r="F614" s="51"/>
      <c r="G614" s="51"/>
      <c r="H614" s="51"/>
    </row>
    <row r="615" spans="6:8" ht="15.75" customHeight="1">
      <c r="F615" s="51"/>
      <c r="G615" s="51"/>
      <c r="H615" s="51"/>
    </row>
    <row r="616" spans="6:8" ht="15.75" customHeight="1">
      <c r="F616" s="51"/>
      <c r="G616" s="51"/>
      <c r="H616" s="51"/>
    </row>
    <row r="617" spans="6:8" ht="15.75" customHeight="1">
      <c r="F617" s="51"/>
      <c r="G617" s="51"/>
      <c r="H617" s="51"/>
    </row>
    <row r="618" spans="6:8" ht="15.75" customHeight="1">
      <c r="F618" s="51"/>
      <c r="G618" s="51"/>
      <c r="H618" s="51"/>
    </row>
    <row r="619" spans="6:8" ht="15.75" customHeight="1">
      <c r="F619" s="51"/>
      <c r="G619" s="51"/>
      <c r="H619" s="51"/>
    </row>
    <row r="620" spans="6:8" ht="15.75" customHeight="1">
      <c r="F620" s="51"/>
      <c r="G620" s="51"/>
      <c r="H620" s="51"/>
    </row>
    <row r="621" spans="6:8" ht="15.75" customHeight="1">
      <c r="F621" s="51"/>
      <c r="G621" s="51"/>
      <c r="H621" s="51"/>
    </row>
    <row r="622" spans="6:8" ht="15.75" customHeight="1">
      <c r="F622" s="51"/>
      <c r="G622" s="51"/>
      <c r="H622" s="51"/>
    </row>
    <row r="623" spans="6:8" ht="15.75" customHeight="1">
      <c r="F623" s="51"/>
      <c r="G623" s="51"/>
      <c r="H623" s="51"/>
    </row>
    <row r="624" spans="6:8" ht="15.75" customHeight="1">
      <c r="F624" s="51"/>
      <c r="G624" s="51"/>
      <c r="H624" s="51"/>
    </row>
    <row r="625" spans="6:8" ht="15.75" customHeight="1">
      <c r="F625" s="51"/>
      <c r="G625" s="51"/>
      <c r="H625" s="51"/>
    </row>
    <row r="626" spans="6:8" ht="15.75" customHeight="1">
      <c r="F626" s="51"/>
      <c r="G626" s="51"/>
      <c r="H626" s="51"/>
    </row>
    <row r="627" spans="6:8" ht="15.75" customHeight="1">
      <c r="F627" s="51"/>
      <c r="G627" s="51"/>
      <c r="H627" s="51"/>
    </row>
    <row r="628" spans="6:8" ht="15.75" customHeight="1">
      <c r="F628" s="51"/>
      <c r="G628" s="51"/>
      <c r="H628" s="51"/>
    </row>
    <row r="629" spans="6:8" ht="15.75" customHeight="1">
      <c r="F629" s="51"/>
      <c r="G629" s="51"/>
      <c r="H629" s="51"/>
    </row>
    <row r="630" spans="6:8" ht="15.75" customHeight="1">
      <c r="F630" s="51"/>
      <c r="G630" s="51"/>
      <c r="H630" s="51"/>
    </row>
    <row r="631" spans="6:8" ht="15.75" customHeight="1">
      <c r="F631" s="51"/>
      <c r="G631" s="51"/>
      <c r="H631" s="51"/>
    </row>
    <row r="632" spans="6:8" ht="15.75" customHeight="1">
      <c r="F632" s="51"/>
      <c r="G632" s="51"/>
      <c r="H632" s="51"/>
    </row>
    <row r="633" spans="6:8" ht="15.75" customHeight="1">
      <c r="F633" s="51"/>
      <c r="G633" s="51"/>
      <c r="H633" s="51"/>
    </row>
    <row r="634" spans="6:8" ht="15.75" customHeight="1">
      <c r="F634" s="51"/>
      <c r="G634" s="51"/>
      <c r="H634" s="51"/>
    </row>
    <row r="635" spans="6:8" ht="15.75" customHeight="1">
      <c r="F635" s="51"/>
      <c r="G635" s="51"/>
      <c r="H635" s="51"/>
    </row>
    <row r="636" spans="6:8" ht="15.75" customHeight="1">
      <c r="F636" s="51"/>
      <c r="G636" s="51"/>
      <c r="H636" s="51"/>
    </row>
    <row r="637" spans="6:8" ht="15.75" customHeight="1">
      <c r="F637" s="51"/>
      <c r="G637" s="51"/>
      <c r="H637" s="51"/>
    </row>
    <row r="638" spans="6:8" ht="15.75" customHeight="1">
      <c r="F638" s="51"/>
      <c r="G638" s="51"/>
      <c r="H638" s="51"/>
    </row>
    <row r="639" spans="6:8" ht="15.75" customHeight="1">
      <c r="F639" s="51"/>
      <c r="G639" s="51"/>
      <c r="H639" s="51"/>
    </row>
    <row r="640" spans="6:8" ht="15.75" customHeight="1">
      <c r="F640" s="51"/>
      <c r="G640" s="51"/>
      <c r="H640" s="51"/>
    </row>
    <row r="641" spans="6:8" ht="15.75" customHeight="1">
      <c r="F641" s="51"/>
      <c r="G641" s="51"/>
      <c r="H641" s="51"/>
    </row>
    <row r="642" spans="6:8" ht="15.75" customHeight="1">
      <c r="F642" s="51"/>
      <c r="G642" s="51"/>
      <c r="H642" s="51"/>
    </row>
    <row r="643" spans="6:8" ht="15.75" customHeight="1">
      <c r="F643" s="51"/>
      <c r="G643" s="51"/>
      <c r="H643" s="51"/>
    </row>
    <row r="644" spans="6:8" ht="15.75" customHeight="1">
      <c r="F644" s="51"/>
      <c r="G644" s="51"/>
      <c r="H644" s="51"/>
    </row>
    <row r="645" spans="6:8" ht="15.75" customHeight="1">
      <c r="F645" s="51"/>
      <c r="G645" s="51"/>
      <c r="H645" s="51"/>
    </row>
    <row r="646" spans="6:8" ht="15.75" customHeight="1">
      <c r="F646" s="51"/>
      <c r="G646" s="51"/>
      <c r="H646" s="51"/>
    </row>
    <row r="647" spans="6:8" ht="15.75" customHeight="1">
      <c r="F647" s="51"/>
      <c r="G647" s="51"/>
      <c r="H647" s="51"/>
    </row>
    <row r="648" spans="6:8" ht="15.75" customHeight="1">
      <c r="F648" s="51"/>
      <c r="G648" s="51"/>
      <c r="H648" s="51"/>
    </row>
    <row r="649" spans="6:8" ht="15.75" customHeight="1">
      <c r="F649" s="51"/>
      <c r="G649" s="51"/>
      <c r="H649" s="51"/>
    </row>
    <row r="650" spans="6:8" ht="15.75" customHeight="1">
      <c r="F650" s="51"/>
      <c r="G650" s="51"/>
      <c r="H650" s="51"/>
    </row>
    <row r="651" spans="6:8" ht="15.75" customHeight="1">
      <c r="F651" s="51"/>
      <c r="G651" s="51"/>
      <c r="H651" s="51"/>
    </row>
    <row r="652" spans="6:8" ht="15.75" customHeight="1">
      <c r="F652" s="51"/>
      <c r="G652" s="51"/>
      <c r="H652" s="51"/>
    </row>
    <row r="653" spans="6:8" ht="15.75" customHeight="1">
      <c r="F653" s="51"/>
      <c r="G653" s="51"/>
      <c r="H653" s="51"/>
    </row>
    <row r="654" spans="6:8" ht="15.75" customHeight="1">
      <c r="F654" s="51"/>
      <c r="G654" s="51"/>
      <c r="H654" s="51"/>
    </row>
    <row r="655" spans="6:8" ht="15.75" customHeight="1">
      <c r="F655" s="51"/>
      <c r="G655" s="51"/>
      <c r="H655" s="51"/>
    </row>
    <row r="656" spans="6:8" ht="15.75" customHeight="1">
      <c r="F656" s="51"/>
      <c r="G656" s="51"/>
      <c r="H656" s="51"/>
    </row>
    <row r="657" spans="6:8" ht="15.75" customHeight="1">
      <c r="F657" s="51"/>
      <c r="G657" s="51"/>
      <c r="H657" s="51"/>
    </row>
    <row r="658" spans="6:8" ht="15.75" customHeight="1">
      <c r="F658" s="51"/>
      <c r="G658" s="51"/>
      <c r="H658" s="51"/>
    </row>
    <row r="659" spans="6:8" ht="15.75" customHeight="1">
      <c r="F659" s="51"/>
      <c r="G659" s="51"/>
      <c r="H659" s="51"/>
    </row>
    <row r="660" spans="6:8" ht="15.75" customHeight="1">
      <c r="F660" s="51"/>
      <c r="G660" s="51"/>
      <c r="H660" s="51"/>
    </row>
    <row r="661" spans="6:8" ht="15.75" customHeight="1">
      <c r="F661" s="51"/>
      <c r="G661" s="51"/>
      <c r="H661" s="51"/>
    </row>
    <row r="662" spans="6:8" ht="15.75" customHeight="1">
      <c r="F662" s="51"/>
      <c r="G662" s="51"/>
      <c r="H662" s="51"/>
    </row>
    <row r="663" spans="6:8" ht="15.75" customHeight="1">
      <c r="F663" s="51"/>
      <c r="G663" s="51"/>
      <c r="H663" s="51"/>
    </row>
    <row r="664" spans="6:8" ht="15.75" customHeight="1">
      <c r="F664" s="51"/>
      <c r="G664" s="51"/>
      <c r="H664" s="51"/>
    </row>
    <row r="665" spans="6:8" ht="15.75" customHeight="1">
      <c r="F665" s="51"/>
      <c r="G665" s="51"/>
      <c r="H665" s="51"/>
    </row>
    <row r="666" spans="6:8" ht="15.75" customHeight="1">
      <c r="F666" s="51"/>
      <c r="G666" s="51"/>
      <c r="H666" s="51"/>
    </row>
    <row r="667" spans="6:8" ht="15.75" customHeight="1">
      <c r="F667" s="51"/>
      <c r="G667" s="51"/>
      <c r="H667" s="51"/>
    </row>
    <row r="668" spans="6:8" ht="15.75" customHeight="1">
      <c r="F668" s="51"/>
      <c r="G668" s="51"/>
      <c r="H668" s="51"/>
    </row>
    <row r="669" spans="6:8" ht="15.75" customHeight="1">
      <c r="F669" s="51"/>
      <c r="G669" s="51"/>
      <c r="H669" s="51"/>
    </row>
    <row r="670" spans="6:8" ht="15.75" customHeight="1">
      <c r="F670" s="51"/>
      <c r="G670" s="51"/>
      <c r="H670" s="51"/>
    </row>
    <row r="671" spans="6:8" ht="15.75" customHeight="1">
      <c r="F671" s="51"/>
      <c r="G671" s="51"/>
      <c r="H671" s="51"/>
    </row>
    <row r="672" spans="6:8" ht="15.75" customHeight="1">
      <c r="F672" s="51"/>
      <c r="G672" s="51"/>
      <c r="H672" s="51"/>
    </row>
    <row r="673" spans="6:8" ht="15.75" customHeight="1">
      <c r="F673" s="51"/>
      <c r="G673" s="51"/>
      <c r="H673" s="51"/>
    </row>
    <row r="674" spans="6:8" ht="15.75" customHeight="1">
      <c r="F674" s="51"/>
      <c r="G674" s="51"/>
      <c r="H674" s="51"/>
    </row>
    <row r="675" spans="6:8" ht="15.75" customHeight="1">
      <c r="F675" s="51"/>
      <c r="G675" s="51"/>
      <c r="H675" s="51"/>
    </row>
    <row r="676" spans="6:8" ht="15.75" customHeight="1">
      <c r="F676" s="51"/>
      <c r="G676" s="51"/>
      <c r="H676" s="51"/>
    </row>
    <row r="677" spans="6:8" ht="15.75" customHeight="1">
      <c r="F677" s="51"/>
      <c r="G677" s="51"/>
      <c r="H677" s="51"/>
    </row>
    <row r="678" spans="6:8" ht="15.75" customHeight="1">
      <c r="F678" s="51"/>
      <c r="G678" s="51"/>
      <c r="H678" s="51"/>
    </row>
    <row r="679" spans="6:8" ht="15.75" customHeight="1">
      <c r="F679" s="51"/>
      <c r="G679" s="51"/>
      <c r="H679" s="51"/>
    </row>
    <row r="680" spans="6:8" ht="15.75" customHeight="1">
      <c r="F680" s="51"/>
      <c r="G680" s="51"/>
      <c r="H680" s="51"/>
    </row>
    <row r="681" spans="6:8" ht="15.75" customHeight="1">
      <c r="F681" s="51"/>
      <c r="G681" s="51"/>
      <c r="H681" s="51"/>
    </row>
    <row r="682" spans="6:8" ht="15.75" customHeight="1">
      <c r="F682" s="51"/>
      <c r="G682" s="51"/>
      <c r="H682" s="51"/>
    </row>
    <row r="683" spans="6:8" ht="15.75" customHeight="1">
      <c r="F683" s="51"/>
      <c r="G683" s="51"/>
      <c r="H683" s="51"/>
    </row>
    <row r="684" spans="6:8" ht="15.75" customHeight="1">
      <c r="F684" s="51"/>
      <c r="G684" s="51"/>
      <c r="H684" s="51"/>
    </row>
    <row r="685" spans="6:8" ht="15.75" customHeight="1">
      <c r="F685" s="51"/>
      <c r="G685" s="51"/>
      <c r="H685" s="51"/>
    </row>
    <row r="686" spans="6:8" ht="15.75" customHeight="1">
      <c r="F686" s="51"/>
      <c r="G686" s="51"/>
      <c r="H686" s="51"/>
    </row>
    <row r="687" spans="6:8" ht="15.75" customHeight="1">
      <c r="F687" s="51"/>
      <c r="G687" s="51"/>
      <c r="H687" s="51"/>
    </row>
    <row r="688" spans="6:8" ht="15.75" customHeight="1">
      <c r="F688" s="51"/>
      <c r="G688" s="51"/>
      <c r="H688" s="51"/>
    </row>
    <row r="689" spans="6:8" ht="15.75" customHeight="1">
      <c r="F689" s="51"/>
      <c r="G689" s="51"/>
      <c r="H689" s="51"/>
    </row>
    <row r="690" spans="6:8" ht="15.75" customHeight="1">
      <c r="F690" s="51"/>
      <c r="G690" s="51"/>
      <c r="H690" s="51"/>
    </row>
    <row r="691" spans="6:8" ht="15.75" customHeight="1">
      <c r="F691" s="51"/>
      <c r="G691" s="51"/>
      <c r="H691" s="51"/>
    </row>
    <row r="692" spans="6:8" ht="15.75" customHeight="1">
      <c r="F692" s="51"/>
      <c r="G692" s="51"/>
      <c r="H692" s="51"/>
    </row>
    <row r="693" spans="6:8" ht="15.75" customHeight="1">
      <c r="F693" s="51"/>
      <c r="G693" s="51"/>
      <c r="H693" s="51"/>
    </row>
    <row r="694" spans="6:8" ht="15.75" customHeight="1">
      <c r="F694" s="51"/>
      <c r="G694" s="51"/>
      <c r="H694" s="51"/>
    </row>
    <row r="695" spans="6:8" ht="15.75" customHeight="1">
      <c r="F695" s="51"/>
      <c r="G695" s="51"/>
      <c r="H695" s="51"/>
    </row>
    <row r="696" spans="6:8" ht="15.75" customHeight="1">
      <c r="F696" s="51"/>
      <c r="G696" s="51"/>
      <c r="H696" s="51"/>
    </row>
    <row r="697" spans="6:8" ht="15.75" customHeight="1">
      <c r="F697" s="51"/>
      <c r="G697" s="51"/>
      <c r="H697" s="51"/>
    </row>
    <row r="698" spans="6:8" ht="15.75" customHeight="1">
      <c r="F698" s="51"/>
      <c r="G698" s="51"/>
      <c r="H698" s="51"/>
    </row>
    <row r="699" spans="6:8" ht="15.75" customHeight="1">
      <c r="F699" s="51"/>
      <c r="G699" s="51"/>
      <c r="H699" s="51"/>
    </row>
    <row r="700" spans="6:8" ht="15.75" customHeight="1">
      <c r="F700" s="51"/>
      <c r="G700" s="51"/>
      <c r="H700" s="51"/>
    </row>
    <row r="701" spans="6:8" ht="15.75" customHeight="1">
      <c r="F701" s="51"/>
      <c r="G701" s="51"/>
      <c r="H701" s="51"/>
    </row>
    <row r="702" spans="6:8" ht="15.75" customHeight="1">
      <c r="F702" s="51"/>
      <c r="G702" s="51"/>
      <c r="H702" s="51"/>
    </row>
    <row r="703" spans="6:8" ht="15.75" customHeight="1">
      <c r="F703" s="51"/>
      <c r="G703" s="51"/>
      <c r="H703" s="51"/>
    </row>
    <row r="704" spans="6:8" ht="15.75" customHeight="1">
      <c r="F704" s="51"/>
      <c r="G704" s="51"/>
      <c r="H704" s="51"/>
    </row>
    <row r="705" spans="6:8" ht="15.75" customHeight="1">
      <c r="F705" s="51"/>
      <c r="G705" s="51"/>
      <c r="H705" s="51"/>
    </row>
    <row r="706" spans="6:8" ht="15.75" customHeight="1">
      <c r="F706" s="51"/>
      <c r="G706" s="51"/>
      <c r="H706" s="51"/>
    </row>
    <row r="707" spans="6:8" ht="15.75" customHeight="1">
      <c r="F707" s="51"/>
      <c r="G707" s="51"/>
      <c r="H707" s="51"/>
    </row>
    <row r="708" spans="6:8" ht="15.75" customHeight="1">
      <c r="F708" s="51"/>
      <c r="G708" s="51"/>
      <c r="H708" s="51"/>
    </row>
    <row r="709" spans="6:8" ht="15.75" customHeight="1">
      <c r="F709" s="51"/>
      <c r="G709" s="51"/>
      <c r="H709" s="51"/>
    </row>
    <row r="710" spans="6:8" ht="15.75" customHeight="1">
      <c r="F710" s="51"/>
      <c r="G710" s="51"/>
      <c r="H710" s="51"/>
    </row>
    <row r="711" spans="6:8" ht="15.75" customHeight="1">
      <c r="F711" s="51"/>
      <c r="G711" s="51"/>
      <c r="H711" s="51"/>
    </row>
    <row r="712" spans="6:8" ht="15.75" customHeight="1">
      <c r="F712" s="51"/>
      <c r="G712" s="51"/>
      <c r="H712" s="51"/>
    </row>
    <row r="713" spans="6:8" ht="15.75" customHeight="1">
      <c r="F713" s="51"/>
      <c r="G713" s="51"/>
      <c r="H713" s="51"/>
    </row>
    <row r="714" spans="6:8" ht="15.75" customHeight="1">
      <c r="F714" s="51"/>
      <c r="G714" s="51"/>
      <c r="H714" s="51"/>
    </row>
    <row r="715" spans="6:8" ht="15.75" customHeight="1">
      <c r="F715" s="51"/>
      <c r="G715" s="51"/>
      <c r="H715" s="51"/>
    </row>
    <row r="716" spans="6:8" ht="15.75" customHeight="1">
      <c r="F716" s="51"/>
      <c r="G716" s="51"/>
      <c r="H716" s="51"/>
    </row>
    <row r="717" spans="6:8" ht="15.75" customHeight="1">
      <c r="F717" s="51"/>
      <c r="G717" s="51"/>
      <c r="H717" s="51"/>
    </row>
    <row r="718" spans="6:8" ht="15.75" customHeight="1">
      <c r="F718" s="51"/>
      <c r="G718" s="51"/>
      <c r="H718" s="51"/>
    </row>
    <row r="719" spans="6:8" ht="15.75" customHeight="1">
      <c r="F719" s="51"/>
      <c r="G719" s="51"/>
      <c r="H719" s="51"/>
    </row>
    <row r="720" spans="6:8" ht="15.75" customHeight="1">
      <c r="F720" s="51"/>
      <c r="G720" s="51"/>
      <c r="H720" s="51"/>
    </row>
    <row r="721" spans="6:8" ht="15.75" customHeight="1">
      <c r="F721" s="51"/>
      <c r="G721" s="51"/>
      <c r="H721" s="51"/>
    </row>
    <row r="722" spans="6:8" ht="15.75" customHeight="1">
      <c r="F722" s="51"/>
      <c r="G722" s="51"/>
      <c r="H722" s="51"/>
    </row>
    <row r="723" spans="6:8" ht="15.75" customHeight="1">
      <c r="F723" s="51"/>
      <c r="G723" s="51"/>
      <c r="H723" s="51"/>
    </row>
    <row r="724" spans="6:8" ht="15.75" customHeight="1">
      <c r="F724" s="51"/>
      <c r="G724" s="51"/>
      <c r="H724" s="51"/>
    </row>
    <row r="725" spans="6:8" ht="15.75" customHeight="1">
      <c r="F725" s="51"/>
      <c r="G725" s="51"/>
      <c r="H725" s="51"/>
    </row>
    <row r="726" spans="6:8" ht="15.75" customHeight="1">
      <c r="F726" s="51"/>
      <c r="G726" s="51"/>
      <c r="H726" s="51"/>
    </row>
    <row r="727" spans="6:8" ht="15.75" customHeight="1">
      <c r="F727" s="51"/>
      <c r="G727" s="51"/>
      <c r="H727" s="51"/>
    </row>
    <row r="728" spans="6:8" ht="15.75" customHeight="1">
      <c r="F728" s="51"/>
      <c r="G728" s="51"/>
      <c r="H728" s="51"/>
    </row>
    <row r="729" spans="6:8" ht="15.75" customHeight="1">
      <c r="F729" s="51"/>
      <c r="G729" s="51"/>
      <c r="H729" s="51"/>
    </row>
    <row r="730" spans="6:8" ht="15.75" customHeight="1">
      <c r="F730" s="51"/>
      <c r="G730" s="51"/>
      <c r="H730" s="51"/>
    </row>
    <row r="731" spans="6:8" ht="15.75" customHeight="1">
      <c r="F731" s="51"/>
      <c r="G731" s="51"/>
      <c r="H731" s="51"/>
    </row>
    <row r="732" spans="6:8" ht="15.75" customHeight="1">
      <c r="F732" s="51"/>
      <c r="G732" s="51"/>
      <c r="H732" s="51"/>
    </row>
    <row r="733" spans="6:8" ht="15.75" customHeight="1">
      <c r="F733" s="51"/>
      <c r="G733" s="51"/>
      <c r="H733" s="51"/>
    </row>
    <row r="734" spans="6:8" ht="15.75" customHeight="1">
      <c r="F734" s="51"/>
      <c r="G734" s="51"/>
      <c r="H734" s="51"/>
    </row>
    <row r="735" spans="6:8" ht="15.75" customHeight="1">
      <c r="F735" s="51"/>
      <c r="G735" s="51"/>
      <c r="H735" s="51"/>
    </row>
    <row r="736" spans="6:8" ht="15.75" customHeight="1">
      <c r="F736" s="51"/>
      <c r="G736" s="51"/>
      <c r="H736" s="51"/>
    </row>
    <row r="737" spans="6:8" ht="15.75" customHeight="1">
      <c r="F737" s="51"/>
      <c r="G737" s="51"/>
      <c r="H737" s="51"/>
    </row>
    <row r="738" spans="6:8" ht="15.75" customHeight="1">
      <c r="F738" s="51"/>
      <c r="G738" s="51"/>
      <c r="H738" s="51"/>
    </row>
    <row r="739" spans="6:8" ht="15.75" customHeight="1">
      <c r="F739" s="51"/>
      <c r="G739" s="51"/>
      <c r="H739" s="51"/>
    </row>
    <row r="740" spans="6:8" ht="15.75" customHeight="1">
      <c r="F740" s="51"/>
      <c r="G740" s="51"/>
      <c r="H740" s="51"/>
    </row>
    <row r="741" spans="6:8" ht="15.75" customHeight="1">
      <c r="F741" s="51"/>
      <c r="G741" s="51"/>
      <c r="H741" s="51"/>
    </row>
    <row r="742" spans="6:8" ht="15.75" customHeight="1">
      <c r="F742" s="51"/>
      <c r="G742" s="51"/>
      <c r="H742" s="51"/>
    </row>
    <row r="743" spans="6:8" ht="15.75" customHeight="1">
      <c r="F743" s="51"/>
      <c r="G743" s="51"/>
      <c r="H743" s="51"/>
    </row>
    <row r="744" spans="6:8" ht="15.75" customHeight="1">
      <c r="F744" s="51"/>
      <c r="G744" s="51"/>
      <c r="H744" s="51"/>
    </row>
    <row r="745" spans="6:8" ht="15.75" customHeight="1">
      <c r="F745" s="51"/>
      <c r="G745" s="51"/>
      <c r="H745" s="51"/>
    </row>
    <row r="746" spans="6:8" ht="15.75" customHeight="1">
      <c r="F746" s="51"/>
      <c r="G746" s="51"/>
      <c r="H746" s="51"/>
    </row>
    <row r="747" spans="6:8" ht="15.75" customHeight="1">
      <c r="F747" s="51"/>
      <c r="G747" s="51"/>
      <c r="H747" s="51"/>
    </row>
    <row r="748" spans="6:8" ht="15.75" customHeight="1">
      <c r="F748" s="51"/>
      <c r="G748" s="51"/>
      <c r="H748" s="51"/>
    </row>
    <row r="749" spans="6:8" ht="15.75" customHeight="1">
      <c r="F749" s="51"/>
      <c r="G749" s="51"/>
      <c r="H749" s="51"/>
    </row>
    <row r="750" spans="6:8" ht="15.75" customHeight="1">
      <c r="F750" s="51"/>
      <c r="G750" s="51"/>
      <c r="H750" s="51"/>
    </row>
    <row r="751" spans="6:8" ht="15.75" customHeight="1">
      <c r="F751" s="51"/>
      <c r="G751" s="51"/>
      <c r="H751" s="51"/>
    </row>
    <row r="752" spans="6:8" ht="15.75" customHeight="1">
      <c r="F752" s="51"/>
      <c r="G752" s="51"/>
      <c r="H752" s="51"/>
    </row>
    <row r="753" spans="6:8" ht="15.75" customHeight="1">
      <c r="F753" s="51"/>
      <c r="G753" s="51"/>
      <c r="H753" s="51"/>
    </row>
    <row r="754" spans="6:8" ht="15.75" customHeight="1">
      <c r="F754" s="51"/>
      <c r="G754" s="51"/>
      <c r="H754" s="51"/>
    </row>
    <row r="755" spans="6:8" ht="15.75" customHeight="1">
      <c r="F755" s="51"/>
      <c r="G755" s="51"/>
      <c r="H755" s="51"/>
    </row>
    <row r="756" spans="6:8" ht="15.75" customHeight="1">
      <c r="F756" s="51"/>
      <c r="G756" s="51"/>
      <c r="H756" s="51"/>
    </row>
    <row r="757" spans="6:8" ht="15.75" customHeight="1">
      <c r="F757" s="51"/>
      <c r="G757" s="51"/>
      <c r="H757" s="51"/>
    </row>
    <row r="758" spans="6:8" ht="15.75" customHeight="1">
      <c r="F758" s="51"/>
      <c r="G758" s="51"/>
      <c r="H758" s="51"/>
    </row>
    <row r="759" spans="6:8" ht="15.75" customHeight="1">
      <c r="F759" s="51"/>
      <c r="G759" s="51"/>
      <c r="H759" s="51"/>
    </row>
    <row r="760" spans="6:8" ht="15.75" customHeight="1">
      <c r="F760" s="51"/>
      <c r="G760" s="51"/>
      <c r="H760" s="51"/>
    </row>
    <row r="761" spans="6:8" ht="15.75" customHeight="1">
      <c r="F761" s="51"/>
      <c r="G761" s="51"/>
      <c r="H761" s="51"/>
    </row>
    <row r="762" spans="6:8" ht="15.75" customHeight="1">
      <c r="F762" s="51"/>
      <c r="G762" s="51"/>
      <c r="H762" s="51"/>
    </row>
    <row r="763" spans="6:8" ht="15.75" customHeight="1">
      <c r="F763" s="51"/>
      <c r="G763" s="51"/>
      <c r="H763" s="51"/>
    </row>
    <row r="764" spans="6:8" ht="15.75" customHeight="1">
      <c r="F764" s="51"/>
      <c r="G764" s="51"/>
      <c r="H764" s="51"/>
    </row>
    <row r="765" spans="6:8" ht="15.75" customHeight="1">
      <c r="F765" s="51"/>
      <c r="G765" s="51"/>
      <c r="H765" s="51"/>
    </row>
    <row r="766" spans="6:8" ht="15.75" customHeight="1">
      <c r="F766" s="51"/>
      <c r="G766" s="51"/>
      <c r="H766" s="51"/>
    </row>
    <row r="767" spans="6:8" ht="15.75" customHeight="1">
      <c r="F767" s="51"/>
      <c r="G767" s="51"/>
      <c r="H767" s="51"/>
    </row>
    <row r="768" spans="6:8" ht="15.75" customHeight="1">
      <c r="F768" s="51"/>
      <c r="G768" s="51"/>
      <c r="H768" s="51"/>
    </row>
    <row r="769" spans="6:8" ht="15.75" customHeight="1">
      <c r="F769" s="51"/>
      <c r="G769" s="51"/>
      <c r="H769" s="51"/>
    </row>
    <row r="770" spans="6:8" ht="15.75" customHeight="1">
      <c r="F770" s="51"/>
      <c r="G770" s="51"/>
      <c r="H770" s="51"/>
    </row>
    <row r="771" spans="6:8" ht="15.75" customHeight="1">
      <c r="F771" s="51"/>
      <c r="G771" s="51"/>
      <c r="H771" s="51"/>
    </row>
    <row r="772" spans="6:8" ht="15.75" customHeight="1">
      <c r="F772" s="51"/>
      <c r="G772" s="51"/>
      <c r="H772" s="51"/>
    </row>
    <row r="773" spans="6:8" ht="15.75" customHeight="1">
      <c r="F773" s="51"/>
      <c r="G773" s="51"/>
      <c r="H773" s="51"/>
    </row>
    <row r="774" spans="6:8" ht="15.75" customHeight="1">
      <c r="F774" s="51"/>
      <c r="G774" s="51"/>
      <c r="H774" s="51"/>
    </row>
    <row r="775" spans="6:8" ht="15.75" customHeight="1">
      <c r="F775" s="51"/>
      <c r="G775" s="51"/>
      <c r="H775" s="51"/>
    </row>
    <row r="776" spans="6:8" ht="15.75" customHeight="1">
      <c r="F776" s="51"/>
      <c r="G776" s="51"/>
      <c r="H776" s="51"/>
    </row>
    <row r="777" spans="6:8" ht="15.75" customHeight="1">
      <c r="F777" s="51"/>
      <c r="G777" s="51"/>
      <c r="H777" s="51"/>
    </row>
    <row r="778" spans="6:8" ht="15.75" customHeight="1">
      <c r="F778" s="51"/>
      <c r="G778" s="51"/>
      <c r="H778" s="51"/>
    </row>
    <row r="779" spans="6:8" ht="15.75" customHeight="1">
      <c r="F779" s="51"/>
      <c r="G779" s="51"/>
      <c r="H779" s="51"/>
    </row>
    <row r="780" spans="6:8" ht="15.75" customHeight="1">
      <c r="F780" s="51"/>
      <c r="G780" s="51"/>
      <c r="H780" s="51"/>
    </row>
    <row r="781" spans="6:8" ht="15.75" customHeight="1">
      <c r="F781" s="51"/>
      <c r="G781" s="51"/>
      <c r="H781" s="51"/>
    </row>
    <row r="782" spans="6:8" ht="15.75" customHeight="1">
      <c r="F782" s="51"/>
      <c r="G782" s="51"/>
      <c r="H782" s="51"/>
    </row>
    <row r="783" spans="6:8" ht="15.75" customHeight="1">
      <c r="F783" s="51"/>
      <c r="G783" s="51"/>
      <c r="H783" s="51"/>
    </row>
    <row r="784" spans="6:8" ht="15.75" customHeight="1">
      <c r="F784" s="51"/>
      <c r="G784" s="51"/>
      <c r="H784" s="51"/>
    </row>
    <row r="785" spans="6:8" ht="15.75" customHeight="1">
      <c r="F785" s="51"/>
      <c r="G785" s="51"/>
      <c r="H785" s="51"/>
    </row>
    <row r="786" spans="6:8" ht="15.75" customHeight="1">
      <c r="F786" s="51"/>
      <c r="G786" s="51"/>
      <c r="H786" s="51"/>
    </row>
    <row r="787" spans="6:8" ht="15.75" customHeight="1">
      <c r="F787" s="51"/>
      <c r="G787" s="51"/>
      <c r="H787" s="51"/>
    </row>
    <row r="788" spans="6:8" ht="15.75" customHeight="1">
      <c r="F788" s="51"/>
      <c r="G788" s="51"/>
      <c r="H788" s="51"/>
    </row>
    <row r="789" spans="6:8" ht="15.75" customHeight="1">
      <c r="F789" s="51"/>
      <c r="G789" s="51"/>
      <c r="H789" s="51"/>
    </row>
    <row r="790" spans="6:8" ht="15.75" customHeight="1">
      <c r="F790" s="51"/>
      <c r="G790" s="51"/>
      <c r="H790" s="51"/>
    </row>
    <row r="791" spans="6:8" ht="15.75" customHeight="1">
      <c r="F791" s="51"/>
      <c r="G791" s="51"/>
      <c r="H791" s="51"/>
    </row>
    <row r="792" spans="6:8" ht="15.75" customHeight="1">
      <c r="F792" s="51"/>
      <c r="G792" s="51"/>
      <c r="H792" s="51"/>
    </row>
    <row r="793" spans="6:8" ht="15.75" customHeight="1">
      <c r="F793" s="51"/>
      <c r="G793" s="51"/>
      <c r="H793" s="51"/>
    </row>
    <row r="794" spans="6:8" ht="15.75" customHeight="1">
      <c r="F794" s="51"/>
      <c r="G794" s="51"/>
      <c r="H794" s="51"/>
    </row>
    <row r="795" spans="6:8" ht="15.75" customHeight="1">
      <c r="F795" s="51"/>
      <c r="G795" s="51"/>
      <c r="H795" s="51"/>
    </row>
    <row r="796" spans="6:8" ht="15.75" customHeight="1">
      <c r="F796" s="51"/>
      <c r="G796" s="51"/>
      <c r="H796" s="51"/>
    </row>
    <row r="797" spans="6:8" ht="15.75" customHeight="1">
      <c r="F797" s="51"/>
      <c r="G797" s="51"/>
      <c r="H797" s="51"/>
    </row>
    <row r="798" spans="6:8" ht="15.75" customHeight="1">
      <c r="F798" s="51"/>
      <c r="G798" s="51"/>
      <c r="H798" s="51"/>
    </row>
    <row r="799" spans="6:8" ht="15.75" customHeight="1">
      <c r="F799" s="51"/>
      <c r="G799" s="51"/>
      <c r="H799" s="51"/>
    </row>
    <row r="800" spans="6:8" ht="15.75" customHeight="1">
      <c r="F800" s="51"/>
      <c r="G800" s="51"/>
      <c r="H800" s="51"/>
    </row>
    <row r="801" spans="6:8" ht="15.75" customHeight="1">
      <c r="F801" s="51"/>
      <c r="G801" s="51"/>
      <c r="H801" s="51"/>
    </row>
    <row r="802" spans="6:8" ht="15.75" customHeight="1">
      <c r="F802" s="51"/>
      <c r="G802" s="51"/>
      <c r="H802" s="51"/>
    </row>
    <row r="803" spans="6:8" ht="15.75" customHeight="1">
      <c r="F803" s="51"/>
      <c r="G803" s="51"/>
      <c r="H803" s="51"/>
    </row>
    <row r="804" spans="6:8" ht="15.75" customHeight="1">
      <c r="F804" s="51"/>
      <c r="G804" s="51"/>
      <c r="H804" s="51"/>
    </row>
    <row r="805" spans="6:8" ht="15.75" customHeight="1">
      <c r="F805" s="51"/>
      <c r="G805" s="51"/>
      <c r="H805" s="51"/>
    </row>
    <row r="806" spans="6:8" ht="15.75" customHeight="1">
      <c r="F806" s="51"/>
      <c r="G806" s="51"/>
      <c r="H806" s="51"/>
    </row>
    <row r="807" spans="6:8" ht="15.75" customHeight="1">
      <c r="F807" s="51"/>
      <c r="G807" s="51"/>
      <c r="H807" s="51"/>
    </row>
    <row r="808" spans="6:8" ht="15.75" customHeight="1">
      <c r="F808" s="51"/>
      <c r="G808" s="51"/>
      <c r="H808" s="51"/>
    </row>
    <row r="809" spans="6:8" ht="15.75" customHeight="1">
      <c r="F809" s="51"/>
      <c r="G809" s="51"/>
      <c r="H809" s="51"/>
    </row>
    <row r="810" spans="6:8" ht="15.75" customHeight="1">
      <c r="F810" s="51"/>
      <c r="G810" s="51"/>
      <c r="H810" s="51"/>
    </row>
    <row r="811" spans="6:8" ht="15.75" customHeight="1">
      <c r="F811" s="51"/>
      <c r="G811" s="51"/>
      <c r="H811" s="51"/>
    </row>
    <row r="812" spans="6:8" ht="15.75" customHeight="1">
      <c r="F812" s="51"/>
      <c r="G812" s="51"/>
      <c r="H812" s="51"/>
    </row>
    <row r="813" spans="6:8" ht="15.75" customHeight="1">
      <c r="F813" s="51"/>
      <c r="G813" s="51"/>
      <c r="H813" s="51"/>
    </row>
    <row r="814" spans="6:8" ht="15.75" customHeight="1">
      <c r="F814" s="51"/>
      <c r="G814" s="51"/>
      <c r="H814" s="51"/>
    </row>
    <row r="815" spans="6:8" ht="15.75" customHeight="1">
      <c r="F815" s="51"/>
      <c r="G815" s="51"/>
      <c r="H815" s="51"/>
    </row>
    <row r="816" spans="6:8" ht="15.75" customHeight="1">
      <c r="F816" s="51"/>
      <c r="G816" s="51"/>
      <c r="H816" s="51"/>
    </row>
    <row r="817" spans="6:8" ht="15.75" customHeight="1">
      <c r="F817" s="51"/>
      <c r="G817" s="51"/>
      <c r="H817" s="51"/>
    </row>
    <row r="818" spans="6:8" ht="15.75" customHeight="1">
      <c r="F818" s="51"/>
      <c r="G818" s="51"/>
      <c r="H818" s="51"/>
    </row>
    <row r="819" spans="6:8" ht="15.75" customHeight="1">
      <c r="F819" s="51"/>
      <c r="G819" s="51"/>
      <c r="H819" s="51"/>
    </row>
    <row r="820" spans="6:8" ht="15.75" customHeight="1">
      <c r="F820" s="51"/>
      <c r="G820" s="51"/>
      <c r="H820" s="51"/>
    </row>
    <row r="821" spans="6:8" ht="15.75" customHeight="1">
      <c r="F821" s="51"/>
      <c r="G821" s="51"/>
      <c r="H821" s="51"/>
    </row>
    <row r="822" spans="6:8" ht="15.75" customHeight="1">
      <c r="F822" s="51"/>
      <c r="G822" s="51"/>
      <c r="H822" s="51"/>
    </row>
    <row r="823" spans="6:8" ht="15.75" customHeight="1">
      <c r="F823" s="51"/>
      <c r="G823" s="51"/>
      <c r="H823" s="51"/>
    </row>
    <row r="824" spans="6:8" ht="15.75" customHeight="1">
      <c r="F824" s="51"/>
      <c r="G824" s="51"/>
      <c r="H824" s="51"/>
    </row>
    <row r="825" spans="6:8" ht="15.75" customHeight="1">
      <c r="F825" s="51"/>
      <c r="G825" s="51"/>
      <c r="H825" s="51"/>
    </row>
    <row r="826" spans="6:8" ht="15.75" customHeight="1">
      <c r="F826" s="51"/>
      <c r="G826" s="51"/>
      <c r="H826" s="51"/>
    </row>
    <row r="827" spans="6:8" ht="15.75" customHeight="1">
      <c r="F827" s="51"/>
      <c r="G827" s="51"/>
      <c r="H827" s="51"/>
    </row>
    <row r="828" spans="6:8" ht="15.75" customHeight="1">
      <c r="F828" s="51"/>
      <c r="G828" s="51"/>
      <c r="H828" s="51"/>
    </row>
    <row r="829" spans="6:8" ht="15.75" customHeight="1">
      <c r="F829" s="51"/>
      <c r="G829" s="51"/>
      <c r="H829" s="51"/>
    </row>
    <row r="830" spans="6:8" ht="15.75" customHeight="1">
      <c r="F830" s="51"/>
      <c r="G830" s="51"/>
      <c r="H830" s="51"/>
    </row>
    <row r="831" spans="6:8" ht="15.75" customHeight="1">
      <c r="F831" s="51"/>
      <c r="G831" s="51"/>
      <c r="H831" s="51"/>
    </row>
    <row r="832" spans="6:8" ht="15.75" customHeight="1">
      <c r="F832" s="51"/>
      <c r="G832" s="51"/>
      <c r="H832" s="51"/>
    </row>
    <row r="833" spans="6:8" ht="15.75" customHeight="1">
      <c r="F833" s="51"/>
      <c r="G833" s="51"/>
      <c r="H833" s="51"/>
    </row>
    <row r="834" spans="6:8" ht="15.75" customHeight="1">
      <c r="F834" s="51"/>
      <c r="G834" s="51"/>
      <c r="H834" s="51"/>
    </row>
    <row r="835" spans="6:8" ht="15.75" customHeight="1">
      <c r="F835" s="51"/>
      <c r="G835" s="51"/>
      <c r="H835" s="51"/>
    </row>
    <row r="836" spans="6:8" ht="15.75" customHeight="1">
      <c r="F836" s="51"/>
      <c r="G836" s="51"/>
      <c r="H836" s="51"/>
    </row>
    <row r="837" spans="6:8" ht="15.75" customHeight="1">
      <c r="F837" s="51"/>
      <c r="G837" s="51"/>
      <c r="H837" s="51"/>
    </row>
    <row r="838" spans="6:8" ht="15.75" customHeight="1">
      <c r="F838" s="51"/>
      <c r="G838" s="51"/>
      <c r="H838" s="51"/>
    </row>
    <row r="839" spans="6:8" ht="15.75" customHeight="1">
      <c r="F839" s="51"/>
      <c r="G839" s="51"/>
      <c r="H839" s="51"/>
    </row>
    <row r="840" spans="6:8" ht="15.75" customHeight="1">
      <c r="F840" s="51"/>
      <c r="G840" s="51"/>
      <c r="H840" s="51"/>
    </row>
    <row r="841" spans="6:8" ht="15.75" customHeight="1">
      <c r="F841" s="51"/>
      <c r="G841" s="51"/>
      <c r="H841" s="51"/>
    </row>
    <row r="842" spans="6:8" ht="15.75" customHeight="1">
      <c r="F842" s="51"/>
      <c r="G842" s="51"/>
      <c r="H842" s="51"/>
    </row>
    <row r="843" spans="6:8" ht="15.75" customHeight="1">
      <c r="F843" s="51"/>
      <c r="G843" s="51"/>
      <c r="H843" s="51"/>
    </row>
    <row r="844" spans="6:8" ht="15.75" customHeight="1">
      <c r="F844" s="51"/>
      <c r="G844" s="51"/>
      <c r="H844" s="51"/>
    </row>
    <row r="845" spans="6:8" ht="15.75" customHeight="1">
      <c r="F845" s="51"/>
      <c r="G845" s="51"/>
      <c r="H845" s="51"/>
    </row>
    <row r="846" spans="6:8" ht="15.75" customHeight="1">
      <c r="F846" s="51"/>
      <c r="G846" s="51"/>
      <c r="H846" s="51"/>
    </row>
    <row r="847" spans="6:8" ht="15.75" customHeight="1">
      <c r="F847" s="51"/>
      <c r="G847" s="51"/>
      <c r="H847" s="51"/>
    </row>
    <row r="848" spans="6:8" ht="15.75" customHeight="1">
      <c r="F848" s="51"/>
      <c r="G848" s="51"/>
      <c r="H848" s="51"/>
    </row>
    <row r="849" spans="6:8" ht="15.75" customHeight="1">
      <c r="F849" s="51"/>
      <c r="G849" s="51"/>
      <c r="H849" s="51"/>
    </row>
    <row r="850" spans="6:8" ht="15.75" customHeight="1">
      <c r="F850" s="51"/>
      <c r="G850" s="51"/>
      <c r="H850" s="51"/>
    </row>
    <row r="851" spans="6:8" ht="15.75" customHeight="1">
      <c r="F851" s="51"/>
      <c r="G851" s="51"/>
      <c r="H851" s="51"/>
    </row>
    <row r="852" spans="6:8" ht="15.75" customHeight="1">
      <c r="F852" s="51"/>
      <c r="G852" s="51"/>
      <c r="H852" s="51"/>
    </row>
    <row r="853" spans="6:8" ht="15.75" customHeight="1">
      <c r="F853" s="51"/>
      <c r="G853" s="51"/>
      <c r="H853" s="51"/>
    </row>
    <row r="854" spans="6:8" ht="15.75" customHeight="1">
      <c r="F854" s="51"/>
      <c r="G854" s="51"/>
      <c r="H854" s="51"/>
    </row>
    <row r="855" spans="6:8" ht="15.75" customHeight="1">
      <c r="F855" s="51"/>
      <c r="G855" s="51"/>
      <c r="H855" s="51"/>
    </row>
    <row r="856" spans="6:8" ht="15.75" customHeight="1">
      <c r="F856" s="51"/>
      <c r="G856" s="51"/>
      <c r="H856" s="51"/>
    </row>
    <row r="857" spans="6:8" ht="15.75" customHeight="1">
      <c r="F857" s="51"/>
      <c r="G857" s="51"/>
      <c r="H857" s="51"/>
    </row>
    <row r="858" spans="6:8" ht="15.75" customHeight="1">
      <c r="F858" s="51"/>
      <c r="G858" s="51"/>
      <c r="H858" s="51"/>
    </row>
    <row r="859" spans="6:8" ht="15.75" customHeight="1">
      <c r="F859" s="51"/>
      <c r="G859" s="51"/>
      <c r="H859" s="51"/>
    </row>
    <row r="860" spans="6:8" ht="15.75" customHeight="1">
      <c r="F860" s="51"/>
      <c r="G860" s="51"/>
      <c r="H860" s="51"/>
    </row>
    <row r="861" spans="6:8" ht="15.75" customHeight="1">
      <c r="F861" s="51"/>
      <c r="G861" s="51"/>
      <c r="H861" s="51"/>
    </row>
    <row r="862" spans="6:8" ht="15.75" customHeight="1">
      <c r="F862" s="51"/>
      <c r="G862" s="51"/>
      <c r="H862" s="51"/>
    </row>
    <row r="863" spans="6:8" ht="15.75" customHeight="1">
      <c r="F863" s="51"/>
      <c r="G863" s="51"/>
      <c r="H863" s="51"/>
    </row>
    <row r="864" spans="6:8" ht="15.75" customHeight="1">
      <c r="F864" s="51"/>
      <c r="G864" s="51"/>
      <c r="H864" s="51"/>
    </row>
    <row r="865" spans="6:8" ht="15.75" customHeight="1">
      <c r="F865" s="51"/>
      <c r="G865" s="51"/>
      <c r="H865" s="51"/>
    </row>
    <row r="866" spans="6:8" ht="15.75" customHeight="1">
      <c r="F866" s="51"/>
      <c r="G866" s="51"/>
      <c r="H866" s="51"/>
    </row>
    <row r="867" spans="6:8" ht="15.75" customHeight="1">
      <c r="F867" s="51"/>
      <c r="G867" s="51"/>
      <c r="H867" s="51"/>
    </row>
    <row r="868" spans="6:8" ht="15.75" customHeight="1">
      <c r="F868" s="51"/>
      <c r="G868" s="51"/>
      <c r="H868" s="51"/>
    </row>
    <row r="869" spans="6:8" ht="15.75" customHeight="1">
      <c r="F869" s="51"/>
      <c r="G869" s="51"/>
      <c r="H869" s="51"/>
    </row>
    <row r="870" spans="6:8" ht="15.75" customHeight="1">
      <c r="F870" s="51"/>
      <c r="G870" s="51"/>
      <c r="H870" s="51"/>
    </row>
    <row r="871" spans="6:8" ht="15.75" customHeight="1">
      <c r="F871" s="51"/>
      <c r="G871" s="51"/>
      <c r="H871" s="51"/>
    </row>
    <row r="872" spans="6:8" ht="15.75" customHeight="1">
      <c r="F872" s="51"/>
      <c r="G872" s="51"/>
      <c r="H872" s="51"/>
    </row>
    <row r="873" spans="6:8" ht="15.75" customHeight="1">
      <c r="F873" s="51"/>
      <c r="G873" s="51"/>
      <c r="H873" s="51"/>
    </row>
    <row r="874" spans="6:8" ht="15.75" customHeight="1">
      <c r="F874" s="51"/>
      <c r="G874" s="51"/>
      <c r="H874" s="51"/>
    </row>
    <row r="875" spans="6:8" ht="15.75" customHeight="1">
      <c r="F875" s="51"/>
      <c r="G875" s="51"/>
      <c r="H875" s="51"/>
    </row>
    <row r="876" spans="6:8" ht="15.75" customHeight="1">
      <c r="F876" s="51"/>
      <c r="G876" s="51"/>
      <c r="H876" s="51"/>
    </row>
    <row r="877" spans="6:8" ht="15.75" customHeight="1">
      <c r="F877" s="51"/>
      <c r="G877" s="51"/>
      <c r="H877" s="51"/>
    </row>
    <row r="878" spans="6:8" ht="15.75" customHeight="1">
      <c r="F878" s="51"/>
      <c r="G878" s="51"/>
      <c r="H878" s="51"/>
    </row>
    <row r="879" spans="6:8" ht="15.75" customHeight="1">
      <c r="F879" s="51"/>
      <c r="G879" s="51"/>
      <c r="H879" s="51"/>
    </row>
    <row r="880" spans="6:8" ht="15.75" customHeight="1">
      <c r="F880" s="51"/>
      <c r="G880" s="51"/>
      <c r="H880" s="51"/>
    </row>
    <row r="881" spans="6:8" ht="15.75" customHeight="1">
      <c r="F881" s="51"/>
      <c r="G881" s="51"/>
      <c r="H881" s="51"/>
    </row>
    <row r="882" spans="6:8" ht="15.75" customHeight="1">
      <c r="F882" s="51"/>
      <c r="G882" s="51"/>
      <c r="H882" s="51"/>
    </row>
    <row r="883" spans="6:8" ht="15.75" customHeight="1">
      <c r="F883" s="51"/>
      <c r="G883" s="51"/>
      <c r="H883" s="51"/>
    </row>
    <row r="884" spans="6:8" ht="15.75" customHeight="1">
      <c r="F884" s="51"/>
      <c r="G884" s="51"/>
      <c r="H884" s="51"/>
    </row>
    <row r="885" spans="6:8" ht="15.75" customHeight="1">
      <c r="F885" s="51"/>
      <c r="G885" s="51"/>
      <c r="H885" s="51"/>
    </row>
    <row r="886" spans="6:8" ht="15.75" customHeight="1">
      <c r="F886" s="51"/>
      <c r="G886" s="51"/>
      <c r="H886" s="51"/>
    </row>
    <row r="887" spans="6:8" ht="15.75" customHeight="1">
      <c r="F887" s="51"/>
      <c r="G887" s="51"/>
      <c r="H887" s="51"/>
    </row>
    <row r="888" spans="6:8" ht="15.75" customHeight="1">
      <c r="F888" s="51"/>
      <c r="G888" s="51"/>
      <c r="H888" s="51"/>
    </row>
    <row r="889" spans="6:8" ht="15.75" customHeight="1">
      <c r="F889" s="51"/>
      <c r="G889" s="51"/>
      <c r="H889" s="51"/>
    </row>
    <row r="890" spans="6:8" ht="15.75" customHeight="1">
      <c r="F890" s="51"/>
      <c r="G890" s="51"/>
      <c r="H890" s="51"/>
    </row>
    <row r="891" spans="6:8" ht="15.75" customHeight="1">
      <c r="F891" s="51"/>
      <c r="G891" s="51"/>
      <c r="H891" s="51"/>
    </row>
    <row r="892" spans="6:8" ht="15.75" customHeight="1">
      <c r="F892" s="51"/>
      <c r="G892" s="51"/>
      <c r="H892" s="51"/>
    </row>
    <row r="893" spans="6:8" ht="15.75" customHeight="1">
      <c r="F893" s="51"/>
      <c r="G893" s="51"/>
      <c r="H893" s="51"/>
    </row>
    <row r="894" spans="6:8" ht="15.75" customHeight="1">
      <c r="F894" s="51"/>
      <c r="G894" s="51"/>
      <c r="H894" s="51"/>
    </row>
    <row r="895" spans="6:8" ht="15.75" customHeight="1">
      <c r="F895" s="51"/>
      <c r="G895" s="51"/>
      <c r="H895" s="51"/>
    </row>
    <row r="896" spans="6:8" ht="15.75" customHeight="1">
      <c r="F896" s="51"/>
      <c r="G896" s="51"/>
      <c r="H896" s="51"/>
    </row>
    <row r="897" spans="6:8" ht="15.75" customHeight="1">
      <c r="F897" s="51"/>
      <c r="G897" s="51"/>
      <c r="H897" s="51"/>
    </row>
    <row r="898" spans="6:8" ht="15.75" customHeight="1">
      <c r="F898" s="51"/>
      <c r="G898" s="51"/>
      <c r="H898" s="51"/>
    </row>
    <row r="899" spans="6:8" ht="15.75" customHeight="1">
      <c r="F899" s="51"/>
      <c r="G899" s="51"/>
      <c r="H899" s="51"/>
    </row>
    <row r="900" spans="6:8" ht="15.75" customHeight="1">
      <c r="F900" s="51"/>
      <c r="G900" s="51"/>
      <c r="H900" s="51"/>
    </row>
    <row r="901" spans="6:8" ht="15.75" customHeight="1">
      <c r="F901" s="51"/>
      <c r="G901" s="51"/>
      <c r="H901" s="51"/>
    </row>
    <row r="902" spans="6:8" ht="15.75" customHeight="1">
      <c r="F902" s="51"/>
      <c r="G902" s="51"/>
      <c r="H902" s="51"/>
    </row>
    <row r="903" spans="6:8" ht="15.75" customHeight="1">
      <c r="F903" s="51"/>
      <c r="G903" s="51"/>
      <c r="H903" s="51"/>
    </row>
    <row r="904" spans="6:8" ht="15.75" customHeight="1">
      <c r="F904" s="51"/>
      <c r="G904" s="51"/>
      <c r="H904" s="51"/>
    </row>
    <row r="905" spans="6:8" ht="15.75" customHeight="1">
      <c r="F905" s="51"/>
      <c r="G905" s="51"/>
      <c r="H905" s="51"/>
    </row>
    <row r="906" spans="6:8" ht="15.75" customHeight="1">
      <c r="F906" s="51"/>
      <c r="G906" s="51"/>
      <c r="H906" s="51"/>
    </row>
    <row r="907" spans="6:8" ht="15.75" customHeight="1">
      <c r="F907" s="51"/>
      <c r="G907" s="51"/>
      <c r="H907" s="51"/>
    </row>
    <row r="908" spans="6:8" ht="15.75" customHeight="1">
      <c r="F908" s="51"/>
      <c r="G908" s="51"/>
      <c r="H908" s="51"/>
    </row>
    <row r="909" spans="6:8" ht="15.75" customHeight="1">
      <c r="F909" s="51"/>
      <c r="G909" s="51"/>
      <c r="H909" s="51"/>
    </row>
    <row r="910" spans="6:8" ht="15.75" customHeight="1">
      <c r="F910" s="51"/>
      <c r="G910" s="51"/>
      <c r="H910" s="51"/>
    </row>
    <row r="911" spans="6:8" ht="15.75" customHeight="1">
      <c r="F911" s="51"/>
      <c r="G911" s="51"/>
      <c r="H911" s="51"/>
    </row>
    <row r="912" spans="6:8" ht="15.75" customHeight="1">
      <c r="F912" s="51"/>
      <c r="G912" s="51"/>
      <c r="H912" s="51"/>
    </row>
    <row r="913" spans="6:8" ht="15.75" customHeight="1">
      <c r="F913" s="51"/>
      <c r="G913" s="51"/>
      <c r="H913" s="51"/>
    </row>
    <row r="914" spans="6:8" ht="15.75" customHeight="1">
      <c r="F914" s="51"/>
      <c r="G914" s="51"/>
      <c r="H914" s="51"/>
    </row>
    <row r="915" spans="6:8" ht="15.75" customHeight="1">
      <c r="F915" s="51"/>
      <c r="G915" s="51"/>
      <c r="H915" s="51"/>
    </row>
    <row r="916" spans="6:8" ht="15.75" customHeight="1">
      <c r="F916" s="51"/>
      <c r="G916" s="51"/>
      <c r="H916" s="51"/>
    </row>
    <row r="917" spans="6:8" ht="15.75" customHeight="1">
      <c r="F917" s="51"/>
      <c r="G917" s="51"/>
      <c r="H917" s="51"/>
    </row>
    <row r="918" spans="6:8" ht="15.75" customHeight="1">
      <c r="F918" s="51"/>
      <c r="G918" s="51"/>
      <c r="H918" s="51"/>
    </row>
    <row r="919" spans="6:8" ht="15.75" customHeight="1">
      <c r="F919" s="51"/>
      <c r="G919" s="51"/>
      <c r="H919" s="51"/>
    </row>
    <row r="920" spans="6:8" ht="15.75" customHeight="1">
      <c r="F920" s="51"/>
      <c r="G920" s="51"/>
      <c r="H920" s="51"/>
    </row>
    <row r="921" spans="6:8" ht="15.75" customHeight="1">
      <c r="F921" s="51"/>
      <c r="G921" s="51"/>
      <c r="H921" s="51"/>
    </row>
    <row r="922" spans="6:8" ht="15.75" customHeight="1">
      <c r="F922" s="51"/>
      <c r="G922" s="51"/>
      <c r="H922" s="51"/>
    </row>
    <row r="923" spans="6:8" ht="15.75" customHeight="1">
      <c r="F923" s="51"/>
      <c r="G923" s="51"/>
      <c r="H923" s="51"/>
    </row>
    <row r="924" spans="6:8" ht="15.75" customHeight="1">
      <c r="F924" s="51"/>
      <c r="G924" s="51"/>
      <c r="H924" s="51"/>
    </row>
    <row r="925" spans="6:8" ht="15.75" customHeight="1">
      <c r="F925" s="51"/>
      <c r="G925" s="51"/>
      <c r="H925" s="51"/>
    </row>
    <row r="926" spans="6:8" ht="15.75" customHeight="1">
      <c r="F926" s="51"/>
      <c r="G926" s="51"/>
      <c r="H926" s="51"/>
    </row>
    <row r="927" spans="6:8" ht="15.75" customHeight="1">
      <c r="F927" s="51"/>
      <c r="G927" s="51"/>
      <c r="H927" s="51"/>
    </row>
    <row r="928" spans="6:8" ht="15.75" customHeight="1">
      <c r="F928" s="51"/>
      <c r="G928" s="51"/>
      <c r="H928" s="51"/>
    </row>
    <row r="929" spans="5:8" ht="15.75" customHeight="1">
      <c r="F929" s="51"/>
      <c r="G929" s="51"/>
      <c r="H929" s="51"/>
    </row>
    <row r="930" spans="5:8" ht="15.75" customHeight="1">
      <c r="F930" s="51"/>
      <c r="G930" s="51"/>
      <c r="H930" s="51"/>
    </row>
    <row r="931" spans="5:8" ht="15.75" customHeight="1">
      <c r="F931" s="51"/>
      <c r="G931" s="51"/>
      <c r="H931" s="51"/>
    </row>
    <row r="932" spans="5:8" ht="15.75" customHeight="1">
      <c r="F932" s="51"/>
      <c r="G932" s="51"/>
      <c r="H932" s="51"/>
    </row>
    <row r="933" spans="5:8" ht="15.75" customHeight="1">
      <c r="F933" s="51"/>
      <c r="G933" s="51"/>
      <c r="H933" s="51"/>
    </row>
    <row r="934" spans="5:8" ht="15.75" customHeight="1">
      <c r="F934" s="51"/>
      <c r="G934" s="51"/>
      <c r="H934" s="51"/>
    </row>
    <row r="935" spans="5:8" ht="15.75" customHeight="1">
      <c r="F935" s="51"/>
      <c r="G935" s="51"/>
      <c r="H935" s="51"/>
    </row>
    <row r="936" spans="5:8" ht="15.75" customHeight="1">
      <c r="F936" s="51"/>
      <c r="G936" s="51"/>
      <c r="H936" s="51"/>
    </row>
    <row r="937" spans="5:8" ht="15.75" customHeight="1">
      <c r="F937" s="51"/>
      <c r="G937" s="51"/>
      <c r="H937" s="51"/>
    </row>
    <row r="938" spans="5:8" ht="15.75" customHeight="1">
      <c r="E938" s="51"/>
      <c r="F938" s="51"/>
      <c r="G938" s="51"/>
      <c r="H938" s="51"/>
    </row>
    <row r="939" spans="5:8" ht="15.75" customHeight="1" thickBot="1">
      <c r="E939" s="51"/>
      <c r="F939" s="51"/>
      <c r="G939" s="51"/>
      <c r="H939" s="51"/>
    </row>
    <row r="940" spans="5:8" ht="15.75" customHeight="1" thickBot="1">
      <c r="F940" s="53"/>
      <c r="G940" s="53"/>
      <c r="H940" s="53"/>
    </row>
    <row r="941" spans="5:8" ht="15.75" customHeight="1" thickBot="1">
      <c r="F941" s="53"/>
      <c r="G941" s="53"/>
      <c r="H941" s="53"/>
    </row>
    <row r="942" spans="5:8" ht="15.75" customHeight="1" thickBot="1">
      <c r="F942" s="53"/>
      <c r="G942" s="53"/>
      <c r="H942" s="53"/>
    </row>
    <row r="943" spans="5:8" ht="15.75" customHeight="1" thickBot="1">
      <c r="F943" s="53"/>
      <c r="G943" s="53"/>
      <c r="H943" s="53"/>
    </row>
    <row r="944" spans="5:8" ht="15.75" customHeight="1" thickBot="1">
      <c r="F944" s="53"/>
      <c r="G944" s="53"/>
      <c r="H944" s="53"/>
    </row>
    <row r="945" spans="6:8" ht="15.75" customHeight="1" thickBot="1">
      <c r="F945" s="53"/>
      <c r="G945" s="53"/>
      <c r="H945" s="53"/>
    </row>
    <row r="946" spans="6:8" ht="15.75" customHeight="1" thickBot="1">
      <c r="F946" s="53"/>
      <c r="G946" s="53"/>
      <c r="H946" s="53"/>
    </row>
    <row r="947" spans="6:8" ht="15.75" customHeight="1" thickBot="1">
      <c r="F947" s="53"/>
      <c r="G947" s="53"/>
      <c r="H947" s="53"/>
    </row>
    <row r="948" spans="6:8" ht="15.75" customHeight="1" thickBot="1">
      <c r="F948" s="53"/>
      <c r="G948" s="53"/>
      <c r="H948" s="53"/>
    </row>
    <row r="949" spans="6:8" ht="15.75" customHeight="1" thickBot="1">
      <c r="F949" s="53"/>
      <c r="G949" s="53"/>
      <c r="H949" s="53"/>
    </row>
    <row r="950" spans="6:8" ht="15.75" customHeight="1" thickBot="1">
      <c r="F950" s="53"/>
      <c r="G950" s="53"/>
      <c r="H950" s="53"/>
    </row>
    <row r="951" spans="6:8" ht="15.75" customHeight="1" thickBot="1">
      <c r="F951" s="53"/>
      <c r="G951" s="53"/>
      <c r="H951" s="53"/>
    </row>
    <row r="952" spans="6:8" ht="15.75" customHeight="1" thickBot="1">
      <c r="F952" s="53"/>
      <c r="G952" s="53"/>
      <c r="H952" s="53"/>
    </row>
    <row r="953" spans="6:8" ht="15.75" customHeight="1" thickBot="1">
      <c r="F953" s="53"/>
      <c r="G953" s="53"/>
      <c r="H953" s="53"/>
    </row>
    <row r="954" spans="6:8" ht="15.75" customHeight="1" thickBot="1">
      <c r="F954" s="53"/>
      <c r="G954" s="53"/>
      <c r="H954" s="53"/>
    </row>
    <row r="955" spans="6:8" ht="15.75" customHeight="1" thickBot="1">
      <c r="F955" s="53"/>
      <c r="G955" s="53"/>
      <c r="H955" s="53"/>
    </row>
    <row r="956" spans="6:8" ht="15.75" customHeight="1" thickBot="1">
      <c r="F956" s="53"/>
      <c r="G956" s="53"/>
      <c r="H956" s="53"/>
    </row>
    <row r="957" spans="6:8" ht="15.75" customHeight="1" thickBot="1">
      <c r="F957" s="53"/>
      <c r="G957" s="53"/>
      <c r="H957" s="53"/>
    </row>
    <row r="958" spans="6:8" ht="15.75" customHeight="1" thickBot="1">
      <c r="F958" s="53"/>
      <c r="G958" s="53"/>
      <c r="H958" s="53"/>
    </row>
    <row r="959" spans="6:8" ht="15.75" customHeight="1" thickBot="1">
      <c r="F959" s="53"/>
      <c r="G959" s="53"/>
      <c r="H959" s="53"/>
    </row>
    <row r="960" spans="6:8" ht="15.75" customHeight="1" thickBot="1">
      <c r="F960" s="53"/>
      <c r="G960" s="53"/>
      <c r="H960" s="53"/>
    </row>
    <row r="961" spans="6:8" ht="15.75" customHeight="1" thickBot="1">
      <c r="F961" s="53"/>
      <c r="G961" s="53"/>
      <c r="H961" s="53"/>
    </row>
    <row r="962" spans="6:8" ht="15.75" customHeight="1" thickBot="1">
      <c r="F962" s="53"/>
      <c r="G962" s="53"/>
      <c r="H962" s="53"/>
    </row>
    <row r="963" spans="6:8" ht="15.75" customHeight="1" thickBot="1">
      <c r="F963" s="53"/>
      <c r="G963" s="53"/>
      <c r="H963" s="53"/>
    </row>
    <row r="964" spans="6:8" ht="15.75" customHeight="1" thickBot="1">
      <c r="F964" s="53"/>
      <c r="G964" s="53"/>
      <c r="H964" s="53"/>
    </row>
    <row r="965" spans="6:8" ht="15.75" customHeight="1" thickBot="1">
      <c r="F965" s="53"/>
      <c r="G965" s="53"/>
      <c r="H965" s="53"/>
    </row>
    <row r="966" spans="6:8" ht="15.75" customHeight="1" thickBot="1">
      <c r="F966" s="53"/>
      <c r="G966" s="53"/>
      <c r="H966" s="53"/>
    </row>
    <row r="967" spans="6:8" ht="15.75" customHeight="1" thickBot="1">
      <c r="F967" s="53"/>
      <c r="G967" s="53"/>
      <c r="H967" s="53"/>
    </row>
    <row r="968" spans="6:8" ht="15.75" customHeight="1" thickBot="1">
      <c r="F968" s="53"/>
      <c r="G968" s="53"/>
      <c r="H968" s="53"/>
    </row>
    <row r="969" spans="6:8" ht="15.75" customHeight="1" thickBot="1">
      <c r="F969" s="53"/>
      <c r="G969" s="53"/>
      <c r="H969" s="53"/>
    </row>
    <row r="970" spans="6:8" ht="15.75" customHeight="1"/>
  </sheetData>
  <phoneticPr fontId="3" type="noConversion"/>
  <conditionalFormatting sqref="A1:D1 D2:D143 A2:B148 J32:J33 E32:E35 D201:D207 C2:C207">
    <cfRule type="cellIs" dxfId="1" priority="3" operator="equal">
      <formula>0</formula>
    </cfRule>
  </conditionalFormatting>
  <conditionalFormatting sqref="F32:G33 F34 F35:G35 A201:B207">
    <cfRule type="cellIs" dxfId="0" priority="1" operator="equal">
      <formula>0</formula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F445-2C30-4E90-BEA0-B92B74C05A73}">
  <dimension ref="A3:J16"/>
  <sheetViews>
    <sheetView workbookViewId="0">
      <selection activeCell="D16" sqref="D16"/>
    </sheetView>
  </sheetViews>
  <sheetFormatPr baseColWidth="10" defaultRowHeight="13.8"/>
  <cols>
    <col min="1" max="1" width="17.5" bestFit="1" customWidth="1"/>
    <col min="2" max="2" width="21.8984375" bestFit="1" customWidth="1"/>
    <col min="3" max="4" width="12.3984375" bestFit="1" customWidth="1"/>
    <col min="5" max="5" width="11.3984375" bestFit="1" customWidth="1"/>
    <col min="6" max="6" width="12.5" bestFit="1" customWidth="1"/>
    <col min="7" max="7" width="9.8984375" bestFit="1" customWidth="1"/>
    <col min="8" max="8" width="11.19921875" bestFit="1" customWidth="1"/>
    <col min="9" max="9" width="12.5" bestFit="1" customWidth="1"/>
    <col min="10" max="10" width="13.3984375" bestFit="1" customWidth="1"/>
    <col min="11" max="11" width="11.3984375" bestFit="1" customWidth="1"/>
    <col min="12" max="12" width="13.8984375" bestFit="1" customWidth="1"/>
    <col min="13" max="13" width="14.3984375" bestFit="1" customWidth="1"/>
    <col min="14" max="14" width="10.296875" bestFit="1" customWidth="1"/>
    <col min="15" max="15" width="11.3984375" bestFit="1" customWidth="1"/>
    <col min="16" max="17" width="12.3984375" bestFit="1" customWidth="1"/>
    <col min="18" max="18" width="14.3984375" bestFit="1" customWidth="1"/>
    <col min="19" max="19" width="10.296875" bestFit="1" customWidth="1"/>
    <col min="20" max="20" width="9.8984375" bestFit="1" customWidth="1"/>
    <col min="21" max="21" width="11.59765625" bestFit="1" customWidth="1"/>
    <col min="22" max="22" width="16.69921875" bestFit="1" customWidth="1"/>
    <col min="23" max="23" width="14.296875" bestFit="1" customWidth="1"/>
    <col min="24" max="24" width="14.3984375" bestFit="1" customWidth="1"/>
    <col min="25" max="25" width="16.69921875" bestFit="1" customWidth="1"/>
    <col min="26" max="26" width="11.3984375" bestFit="1" customWidth="1"/>
    <col min="27" max="27" width="14.3984375" bestFit="1" customWidth="1"/>
    <col min="28" max="28" width="9.8984375" bestFit="1" customWidth="1"/>
    <col min="29" max="29" width="11.59765625" bestFit="1" customWidth="1"/>
    <col min="30" max="30" width="17.3984375" bestFit="1" customWidth="1"/>
    <col min="31" max="31" width="14.3984375" bestFit="1" customWidth="1"/>
    <col min="32" max="32" width="11.3984375" bestFit="1" customWidth="1"/>
    <col min="33" max="33" width="12.09765625" bestFit="1" customWidth="1"/>
    <col min="34" max="34" width="11.3984375" bestFit="1" customWidth="1"/>
    <col min="35" max="35" width="15.3984375" bestFit="1" customWidth="1"/>
    <col min="36" max="36" width="13.3984375" bestFit="1" customWidth="1"/>
  </cols>
  <sheetData>
    <row r="3" spans="1:10">
      <c r="A3" s="27" t="s">
        <v>315</v>
      </c>
      <c r="B3" s="27" t="s">
        <v>314</v>
      </c>
    </row>
    <row r="4" spans="1:10">
      <c r="A4" s="27" t="s">
        <v>311</v>
      </c>
      <c r="B4" t="s">
        <v>298</v>
      </c>
      <c r="C4" t="s">
        <v>296</v>
      </c>
      <c r="D4" t="s">
        <v>295</v>
      </c>
      <c r="E4" t="s">
        <v>305</v>
      </c>
      <c r="F4" t="s">
        <v>294</v>
      </c>
      <c r="G4" t="s">
        <v>317</v>
      </c>
      <c r="H4" t="s">
        <v>316</v>
      </c>
      <c r="I4" t="s">
        <v>318</v>
      </c>
      <c r="J4" t="s">
        <v>313</v>
      </c>
    </row>
    <row r="5" spans="1:10">
      <c r="A5" s="28" t="s">
        <v>297</v>
      </c>
      <c r="B5" s="29">
        <v>50513663.609999999</v>
      </c>
      <c r="C5" s="29">
        <v>21501167.719999999</v>
      </c>
      <c r="D5" s="29">
        <v>9782096.6000000015</v>
      </c>
      <c r="E5" s="29">
        <v>1703683.54</v>
      </c>
      <c r="F5" s="29">
        <v>605730.27</v>
      </c>
      <c r="G5" s="29"/>
      <c r="H5" s="29">
        <v>704.33</v>
      </c>
      <c r="I5" s="29"/>
      <c r="J5" s="29">
        <v>84107046.070000008</v>
      </c>
    </row>
    <row r="6" spans="1:10">
      <c r="A6" s="28" t="s">
        <v>303</v>
      </c>
      <c r="B6" s="29">
        <v>2320866</v>
      </c>
      <c r="C6" s="29">
        <v>16128</v>
      </c>
      <c r="D6" s="29">
        <v>23280</v>
      </c>
      <c r="E6" s="29"/>
      <c r="F6" s="29"/>
      <c r="G6" s="29"/>
      <c r="H6" s="29"/>
      <c r="I6" s="29"/>
      <c r="J6" s="29">
        <v>2360274</v>
      </c>
    </row>
    <row r="7" spans="1:10">
      <c r="A7" s="28" t="s">
        <v>293</v>
      </c>
      <c r="B7" s="29"/>
      <c r="C7" s="29">
        <v>2955934.54</v>
      </c>
      <c r="D7" s="29">
        <v>726056.45</v>
      </c>
      <c r="E7" s="29"/>
      <c r="F7" s="29">
        <v>314997.76000000001</v>
      </c>
      <c r="G7" s="29"/>
      <c r="H7" s="29"/>
      <c r="I7" s="29"/>
      <c r="J7" s="29">
        <v>3996988.75</v>
      </c>
    </row>
    <row r="8" spans="1:10">
      <c r="A8" s="28" t="s">
        <v>304</v>
      </c>
      <c r="B8" s="29">
        <v>55292.99</v>
      </c>
      <c r="C8" s="29"/>
      <c r="D8" s="29"/>
      <c r="E8" s="29"/>
      <c r="F8" s="29"/>
      <c r="G8" s="29"/>
      <c r="H8" s="29"/>
      <c r="I8" s="29"/>
      <c r="J8" s="29">
        <v>55292.99</v>
      </c>
    </row>
    <row r="9" spans="1:10">
      <c r="A9" s="28" t="s">
        <v>300</v>
      </c>
      <c r="B9" s="29">
        <v>125152965.28999999</v>
      </c>
      <c r="C9" s="29">
        <v>21189779.07</v>
      </c>
      <c r="D9" s="29">
        <v>1617573.49</v>
      </c>
      <c r="E9" s="29"/>
      <c r="F9" s="29">
        <v>7364229.8200000003</v>
      </c>
      <c r="G9" s="29"/>
      <c r="H9" s="29"/>
      <c r="I9" s="29"/>
      <c r="J9" s="29">
        <v>155324547.66999999</v>
      </c>
    </row>
    <row r="10" spans="1:10">
      <c r="A10" s="28" t="s">
        <v>306</v>
      </c>
      <c r="B10" s="29">
        <v>2530000</v>
      </c>
      <c r="C10" s="29"/>
      <c r="D10" s="29"/>
      <c r="E10" s="29"/>
      <c r="F10" s="29"/>
      <c r="G10" s="29"/>
      <c r="H10" s="29"/>
      <c r="I10" s="29"/>
      <c r="J10" s="29">
        <v>2530000</v>
      </c>
    </row>
    <row r="11" spans="1:10">
      <c r="A11" s="28" t="s">
        <v>302</v>
      </c>
      <c r="B11" s="29"/>
      <c r="C11" s="29"/>
      <c r="D11" s="29">
        <v>12810</v>
      </c>
      <c r="E11" s="29">
        <v>26300</v>
      </c>
      <c r="F11" s="29"/>
      <c r="G11" s="29"/>
      <c r="H11" s="29"/>
      <c r="I11" s="29"/>
      <c r="J11" s="29">
        <v>39110</v>
      </c>
    </row>
    <row r="12" spans="1:10">
      <c r="A12" s="28" t="s">
        <v>301</v>
      </c>
      <c r="B12" s="29">
        <v>1800000</v>
      </c>
      <c r="C12" s="29"/>
      <c r="D12" s="29"/>
      <c r="E12" s="29"/>
      <c r="F12" s="29"/>
      <c r="G12" s="29"/>
      <c r="H12" s="29"/>
      <c r="I12" s="29"/>
      <c r="J12" s="29">
        <v>1800000</v>
      </c>
    </row>
    <row r="13" spans="1:10">
      <c r="A13" s="28" t="s">
        <v>299</v>
      </c>
      <c r="B13" s="29">
        <v>1465887.2400000002</v>
      </c>
      <c r="C13" s="29"/>
      <c r="D13" s="29"/>
      <c r="E13" s="29"/>
      <c r="F13" s="29"/>
      <c r="G13" s="29">
        <v>936048.76</v>
      </c>
      <c r="H13" s="29"/>
      <c r="I13" s="29"/>
      <c r="J13" s="29">
        <v>2401936</v>
      </c>
    </row>
    <row r="14" spans="1:10">
      <c r="A14" s="28" t="s">
        <v>312</v>
      </c>
      <c r="B14" s="29">
        <v>1930000.6700000002</v>
      </c>
      <c r="C14" s="29">
        <v>703442.79</v>
      </c>
      <c r="D14" s="29">
        <v>482072.12</v>
      </c>
      <c r="E14" s="29"/>
      <c r="F14" s="29"/>
      <c r="G14" s="29"/>
      <c r="H14" s="29">
        <v>56700</v>
      </c>
      <c r="I14" s="29">
        <v>19947.93</v>
      </c>
      <c r="J14" s="29">
        <v>3192163.5100000002</v>
      </c>
    </row>
    <row r="15" spans="1:10">
      <c r="A15" s="28" t="s">
        <v>313</v>
      </c>
      <c r="B15" s="29">
        <v>185768675.79999998</v>
      </c>
      <c r="C15" s="29">
        <v>46366452.119999997</v>
      </c>
      <c r="D15" s="29">
        <v>12643888.66</v>
      </c>
      <c r="E15" s="29">
        <v>1729983.54</v>
      </c>
      <c r="F15" s="29">
        <v>8284957.8500000006</v>
      </c>
      <c r="G15" s="29">
        <v>936048.76</v>
      </c>
      <c r="H15" s="29">
        <v>57404.33</v>
      </c>
      <c r="I15" s="29">
        <v>19947.93</v>
      </c>
      <c r="J15" s="29">
        <v>255807358.98999998</v>
      </c>
    </row>
    <row r="16" spans="1:1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CUADRO RESUMEN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naile perano</dc:creator>
  <cp:lastModifiedBy>Usuario</cp:lastModifiedBy>
  <dcterms:created xsi:type="dcterms:W3CDTF">2026-03-11T16:27:26Z</dcterms:created>
  <dcterms:modified xsi:type="dcterms:W3CDTF">2026-04-28T23:08:07Z</dcterms:modified>
</cp:coreProperties>
</file>