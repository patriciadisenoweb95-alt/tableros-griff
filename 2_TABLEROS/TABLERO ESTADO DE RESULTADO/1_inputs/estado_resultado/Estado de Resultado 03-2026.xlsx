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uario\Documents\Franco\Informes\Estados de Resultados - Mensuales\"/>
    </mc:Choice>
  </mc:AlternateContent>
  <xr:revisionPtr revIDLastSave="0" documentId="13_ncr:1_{CA24974B-EB66-4040-B544-5875761DC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do_Result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4" i="1" l="1"/>
  <c r="B43" i="1"/>
  <c r="K43" i="1"/>
  <c r="J43" i="1"/>
  <c r="I43" i="1"/>
  <c r="H43" i="1"/>
  <c r="G43" i="1"/>
  <c r="C43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C41" i="1"/>
  <c r="C40" i="1"/>
  <c r="C39" i="1"/>
  <c r="C38" i="1"/>
  <c r="K37" i="1"/>
  <c r="J37" i="1"/>
  <c r="I37" i="1"/>
  <c r="H37" i="1"/>
  <c r="G37" i="1"/>
  <c r="F37" i="1"/>
  <c r="E37" i="1"/>
  <c r="D37" i="1"/>
  <c r="C37" i="1"/>
  <c r="B41" i="1"/>
  <c r="B40" i="1"/>
  <c r="B39" i="1"/>
  <c r="B38" i="1"/>
  <c r="B37" i="1"/>
  <c r="C13" i="1"/>
  <c r="C7" i="1" l="1"/>
  <c r="M7" i="1" s="1"/>
  <c r="C30" i="1"/>
  <c r="B30" i="1"/>
  <c r="M26" i="1"/>
  <c r="M36" i="1"/>
  <c r="F9" i="1"/>
  <c r="B9" i="1"/>
  <c r="M13" i="1" l="1"/>
  <c r="M17" i="1"/>
  <c r="M8" i="1"/>
  <c r="J14" i="1"/>
  <c r="L14" i="1" l="1"/>
  <c r="L47" i="1" s="1"/>
  <c r="K14" i="1"/>
  <c r="I14" i="1"/>
  <c r="H14" i="1"/>
  <c r="G14" i="1"/>
  <c r="F14" i="1"/>
  <c r="B14" i="1"/>
  <c r="L30" i="1"/>
  <c r="K30" i="1"/>
  <c r="I30" i="1"/>
  <c r="H30" i="1"/>
  <c r="G30" i="1"/>
  <c r="F30" i="1"/>
  <c r="E30" i="1"/>
  <c r="D30" i="1"/>
  <c r="E9" i="1"/>
  <c r="E14" i="1" s="1"/>
  <c r="L44" i="1"/>
  <c r="C42" i="1"/>
  <c r="M42" i="1" s="1"/>
  <c r="M27" i="1"/>
  <c r="M25" i="1"/>
  <c r="M24" i="1"/>
  <c r="M23" i="1"/>
  <c r="M22" i="1"/>
  <c r="M21" i="1"/>
  <c r="M19" i="1"/>
  <c r="M18" i="1"/>
  <c r="M12" i="1"/>
  <c r="C11" i="1"/>
  <c r="M11" i="1" s="1"/>
  <c r="C10" i="1"/>
  <c r="M10" i="1" s="1"/>
  <c r="I32" i="1" l="1"/>
  <c r="L32" i="1"/>
  <c r="K32" i="1"/>
  <c r="D9" i="1"/>
  <c r="H32" i="1"/>
  <c r="B32" i="1"/>
  <c r="F32" i="1"/>
  <c r="M20" i="1"/>
  <c r="M30" i="1" s="1"/>
  <c r="E32" i="1"/>
  <c r="G32" i="1"/>
  <c r="L46" i="1"/>
  <c r="D14" i="1" l="1"/>
  <c r="C9" i="1"/>
  <c r="M9" i="1" s="1"/>
  <c r="C14" i="1" l="1"/>
  <c r="M14" i="1" s="1"/>
  <c r="D32" i="1"/>
  <c r="F36" i="1" l="1"/>
  <c r="F44" i="1" s="1"/>
  <c r="F46" i="1" s="1"/>
  <c r="F47" i="1" s="1"/>
  <c r="E36" i="1"/>
  <c r="E44" i="1" s="1"/>
  <c r="E46" i="1" s="1"/>
  <c r="E47" i="1" s="1"/>
  <c r="D36" i="1"/>
  <c r="D44" i="1" s="1"/>
  <c r="K36" i="1"/>
  <c r="K44" i="1" s="1"/>
  <c r="K46" i="1" s="1"/>
  <c r="K47" i="1" s="1"/>
  <c r="C36" i="1"/>
  <c r="J36" i="1"/>
  <c r="B36" i="1"/>
  <c r="B44" i="1" s="1"/>
  <c r="B46" i="1" s="1"/>
  <c r="I36" i="1"/>
  <c r="I44" i="1" s="1"/>
  <c r="I46" i="1" s="1"/>
  <c r="I47" i="1" s="1"/>
  <c r="H36" i="1"/>
  <c r="H44" i="1" s="1"/>
  <c r="H46" i="1" s="1"/>
  <c r="H47" i="1" s="1"/>
  <c r="G36" i="1"/>
  <c r="G44" i="1" s="1"/>
  <c r="G46" i="1" s="1"/>
  <c r="G47" i="1" s="1"/>
  <c r="C32" i="1"/>
  <c r="M32" i="1" s="1"/>
  <c r="B47" i="1" l="1"/>
  <c r="C44" i="1"/>
  <c r="D46" i="1"/>
  <c r="C46" i="1" l="1"/>
  <c r="D47" i="1"/>
  <c r="C47" i="1" s="1"/>
  <c r="M46" i="1" l="1"/>
  <c r="M47" i="1" s="1"/>
  <c r="M53" i="1"/>
  <c r="M54" i="1" s="1"/>
</calcChain>
</file>

<file path=xl/sharedStrings.xml><?xml version="1.0" encoding="utf-8"?>
<sst xmlns="http://schemas.openxmlformats.org/spreadsheetml/2006/main" count="66" uniqueCount="59">
  <si>
    <t>Negro = dato real   |   Azul = OSPIF Córdoba   |   Amarillo = completar</t>
  </si>
  <si>
    <t>CONCEPTO</t>
  </si>
  <si>
    <t>OSPEVIC</t>
  </si>
  <si>
    <t>OSPIF</t>
  </si>
  <si>
    <t>OSPLYFC</t>
  </si>
  <si>
    <t>OSPM</t>
  </si>
  <si>
    <t>OSSURRBAC</t>
  </si>
  <si>
    <t>UOM</t>
  </si>
  <si>
    <t>OTRAS FC</t>
  </si>
  <si>
    <t>TOTAL</t>
  </si>
  <si>
    <t>General</t>
  </si>
  <si>
    <t>Total</t>
  </si>
  <si>
    <t>Córdoba</t>
  </si>
  <si>
    <t>Santa Fe</t>
  </si>
  <si>
    <t>Bah.Blanca</t>
  </si>
  <si>
    <t>Auditoría</t>
  </si>
  <si>
    <t xml:space="preserve">  INGRESOS</t>
  </si>
  <si>
    <t xml:space="preserve">  Cantidad de Afiliados</t>
  </si>
  <si>
    <t xml:space="preserve">  Costo de la Cápita ($)</t>
  </si>
  <si>
    <t xml:space="preserve">  Subtotal Cápita</t>
  </si>
  <si>
    <t xml:space="preserve">  Facturado / Dev.</t>
  </si>
  <si>
    <t xml:space="preserve">  Notas de Crédito / Débito</t>
  </si>
  <si>
    <t>INGRESOS NETOS</t>
  </si>
  <si>
    <t xml:space="preserve">  Ambulatorio</t>
  </si>
  <si>
    <t xml:space="preserve">  Internado</t>
  </si>
  <si>
    <t xml:space="preserve">  Capitado (incl. Cápitas a prestadores)</t>
  </si>
  <si>
    <t xml:space="preserve">  Traslado</t>
  </si>
  <si>
    <t xml:space="preserve">  Intereses</t>
  </si>
  <si>
    <t xml:space="preserve">  Refacturación</t>
  </si>
  <si>
    <t xml:space="preserve">  Prótesis</t>
  </si>
  <si>
    <t xml:space="preserve">  Sin clasificación</t>
  </si>
  <si>
    <t xml:space="preserve">    Déb. Administrativo (ref.)</t>
  </si>
  <si>
    <t xml:space="preserve">    Déb. Médico (ref.)</t>
  </si>
  <si>
    <t xml:space="preserve">  * Débitos ya descontados del A Pagar — se muestran como referencia</t>
  </si>
  <si>
    <t>TOTAL EGRESOS DIRECTOS</t>
  </si>
  <si>
    <t>SUBTOTAL OPERATIVO  (Ingresos − Egresos Directos)</t>
  </si>
  <si>
    <t xml:space="preserve">  EGRESOS INDIRECTOS (Costos Fijos)</t>
  </si>
  <si>
    <t xml:space="preserve">  Ingresar el TOTAL — se distribuye automáticamente por % de ingresos netos</t>
  </si>
  <si>
    <t xml:space="preserve">  Sueldos y cargas sociales</t>
  </si>
  <si>
    <t xml:space="preserve">  Centro Medico Russito</t>
  </si>
  <si>
    <t xml:space="preserve">  Servicios (luz / gas / internet/micam/limpieza)</t>
  </si>
  <si>
    <t xml:space="preserve">  Honorarios administración</t>
  </si>
  <si>
    <t xml:space="preserve">  Otros gastos fijos (Reintegros)</t>
  </si>
  <si>
    <t xml:space="preserve">    MUSCARELO</t>
  </si>
  <si>
    <t>TOTAL COSTOS FIJOS</t>
  </si>
  <si>
    <t>RESULTADO NETO</t>
  </si>
  <si>
    <t xml:space="preserve">  Margen %</t>
  </si>
  <si>
    <t>AMSURRBAC</t>
  </si>
  <si>
    <t xml:space="preserve">  Otros Servicios / Auditoría UOM / FC ossurrbac / AMSURRBAC</t>
  </si>
  <si>
    <t>Refuerzo capita</t>
  </si>
  <si>
    <t xml:space="preserve">IVA </t>
  </si>
  <si>
    <t>Municipalidad</t>
  </si>
  <si>
    <t xml:space="preserve">RESULTADO NETO ANTES DE IMPUESTOS </t>
  </si>
  <si>
    <t xml:space="preserve">  Gastos (auditoria padron) </t>
  </si>
  <si>
    <t>Impuesto IIBB 03/2026</t>
  </si>
  <si>
    <t>GRIFF SALUD — Estado de Resultado  |  MARZO 2026  |  Costos reales planilla</t>
  </si>
  <si>
    <t xml:space="preserve">  EGRESOS DIRECTOS — Costos reales planilla (total $276.849.479,80 cuadrado con dinámica)</t>
  </si>
  <si>
    <t xml:space="preserve">  Alquiler y Gastos 27 de Abril </t>
  </si>
  <si>
    <t>MARKETING (MARZO)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</si>
</sst>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-&quot;"/>
    <numFmt numFmtId="165" formatCode="0.0%;\(0.0%\)"/>
  </numFmts>
  <fonts count="2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666666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1A237E"/>
      <name val="Arial"/>
    </font>
    <font>
      <b/>
      <sz val="10"/>
      <color rgb="FF1A4731"/>
      <name val="Arial"/>
    </font>
    <font>
      <b/>
      <sz val="10"/>
      <color rgb="FF1A237E"/>
      <name val="Arial"/>
    </font>
    <font>
      <sz val="10"/>
      <color rgb="FF1A4731"/>
      <name val="Arial"/>
    </font>
    <font>
      <sz val="10"/>
      <color rgb="FFB71C1C"/>
      <name val="Arial"/>
    </font>
    <font>
      <sz val="10"/>
      <color rgb="FFE65100"/>
      <name val="Arial"/>
    </font>
    <font>
      <sz val="10"/>
      <color rgb="FF5D4037"/>
      <name val="Arial"/>
    </font>
    <font>
      <sz val="10"/>
      <color rgb="FF6A1B9A"/>
      <name val="Arial"/>
    </font>
    <font>
      <sz val="10"/>
      <color rgb="FF455A64"/>
      <name val="Arial"/>
    </font>
    <font>
      <b/>
      <sz val="10"/>
      <color rgb="FFB71C1C"/>
      <name val="Arial"/>
    </font>
    <font>
      <b/>
      <sz val="12"/>
      <color rgb="FF1A4731"/>
      <name val="Arial"/>
    </font>
    <font>
      <i/>
      <sz val="8"/>
      <color rgb="FF555555"/>
      <name val="Arial"/>
    </font>
    <font>
      <sz val="10"/>
      <color rgb="FF999999"/>
      <name val="Arial"/>
    </font>
    <font>
      <b/>
      <sz val="10"/>
      <color rgb="FFE65100"/>
      <name val="Arial"/>
    </font>
    <font>
      <b/>
      <sz val="12"/>
      <color rgb="FFFFFFFF"/>
      <name val="Arial"/>
    </font>
    <font>
      <sz val="10"/>
      <color rgb="FF0000CC"/>
      <name val="Arial"/>
      <family val="2"/>
    </font>
    <font>
      <sz val="10"/>
      <color rgb="FF1A237E"/>
      <name val="Arial"/>
      <family val="2"/>
    </font>
    <font>
      <sz val="10"/>
      <color rgb="FF000000"/>
      <name val="Arial"/>
      <family val="2"/>
    </font>
    <font>
      <sz val="10"/>
      <color rgb="FFE65100"/>
      <name val="Arial"/>
      <family val="2"/>
    </font>
    <font>
      <b/>
      <i/>
      <sz val="8"/>
      <color rgb="FF999999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A4731"/>
      </patternFill>
    </fill>
    <fill>
      <patternFill patternType="solid">
        <fgColor rgb="FFF9F9F9"/>
      </patternFill>
    </fill>
    <fill>
      <patternFill patternType="solid">
        <fgColor rgb="FF455A64"/>
      </patternFill>
    </fill>
    <fill>
      <patternFill patternType="solid">
        <fgColor rgb="FF1A237E"/>
      </patternFill>
    </fill>
    <fill>
      <patternFill patternType="solid">
        <fgColor rgb="FF3949AB"/>
      </patternFill>
    </fill>
    <fill>
      <patternFill patternType="solid">
        <fgColor rgb="FF2E7D52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D6EFE0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FEBEE"/>
      </patternFill>
    </fill>
    <fill>
      <patternFill patternType="solid">
        <fgColor rgb="FFB71C1C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AFAFA"/>
      </patternFill>
    </fill>
    <fill>
      <patternFill patternType="solid">
        <fgColor rgb="FFFFF9C4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6" fillId="8" borderId="1" xfId="0" applyFont="1" applyFill="1" applyBorder="1" applyAlignment="1">
      <alignment horizontal="left" vertical="center"/>
    </xf>
    <xf numFmtId="164" fontId="6" fillId="8" borderId="1" xfId="0" applyNumberFormat="1" applyFont="1" applyFill="1" applyBorder="1" applyAlignment="1">
      <alignment horizontal="right" vertical="center"/>
    </xf>
    <xf numFmtId="164" fontId="7" fillId="9" borderId="1" xfId="0" applyNumberFormat="1" applyFont="1" applyFill="1" applyBorder="1" applyAlignment="1">
      <alignment horizontal="right" vertical="center"/>
    </xf>
    <xf numFmtId="164" fontId="6" fillId="9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left" vertical="center"/>
    </xf>
    <xf numFmtId="164" fontId="8" fillId="10" borderId="1" xfId="0" applyNumberFormat="1" applyFont="1" applyFill="1" applyBorder="1" applyAlignment="1">
      <alignment horizontal="right" vertical="center"/>
    </xf>
    <xf numFmtId="164" fontId="9" fillId="9" borderId="1" xfId="0" applyNumberFormat="1" applyFont="1" applyFill="1" applyBorder="1" applyAlignment="1">
      <alignment horizontal="right" vertical="center"/>
    </xf>
    <xf numFmtId="164" fontId="8" fillId="9" borderId="1" xfId="0" applyNumberFormat="1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left" vertical="center"/>
    </xf>
    <xf numFmtId="164" fontId="10" fillId="11" borderId="1" xfId="0" applyNumberFormat="1" applyFont="1" applyFill="1" applyBorder="1" applyAlignment="1">
      <alignment horizontal="right" vertical="center"/>
    </xf>
    <xf numFmtId="164" fontId="10" fillId="9" borderId="1" xfId="0" applyNumberFormat="1" applyFont="1" applyFill="1" applyBorder="1" applyAlignment="1">
      <alignment horizontal="right" vertical="center"/>
    </xf>
    <xf numFmtId="0" fontId="6" fillId="12" borderId="1" xfId="0" applyFont="1" applyFill="1" applyBorder="1" applyAlignment="1">
      <alignment horizontal="left" vertical="center"/>
    </xf>
    <xf numFmtId="164" fontId="6" fillId="12" borderId="1" xfId="0" applyNumberFormat="1" applyFont="1" applyFill="1" applyBorder="1" applyAlignment="1">
      <alignment horizontal="right" vertical="center"/>
    </xf>
    <xf numFmtId="0" fontId="11" fillId="13" borderId="1" xfId="0" applyFont="1" applyFill="1" applyBorder="1" applyAlignment="1">
      <alignment horizontal="left" vertical="center"/>
    </xf>
    <xf numFmtId="164" fontId="11" fillId="13" borderId="1" xfId="0" applyNumberFormat="1" applyFont="1" applyFill="1" applyBorder="1" applyAlignment="1">
      <alignment horizontal="right" vertical="center"/>
    </xf>
    <xf numFmtId="164" fontId="11" fillId="9" borderId="1" xfId="0" applyNumberFormat="1" applyFont="1" applyFill="1" applyBorder="1" applyAlignment="1">
      <alignment horizontal="right" vertical="center"/>
    </xf>
    <xf numFmtId="0" fontId="5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10" fillId="10" borderId="1" xfId="0" applyFont="1" applyFill="1" applyBorder="1" applyAlignment="1">
      <alignment horizontal="left" vertical="center"/>
    </xf>
    <xf numFmtId="164" fontId="10" fillId="10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/>
    </xf>
    <xf numFmtId="0" fontId="12" fillId="15" borderId="1" xfId="0" applyFont="1" applyFill="1" applyBorder="1" applyAlignment="1">
      <alignment horizontal="left" vertical="center"/>
    </xf>
    <xf numFmtId="164" fontId="12" fillId="15" borderId="1" xfId="0" applyNumberFormat="1" applyFont="1" applyFill="1" applyBorder="1" applyAlignment="1">
      <alignment horizontal="right" vertical="center"/>
    </xf>
    <xf numFmtId="164" fontId="12" fillId="9" borderId="1" xfId="0" applyNumberFormat="1" applyFont="1" applyFill="1" applyBorder="1" applyAlignment="1">
      <alignment horizontal="right" vertical="center"/>
    </xf>
    <xf numFmtId="0" fontId="13" fillId="12" borderId="1" xfId="0" applyFont="1" applyFill="1" applyBorder="1" applyAlignment="1">
      <alignment horizontal="left" vertical="center"/>
    </xf>
    <xf numFmtId="164" fontId="13" fillId="12" borderId="1" xfId="0" applyNumberFormat="1" applyFont="1" applyFill="1" applyBorder="1" applyAlignment="1">
      <alignment horizontal="right" vertical="center"/>
    </xf>
    <xf numFmtId="164" fontId="13" fillId="9" borderId="1" xfId="0" applyNumberFormat="1" applyFont="1" applyFill="1" applyBorder="1" applyAlignment="1">
      <alignment horizontal="right" vertical="center"/>
    </xf>
    <xf numFmtId="0" fontId="14" fillId="16" borderId="1" xfId="0" applyFont="1" applyFill="1" applyBorder="1" applyAlignment="1">
      <alignment horizontal="left" vertical="center"/>
    </xf>
    <xf numFmtId="164" fontId="14" fillId="16" borderId="1" xfId="0" applyNumberFormat="1" applyFont="1" applyFill="1" applyBorder="1" applyAlignment="1">
      <alignment horizontal="right" vertical="center"/>
    </xf>
    <xf numFmtId="164" fontId="14" fillId="9" borderId="1" xfId="0" applyNumberFormat="1" applyFont="1" applyFill="1" applyBorder="1" applyAlignment="1">
      <alignment horizontal="right" vertical="center"/>
    </xf>
    <xf numFmtId="0" fontId="15" fillId="17" borderId="1" xfId="0" applyFont="1" applyFill="1" applyBorder="1" applyAlignment="1">
      <alignment horizontal="left" vertical="center"/>
    </xf>
    <xf numFmtId="164" fontId="15" fillId="17" borderId="1" xfId="0" applyNumberFormat="1" applyFont="1" applyFill="1" applyBorder="1" applyAlignment="1">
      <alignment horizontal="right" vertical="center"/>
    </xf>
    <xf numFmtId="164" fontId="15" fillId="9" borderId="1" xfId="0" applyNumberFormat="1" applyFont="1" applyFill="1" applyBorder="1" applyAlignment="1">
      <alignment horizontal="right" vertical="center"/>
    </xf>
    <xf numFmtId="0" fontId="13" fillId="15" borderId="1" xfId="0" applyFont="1" applyFill="1" applyBorder="1" applyAlignment="1">
      <alignment horizontal="left" vertical="center"/>
    </xf>
    <xf numFmtId="164" fontId="13" fillId="15" borderId="1" xfId="0" applyNumberFormat="1" applyFont="1" applyFill="1" applyBorder="1" applyAlignment="1">
      <alignment horizontal="right" vertical="center"/>
    </xf>
    <xf numFmtId="0" fontId="0" fillId="18" borderId="1" xfId="0" applyFill="1" applyBorder="1"/>
    <xf numFmtId="0" fontId="16" fillId="13" borderId="1" xfId="0" applyFont="1" applyFill="1" applyBorder="1" applyAlignment="1">
      <alignment horizontal="left" vertical="center"/>
    </xf>
    <xf numFmtId="164" fontId="16" fillId="13" borderId="1" xfId="0" applyNumberFormat="1" applyFont="1" applyFill="1" applyBorder="1" applyAlignment="1">
      <alignment horizontal="right" vertical="center"/>
    </xf>
    <xf numFmtId="164" fontId="17" fillId="10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6" fillId="19" borderId="1" xfId="0" applyFont="1" applyFill="1" applyBorder="1" applyAlignment="1">
      <alignment horizontal="left" vertical="center"/>
    </xf>
    <xf numFmtId="164" fontId="6" fillId="19" borderId="1" xfId="0" applyNumberFormat="1" applyFont="1" applyFill="1" applyBorder="1" applyAlignment="1">
      <alignment horizontal="right" vertical="center"/>
    </xf>
    <xf numFmtId="0" fontId="12" fillId="19" borderId="1" xfId="0" applyFont="1" applyFill="1" applyBorder="1" applyAlignment="1">
      <alignment horizontal="left" vertical="center"/>
    </xf>
    <xf numFmtId="164" fontId="19" fillId="19" borderId="1" xfId="0" applyNumberFormat="1" applyFont="1" applyFill="1" applyBorder="1" applyAlignment="1">
      <alignment horizontal="right" vertical="center"/>
    </xf>
    <xf numFmtId="164" fontId="20" fillId="19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21" fillId="2" borderId="1" xfId="0" applyNumberFormat="1" applyFont="1" applyFill="1" applyBorder="1" applyAlignment="1">
      <alignment horizontal="right" vertical="center"/>
    </xf>
    <xf numFmtId="164" fontId="21" fillId="6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5" fontId="8" fillId="10" borderId="1" xfId="0" applyNumberFormat="1" applyFont="1" applyFill="1" applyBorder="1" applyAlignment="1">
      <alignment horizontal="right" vertical="center"/>
    </xf>
    <xf numFmtId="165" fontId="9" fillId="9" borderId="1" xfId="0" applyNumberFormat="1" applyFont="1" applyFill="1" applyBorder="1" applyAlignment="1">
      <alignment horizontal="right" vertical="center"/>
    </xf>
    <xf numFmtId="4" fontId="0" fillId="0" borderId="0" xfId="0" applyNumberFormat="1"/>
    <xf numFmtId="0" fontId="9" fillId="9" borderId="0" xfId="0" applyFont="1" applyFill="1" applyBorder="1" applyAlignment="1">
      <alignment horizontal="left" vertical="center"/>
    </xf>
    <xf numFmtId="164" fontId="9" fillId="9" borderId="0" xfId="0" applyNumberFormat="1" applyFont="1" applyFill="1" applyBorder="1" applyAlignment="1">
      <alignment horizontal="right" vertical="center"/>
    </xf>
    <xf numFmtId="0" fontId="9" fillId="9" borderId="2" xfId="0" applyFont="1" applyFill="1" applyBorder="1" applyAlignment="1">
      <alignment horizontal="left" vertical="center"/>
    </xf>
    <xf numFmtId="164" fontId="9" fillId="9" borderId="2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164" fontId="22" fillId="19" borderId="1" xfId="0" applyNumberFormat="1" applyFont="1" applyFill="1" applyBorder="1" applyAlignment="1">
      <alignment horizontal="right" vertical="center"/>
    </xf>
    <xf numFmtId="164" fontId="23" fillId="9" borderId="1" xfId="0" applyNumberFormat="1" applyFont="1" applyFill="1" applyBorder="1" applyAlignment="1">
      <alignment horizontal="right" vertical="center"/>
    </xf>
    <xf numFmtId="164" fontId="24" fillId="9" borderId="1" xfId="0" applyNumberFormat="1" applyFont="1" applyFill="1" applyBorder="1" applyAlignment="1">
      <alignment horizontal="right" vertical="center"/>
    </xf>
    <xf numFmtId="164" fontId="24" fillId="8" borderId="1" xfId="0" applyNumberFormat="1" applyFont="1" applyFill="1" applyBorder="1" applyAlignment="1">
      <alignment horizontal="right" vertical="center"/>
    </xf>
    <xf numFmtId="0" fontId="24" fillId="19" borderId="1" xfId="0" applyFont="1" applyFill="1" applyBorder="1" applyAlignment="1">
      <alignment horizontal="left" vertical="center"/>
    </xf>
    <xf numFmtId="0" fontId="25" fillId="19" borderId="1" xfId="0" applyFont="1" applyFill="1" applyBorder="1" applyAlignment="1">
      <alignment horizontal="left" vertical="center"/>
    </xf>
    <xf numFmtId="0" fontId="26" fillId="1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P54"/>
  <sheetViews>
    <sheetView tabSelected="1" workbookViewId="0">
      <pane xSplit="1" ySplit="4" topLeftCell="B26" activePane="bottomRight" state="frozen"/>
      <selection pane="topRight"/>
      <selection pane="bottomLeft"/>
      <selection pane="bottomRight" activeCell="B32" sqref="B32"/>
    </sheetView>
  </sheetViews>
  <sheetFormatPr baseColWidth="10" defaultColWidth="8.88671875" defaultRowHeight="14.4" outlineLevelCol="1" x14ac:dyDescent="0.3"/>
  <cols>
    <col min="1" max="1" width="44" customWidth="1"/>
    <col min="2" max="2" width="17" customWidth="1"/>
    <col min="3" max="3" width="14" customWidth="1"/>
    <col min="4" max="4" width="13" customWidth="1" outlineLevel="1"/>
    <col min="5" max="5" width="12.109375" customWidth="1" outlineLevel="1"/>
    <col min="6" max="6" width="11" customWidth="1" outlineLevel="1"/>
    <col min="7" max="7" width="14" customWidth="1"/>
    <col min="8" max="8" width="13" customWidth="1"/>
    <col min="9" max="11" width="14" customWidth="1"/>
    <col min="12" max="12" width="12" hidden="1" customWidth="1"/>
    <col min="13" max="13" width="17" customWidth="1"/>
    <col min="15" max="15" width="13.5546875" bestFit="1" customWidth="1"/>
    <col min="16" max="16" width="11.5546875" bestFit="1" customWidth="1"/>
  </cols>
  <sheetData>
    <row r="1" spans="1:13" ht="31.95" customHeight="1" x14ac:dyDescent="0.3">
      <c r="A1" s="70" t="s">
        <v>55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2"/>
    </row>
    <row r="2" spans="1:13" ht="13.95" customHeight="1" x14ac:dyDescent="0.3">
      <c r="A2" s="73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5"/>
    </row>
    <row r="3" spans="1:13" ht="22.05" customHeight="1" x14ac:dyDescent="0.3">
      <c r="A3" s="69" t="s">
        <v>1</v>
      </c>
      <c r="B3" s="68" t="s">
        <v>2</v>
      </c>
      <c r="C3" s="76" t="s">
        <v>3</v>
      </c>
      <c r="D3" s="77"/>
      <c r="E3" s="77"/>
      <c r="F3" s="77"/>
      <c r="G3" s="69" t="s">
        <v>4</v>
      </c>
      <c r="H3" s="69" t="s">
        <v>5</v>
      </c>
      <c r="I3" s="69" t="s">
        <v>6</v>
      </c>
      <c r="J3" s="1" t="s">
        <v>47</v>
      </c>
      <c r="K3" s="69" t="s">
        <v>7</v>
      </c>
      <c r="L3" s="69" t="s">
        <v>8</v>
      </c>
      <c r="M3" s="68" t="s">
        <v>9</v>
      </c>
    </row>
    <row r="4" spans="1:13" ht="19.95" customHeight="1" x14ac:dyDescent="0.3">
      <c r="A4" s="3"/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3" t="s">
        <v>10</v>
      </c>
      <c r="H4" s="3" t="s">
        <v>10</v>
      </c>
      <c r="I4" s="3" t="s">
        <v>10</v>
      </c>
      <c r="J4" s="3" t="s">
        <v>10</v>
      </c>
      <c r="K4" s="3" t="s">
        <v>15</v>
      </c>
      <c r="L4" s="3" t="s">
        <v>10</v>
      </c>
      <c r="M4" s="4" t="s">
        <v>10</v>
      </c>
    </row>
    <row r="6" spans="1:13" ht="19.95" customHeight="1" x14ac:dyDescent="0.3">
      <c r="A6" s="6" t="s">
        <v>16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16.95" customHeight="1" x14ac:dyDescent="0.3">
      <c r="A7" s="8" t="s">
        <v>17</v>
      </c>
      <c r="B7" s="78">
        <v>8893</v>
      </c>
      <c r="C7" s="79">
        <f>+D7+E7</f>
        <v>4559</v>
      </c>
      <c r="D7" s="78">
        <v>3072</v>
      </c>
      <c r="E7" s="78">
        <v>1487</v>
      </c>
      <c r="F7" s="78">
        <v>4109</v>
      </c>
      <c r="G7" s="78">
        <v>966</v>
      </c>
      <c r="H7" s="78">
        <v>0</v>
      </c>
      <c r="I7" s="78">
        <v>317</v>
      </c>
      <c r="J7" s="9"/>
      <c r="K7" s="9">
        <v>0</v>
      </c>
      <c r="L7" s="9">
        <v>0</v>
      </c>
      <c r="M7" s="9">
        <f>B7+C7+G7+H7+I7+K7+L7+J7</f>
        <v>14735</v>
      </c>
    </row>
    <row r="8" spans="1:13" ht="16.95" customHeight="1" x14ac:dyDescent="0.3">
      <c r="A8" s="8" t="s">
        <v>18</v>
      </c>
      <c r="B8" s="78">
        <v>21934.95</v>
      </c>
      <c r="C8" s="80">
        <v>23000</v>
      </c>
      <c r="D8" s="78">
        <v>23000</v>
      </c>
      <c r="E8" s="78">
        <v>23000</v>
      </c>
      <c r="F8" s="78">
        <v>0</v>
      </c>
      <c r="G8" s="78">
        <v>18771.39</v>
      </c>
      <c r="H8" s="78">
        <v>0</v>
      </c>
      <c r="I8" s="78">
        <v>23005.72</v>
      </c>
      <c r="J8" s="12"/>
      <c r="K8" s="12">
        <v>0</v>
      </c>
      <c r="L8" s="12">
        <v>0</v>
      </c>
      <c r="M8" s="12">
        <f>B8+C8+G8+H8+I8+K8+L8+J8</f>
        <v>86712.06</v>
      </c>
    </row>
    <row r="9" spans="1:13" ht="18" customHeight="1" x14ac:dyDescent="0.3">
      <c r="A9" s="13" t="s">
        <v>19</v>
      </c>
      <c r="B9" s="14">
        <f>+B7*B8</f>
        <v>195067510.34999999</v>
      </c>
      <c r="C9" s="15">
        <f t="shared" ref="C9:C11" si="0">D9+E9+F9</f>
        <v>104857000</v>
      </c>
      <c r="D9" s="16">
        <f>+D7*D8</f>
        <v>70656000</v>
      </c>
      <c r="E9" s="16">
        <f>+E7*E8</f>
        <v>34201000</v>
      </c>
      <c r="F9" s="16">
        <f>+F7*F8</f>
        <v>0</v>
      </c>
      <c r="G9" s="14">
        <v>18221451.359999999</v>
      </c>
      <c r="H9" s="14">
        <v>0</v>
      </c>
      <c r="I9" s="14">
        <v>7499865</v>
      </c>
      <c r="J9" s="14"/>
      <c r="K9" s="14">
        <v>0</v>
      </c>
      <c r="L9" s="14">
        <v>0</v>
      </c>
      <c r="M9" s="14">
        <f>B9+C9+G9+H9+I9+K9+L9+J9</f>
        <v>325645826.71000004</v>
      </c>
    </row>
    <row r="10" spans="1:13" ht="16.95" customHeight="1" x14ac:dyDescent="0.3">
      <c r="A10" s="17" t="s">
        <v>49</v>
      </c>
      <c r="B10" s="18">
        <v>12000000</v>
      </c>
      <c r="C10" s="10">
        <f t="shared" si="0"/>
        <v>0</v>
      </c>
      <c r="D10" s="19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/>
      <c r="K10" s="18">
        <v>0</v>
      </c>
      <c r="L10" s="18">
        <v>0</v>
      </c>
      <c r="M10" s="18">
        <f>B10+C10+G10+H10+I10+K10+L10</f>
        <v>12000000</v>
      </c>
    </row>
    <row r="11" spans="1:13" ht="16.95" customHeight="1" x14ac:dyDescent="0.3">
      <c r="A11" s="20" t="s">
        <v>20</v>
      </c>
      <c r="B11" s="21">
        <v>0</v>
      </c>
      <c r="C11" s="10">
        <f t="shared" si="0"/>
        <v>0</v>
      </c>
      <c r="D11" s="1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/>
      <c r="K11" s="21">
        <v>0</v>
      </c>
      <c r="L11" s="21">
        <v>0</v>
      </c>
      <c r="M11" s="21">
        <f>B11+C11+G11+H11+I11+K11+L11</f>
        <v>0</v>
      </c>
    </row>
    <row r="12" spans="1:13" ht="16.95" customHeight="1" x14ac:dyDescent="0.3">
      <c r="A12" s="22" t="s">
        <v>21</v>
      </c>
      <c r="B12" s="23">
        <v>-23557895.91</v>
      </c>
      <c r="C12" s="10"/>
      <c r="D12" s="24"/>
      <c r="E12" s="23"/>
      <c r="F12" s="23"/>
      <c r="G12" s="23"/>
      <c r="H12" s="23"/>
      <c r="I12" s="23"/>
      <c r="J12" s="23"/>
      <c r="K12" s="23"/>
      <c r="L12" s="23">
        <v>0</v>
      </c>
      <c r="M12" s="23">
        <f>B12+C12+G12+H12+I12+K12+L12</f>
        <v>-23557895.91</v>
      </c>
    </row>
    <row r="13" spans="1:13" ht="16.95" customHeight="1" x14ac:dyDescent="0.3">
      <c r="A13" s="8" t="s">
        <v>48</v>
      </c>
      <c r="B13" s="9"/>
      <c r="C13" s="10">
        <f>5600000+8977254.16+6061098.37</f>
        <v>20638352.530000001</v>
      </c>
      <c r="D13" s="11"/>
      <c r="E13" s="9"/>
      <c r="F13" s="9"/>
      <c r="G13" s="9">
        <v>1879283.16</v>
      </c>
      <c r="H13" s="9">
        <v>6053382.0700000003</v>
      </c>
      <c r="I13" s="9">
        <v>5812890.8600000003</v>
      </c>
      <c r="J13" s="9">
        <v>5793567.1200000001</v>
      </c>
      <c r="K13" s="9">
        <v>7023340.5</v>
      </c>
      <c r="L13" s="9">
        <v>0</v>
      </c>
      <c r="M13" s="9">
        <f>B13+C13+G13+H13+I13+K13+L13+J13</f>
        <v>47200816.240000002</v>
      </c>
    </row>
    <row r="14" spans="1:13" ht="19.95" customHeight="1" x14ac:dyDescent="0.3">
      <c r="A14" s="13" t="s">
        <v>22</v>
      </c>
      <c r="B14" s="14">
        <f>+B9+B10+B11+B12+B13</f>
        <v>183509614.44</v>
      </c>
      <c r="C14" s="14">
        <f t="shared" ref="C14:L14" si="1">+C9+C10+C11+C12+C13</f>
        <v>125495352.53</v>
      </c>
      <c r="D14" s="14">
        <f t="shared" si="1"/>
        <v>70656000</v>
      </c>
      <c r="E14" s="14">
        <f t="shared" si="1"/>
        <v>34201000</v>
      </c>
      <c r="F14" s="14">
        <f t="shared" si="1"/>
        <v>0</v>
      </c>
      <c r="G14" s="14">
        <f t="shared" si="1"/>
        <v>20100734.52</v>
      </c>
      <c r="H14" s="14">
        <f t="shared" si="1"/>
        <v>6053382.0700000003</v>
      </c>
      <c r="I14" s="14">
        <f t="shared" si="1"/>
        <v>13312755.859999999</v>
      </c>
      <c r="J14" s="14">
        <f t="shared" si="1"/>
        <v>5793567.1200000001</v>
      </c>
      <c r="K14" s="14">
        <f t="shared" si="1"/>
        <v>7023340.5</v>
      </c>
      <c r="L14" s="14">
        <f t="shared" si="1"/>
        <v>0</v>
      </c>
      <c r="M14" s="14">
        <f>B14+C14+G14+H14+I14+K14+L14+J14</f>
        <v>361288747.04000002</v>
      </c>
    </row>
    <row r="16" spans="1:13" ht="19.95" customHeight="1" x14ac:dyDescent="0.3">
      <c r="A16" s="25" t="s">
        <v>56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1:16" ht="16.95" customHeight="1" x14ac:dyDescent="0.3">
      <c r="A17" s="27" t="s">
        <v>23</v>
      </c>
      <c r="B17" s="28">
        <v>70079655.350000009</v>
      </c>
      <c r="C17" s="10">
        <v>39495998.880000003</v>
      </c>
      <c r="D17" s="19"/>
      <c r="E17" s="28"/>
      <c r="F17" s="28"/>
      <c r="G17" s="28">
        <v>5331465.2200000007</v>
      </c>
      <c r="H17" s="28">
        <v>1044242.6499999999</v>
      </c>
      <c r="I17" s="28">
        <v>671540.92</v>
      </c>
      <c r="J17" s="28"/>
      <c r="K17" s="28">
        <v>0</v>
      </c>
      <c r="L17" s="28">
        <v>0</v>
      </c>
      <c r="M17" s="28">
        <f t="shared" ref="M17:M27" si="2">B17+C17+G17+H17+I17+K17+L17</f>
        <v>116622903.02000003</v>
      </c>
    </row>
    <row r="18" spans="1:16" ht="16.95" customHeight="1" x14ac:dyDescent="0.3">
      <c r="A18" s="29" t="s">
        <v>24</v>
      </c>
      <c r="B18" s="10">
        <v>97346952.370000005</v>
      </c>
      <c r="C18" s="10">
        <v>38270413.189999998</v>
      </c>
      <c r="D18" s="10"/>
      <c r="E18" s="10"/>
      <c r="F18" s="10"/>
      <c r="G18" s="10">
        <v>686461.79</v>
      </c>
      <c r="H18" s="10">
        <v>1320000</v>
      </c>
      <c r="I18" s="10">
        <v>2240000</v>
      </c>
      <c r="J18" s="10"/>
      <c r="K18" s="10">
        <v>0</v>
      </c>
      <c r="L18" s="10">
        <v>0</v>
      </c>
      <c r="M18" s="10">
        <f t="shared" si="2"/>
        <v>139863827.34999999</v>
      </c>
    </row>
    <row r="19" spans="1:16" ht="16.95" customHeight="1" x14ac:dyDescent="0.3">
      <c r="A19" s="30" t="s">
        <v>25</v>
      </c>
      <c r="B19" s="31">
        <v>9297099.2100000009</v>
      </c>
      <c r="C19" s="10">
        <v>5079550.54</v>
      </c>
      <c r="D19" s="32"/>
      <c r="E19" s="31"/>
      <c r="F19" s="31"/>
      <c r="G19" s="31">
        <v>771396.24</v>
      </c>
      <c r="H19" s="31"/>
      <c r="I19" s="31">
        <v>303508.47999999998</v>
      </c>
      <c r="J19" s="31"/>
      <c r="K19" s="31">
        <v>0</v>
      </c>
      <c r="L19" s="31">
        <v>0</v>
      </c>
      <c r="M19" s="31">
        <f t="shared" si="2"/>
        <v>15451554.470000001</v>
      </c>
    </row>
    <row r="20" spans="1:16" ht="16.95" customHeight="1" x14ac:dyDescent="0.3">
      <c r="A20" s="30" t="s">
        <v>26</v>
      </c>
      <c r="B20" s="31">
        <v>4508841.7700000005</v>
      </c>
      <c r="C20" s="10"/>
      <c r="D20" s="32"/>
      <c r="E20" s="31"/>
      <c r="F20" s="31"/>
      <c r="G20" s="31"/>
      <c r="H20" s="31"/>
      <c r="I20" s="31"/>
      <c r="J20" s="31"/>
      <c r="K20" s="31">
        <v>0</v>
      </c>
      <c r="L20" s="31">
        <v>0</v>
      </c>
      <c r="M20" s="31">
        <f t="shared" si="2"/>
        <v>4508841.7700000005</v>
      </c>
    </row>
    <row r="21" spans="1:16" ht="16.95" customHeight="1" x14ac:dyDescent="0.3">
      <c r="A21" s="33" t="s">
        <v>27</v>
      </c>
      <c r="B21" s="34"/>
      <c r="C21" s="10"/>
      <c r="D21" s="35"/>
      <c r="E21" s="34"/>
      <c r="F21" s="34"/>
      <c r="G21" s="34"/>
      <c r="H21" s="34"/>
      <c r="I21" s="34"/>
      <c r="J21" s="34"/>
      <c r="K21" s="34">
        <v>0</v>
      </c>
      <c r="L21" s="34">
        <v>0</v>
      </c>
      <c r="M21" s="34">
        <f t="shared" si="2"/>
        <v>0</v>
      </c>
    </row>
    <row r="22" spans="1:16" ht="16.95" customHeight="1" x14ac:dyDescent="0.3">
      <c r="A22" s="33" t="s">
        <v>28</v>
      </c>
      <c r="B22" s="34"/>
      <c r="C22" s="10">
        <v>20850.479999999981</v>
      </c>
      <c r="D22" s="35"/>
      <c r="E22" s="34"/>
      <c r="F22" s="34"/>
      <c r="G22" s="34">
        <v>31502.71</v>
      </c>
      <c r="H22" s="34"/>
      <c r="I22" s="34"/>
      <c r="J22" s="34"/>
      <c r="K22" s="34">
        <v>0</v>
      </c>
      <c r="L22" s="34">
        <v>0</v>
      </c>
      <c r="M22" s="34">
        <f t="shared" si="2"/>
        <v>52353.189999999981</v>
      </c>
    </row>
    <row r="23" spans="1:16" ht="16.95" customHeight="1" x14ac:dyDescent="0.3">
      <c r="A23" s="36" t="s">
        <v>29</v>
      </c>
      <c r="B23" s="37">
        <v>350000</v>
      </c>
      <c r="C23" s="10"/>
      <c r="D23" s="38"/>
      <c r="E23" s="37"/>
      <c r="F23" s="37"/>
      <c r="G23" s="37"/>
      <c r="H23" s="37"/>
      <c r="I23" s="37"/>
      <c r="J23" s="37"/>
      <c r="K23" s="37">
        <v>0</v>
      </c>
      <c r="L23" s="37">
        <v>0</v>
      </c>
      <c r="M23" s="37">
        <f t="shared" si="2"/>
        <v>350000</v>
      </c>
    </row>
    <row r="24" spans="1:16" ht="16.95" customHeight="1" x14ac:dyDescent="0.3">
      <c r="A24" s="39" t="s">
        <v>53</v>
      </c>
      <c r="B24" s="40"/>
      <c r="C24" s="10"/>
      <c r="D24" s="41"/>
      <c r="E24" s="40"/>
      <c r="F24" s="40"/>
      <c r="G24" s="40"/>
      <c r="H24" s="40"/>
      <c r="I24" s="40">
        <v>1510492.83</v>
      </c>
      <c r="J24" s="40"/>
      <c r="K24" s="40"/>
      <c r="L24" s="40">
        <v>0</v>
      </c>
      <c r="M24" s="40">
        <f t="shared" si="2"/>
        <v>1510492.83</v>
      </c>
    </row>
    <row r="25" spans="1:16" ht="16.95" customHeight="1" x14ac:dyDescent="0.3">
      <c r="A25" s="39" t="s">
        <v>30</v>
      </c>
      <c r="B25" s="40"/>
      <c r="C25" s="10"/>
      <c r="D25" s="41"/>
      <c r="E25" s="40"/>
      <c r="F25" s="40"/>
      <c r="G25" s="40"/>
      <c r="H25" s="40"/>
      <c r="I25" s="40"/>
      <c r="J25" s="40"/>
      <c r="K25" s="40">
        <v>0</v>
      </c>
      <c r="L25" s="40">
        <v>0</v>
      </c>
      <c r="M25" s="40">
        <f t="shared" si="2"/>
        <v>0</v>
      </c>
    </row>
    <row r="26" spans="1:16" ht="15" customHeight="1" x14ac:dyDescent="0.3">
      <c r="A26" s="42" t="s">
        <v>31</v>
      </c>
      <c r="B26" s="43">
        <v>1754746.52</v>
      </c>
      <c r="C26" s="10">
        <v>1742739.91</v>
      </c>
      <c r="G26" s="35">
        <v>858059.46</v>
      </c>
      <c r="H26" s="43">
        <v>34673.9</v>
      </c>
      <c r="I26" s="43">
        <v>18989.099999999999</v>
      </c>
      <c r="J26" s="43"/>
      <c r="K26" s="43">
        <v>0</v>
      </c>
      <c r="L26" s="43">
        <v>0</v>
      </c>
      <c r="M26" s="43">
        <f t="shared" si="2"/>
        <v>4409208.8899999997</v>
      </c>
    </row>
    <row r="27" spans="1:16" ht="15" customHeight="1" x14ac:dyDescent="0.3">
      <c r="A27" s="42" t="s">
        <v>32</v>
      </c>
      <c r="B27" s="43">
        <v>1575972.89</v>
      </c>
      <c r="C27" s="10">
        <v>1004896.87</v>
      </c>
      <c r="D27" s="35">
        <v>0</v>
      </c>
      <c r="E27" s="43">
        <v>0</v>
      </c>
      <c r="F27" s="43">
        <v>0</v>
      </c>
      <c r="G27" s="43"/>
      <c r="H27" s="43"/>
      <c r="I27" s="43"/>
      <c r="J27" s="43"/>
      <c r="K27" s="43">
        <v>0</v>
      </c>
      <c r="L27" s="43">
        <v>0</v>
      </c>
      <c r="M27" s="43">
        <f t="shared" si="2"/>
        <v>2580869.7599999998</v>
      </c>
    </row>
    <row r="28" spans="1:16" ht="12" customHeight="1" x14ac:dyDescent="0.3">
      <c r="A28" s="84" t="s">
        <v>33</v>
      </c>
      <c r="B28" s="44"/>
    </row>
    <row r="29" spans="1:16" x14ac:dyDescent="0.3">
      <c r="C29" s="44"/>
    </row>
    <row r="30" spans="1:16" ht="19.95" customHeight="1" x14ac:dyDescent="0.3">
      <c r="A30" s="45" t="s">
        <v>34</v>
      </c>
      <c r="B30" s="46">
        <f>B17+B18+B19+B20+B21+B22+B23+B24+B25</f>
        <v>181582548.70000005</v>
      </c>
      <c r="C30" s="46">
        <f>C17+C18+C19+C20+C21+C22+C23+C24+C25</f>
        <v>82866813.090000004</v>
      </c>
      <c r="D30" s="46">
        <f t="shared" ref="D30:L30" si="3">D17+D18+D19+D20+D21+D22+D23+D24+D25</f>
        <v>0</v>
      </c>
      <c r="E30" s="46">
        <f t="shared" si="3"/>
        <v>0</v>
      </c>
      <c r="F30" s="46">
        <f t="shared" si="3"/>
        <v>0</v>
      </c>
      <c r="G30" s="46">
        <f t="shared" si="3"/>
        <v>6820825.9600000009</v>
      </c>
      <c r="H30" s="46">
        <f t="shared" si="3"/>
        <v>2364242.65</v>
      </c>
      <c r="I30" s="46">
        <f t="shared" si="3"/>
        <v>4725542.2300000004</v>
      </c>
      <c r="J30" s="46"/>
      <c r="K30" s="46">
        <f t="shared" si="3"/>
        <v>0</v>
      </c>
      <c r="L30" s="46">
        <f t="shared" si="3"/>
        <v>0</v>
      </c>
      <c r="M30" s="46">
        <f>M17+M18+M19+M20+M21+M22+M23+M24+M25</f>
        <v>278359972.63</v>
      </c>
      <c r="O30" s="63"/>
      <c r="P30" s="63"/>
    </row>
    <row r="31" spans="1:16" x14ac:dyDescent="0.3">
      <c r="H31" s="63"/>
    </row>
    <row r="32" spans="1:16" ht="24" customHeight="1" x14ac:dyDescent="0.3">
      <c r="A32" s="13" t="s">
        <v>35</v>
      </c>
      <c r="B32" s="14">
        <f>B14-B30</f>
        <v>1927065.7399999499</v>
      </c>
      <c r="C32" s="15">
        <f>D32+E32+F32</f>
        <v>104857000</v>
      </c>
      <c r="D32" s="14">
        <f t="shared" ref="D32:I32" si="4">D14-D30</f>
        <v>70656000</v>
      </c>
      <c r="E32" s="14">
        <f t="shared" si="4"/>
        <v>34201000</v>
      </c>
      <c r="F32" s="14">
        <f t="shared" si="4"/>
        <v>0</v>
      </c>
      <c r="G32" s="14">
        <f t="shared" si="4"/>
        <v>13279908.559999999</v>
      </c>
      <c r="H32" s="14">
        <f t="shared" si="4"/>
        <v>3689139.4200000004</v>
      </c>
      <c r="I32" s="14">
        <f t="shared" si="4"/>
        <v>8587213.629999999</v>
      </c>
      <c r="J32" s="14"/>
      <c r="K32" s="14">
        <f>K14-K30</f>
        <v>7023340.5</v>
      </c>
      <c r="L32" s="14">
        <f>L14-L30</f>
        <v>0</v>
      </c>
      <c r="M32" s="47">
        <f>B32+C32+G32+H32+I32+K32+L32</f>
        <v>139363667.84999996</v>
      </c>
    </row>
    <row r="34" spans="1:13" ht="19.95" customHeight="1" x14ac:dyDescent="0.3">
      <c r="A34" s="48" t="s">
        <v>36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3.05" customHeight="1" x14ac:dyDescent="0.3">
      <c r="A35" s="49" t="s">
        <v>37</v>
      </c>
      <c r="B35" s="50"/>
    </row>
    <row r="36" spans="1:13" ht="16.95" customHeight="1" x14ac:dyDescent="0.3">
      <c r="A36" s="51" t="s">
        <v>38</v>
      </c>
      <c r="B36" s="81">
        <f>IF($M$14=0,0,B14/$M$14*$M$36)</f>
        <v>12604961.487246841</v>
      </c>
      <c r="C36" s="81">
        <f>IF($M$14=0,0,C14/$M$14*$M$36)</f>
        <v>8620061.081248248</v>
      </c>
      <c r="D36" s="81">
        <f>IF($M$14=0,0,D14/$M$14*$M$36)</f>
        <v>4853239.7692661881</v>
      </c>
      <c r="E36" s="81">
        <f>IF($M$14=0,0,E14/$M$14*$M$36)</f>
        <v>2349208.1825842517</v>
      </c>
      <c r="F36" s="81">
        <f>IF($M$14=0,0,F14/$M$14*$M$36)</f>
        <v>0</v>
      </c>
      <c r="G36" s="81">
        <f>IF($M$14=0,0,G14/$M$14*$M$36)</f>
        <v>1380685.0679903436</v>
      </c>
      <c r="H36" s="81">
        <f>IF($M$14=0,0,H14/$M$14*$M$36)</f>
        <v>415796.45890917804</v>
      </c>
      <c r="I36" s="81">
        <f>IF($M$14=0,0,I14/$M$14*$M$36)</f>
        <v>914430.42598340532</v>
      </c>
      <c r="J36" s="81">
        <f>IF($M$14=0,0,J14/$M$14*$M$36)</f>
        <v>397950.21445732814</v>
      </c>
      <c r="K36" s="81">
        <f>IF($M$14=0,0,K14/$M$14*$M$36)</f>
        <v>482421.24416465522</v>
      </c>
      <c r="L36" s="52">
        <v>0</v>
      </c>
      <c r="M36" s="78">
        <f>15716106.77+3863456.54+2963206.19+1080022.46+540011.23+650955.07+2547.72</f>
        <v>24816305.98</v>
      </c>
    </row>
    <row r="37" spans="1:13" ht="16.95" customHeight="1" x14ac:dyDescent="0.3">
      <c r="A37" s="51" t="s">
        <v>39</v>
      </c>
      <c r="B37" s="81">
        <f>IF($M$14=0,0,$B$14/$M$14*M37)</f>
        <v>630575.0348846073</v>
      </c>
      <c r="C37" s="81">
        <f>IF($M$14=0,0,C14/$M$14*$M$37)</f>
        <v>431226.65011829371</v>
      </c>
      <c r="D37" s="81">
        <f t="shared" ref="D37:K37" si="5">IF($M$14=0,0,D14/$M$14*$M$37)</f>
        <v>242787.87681380092</v>
      </c>
      <c r="E37" s="81">
        <f t="shared" si="5"/>
        <v>117521.34531970114</v>
      </c>
      <c r="F37" s="81">
        <f t="shared" si="5"/>
        <v>0</v>
      </c>
      <c r="G37" s="81">
        <f t="shared" si="5"/>
        <v>69070.067036184832</v>
      </c>
      <c r="H37" s="81">
        <f t="shared" si="5"/>
        <v>20800.608303867062</v>
      </c>
      <c r="I37" s="81">
        <f t="shared" si="5"/>
        <v>45745.240740912108</v>
      </c>
      <c r="J37" s="81">
        <f t="shared" si="5"/>
        <v>19907.833166936245</v>
      </c>
      <c r="K37" s="81">
        <f t="shared" si="5"/>
        <v>24133.575749198637</v>
      </c>
      <c r="L37" s="52"/>
      <c r="M37" s="52">
        <v>1241459.01</v>
      </c>
    </row>
    <row r="38" spans="1:13" ht="16.95" customHeight="1" x14ac:dyDescent="0.3">
      <c r="A38" s="82" t="s">
        <v>57</v>
      </c>
      <c r="B38" s="81">
        <f t="shared" ref="B38:C43" si="6">IF($M$14=0,0,$B$14/$M$14*M38)</f>
        <v>1359603.6774449372</v>
      </c>
      <c r="C38" s="81">
        <f>IF($M$14=0,0,C14/$M$14*$M$38)</f>
        <v>929782.03525038599</v>
      </c>
      <c r="D38" s="81">
        <f t="shared" ref="D38:K38" si="7">IF($M$14=0,0,D14/$M$14*$M$38)</f>
        <v>523482.96696442825</v>
      </c>
      <c r="E38" s="81">
        <f t="shared" si="7"/>
        <v>253391.65751175286</v>
      </c>
      <c r="F38" s="81">
        <f t="shared" si="7"/>
        <v>0</v>
      </c>
      <c r="G38" s="81">
        <f t="shared" si="7"/>
        <v>148924.25476525564</v>
      </c>
      <c r="H38" s="81">
        <f t="shared" si="7"/>
        <v>44848.879163452111</v>
      </c>
      <c r="I38" s="81">
        <f t="shared" si="7"/>
        <v>98632.825748214978</v>
      </c>
      <c r="J38" s="81">
        <f t="shared" si="7"/>
        <v>42923.937178515022</v>
      </c>
      <c r="K38" s="81">
        <f t="shared" si="7"/>
        <v>52035.200449239004</v>
      </c>
      <c r="L38" s="52"/>
      <c r="M38" s="52">
        <v>2676750.81</v>
      </c>
    </row>
    <row r="39" spans="1:13" ht="16.95" customHeight="1" x14ac:dyDescent="0.3">
      <c r="A39" s="51" t="s">
        <v>40</v>
      </c>
      <c r="B39" s="81">
        <f t="shared" si="6"/>
        <v>5194977.2357982248</v>
      </c>
      <c r="C39" s="81">
        <f>IF($M$14=0,0,C14/$M$14*$M$39)</f>
        <v>3552650.3697438822</v>
      </c>
      <c r="D39" s="81">
        <f t="shared" ref="D39:K39" si="8">IF($M$14=0,0,D14/$M$14*$M$39)</f>
        <v>2000202.0749303657</v>
      </c>
      <c r="E39" s="81">
        <f t="shared" si="8"/>
        <v>968196.77259812935</v>
      </c>
      <c r="F39" s="81">
        <f t="shared" si="8"/>
        <v>0</v>
      </c>
      <c r="G39" s="81">
        <f t="shared" si="8"/>
        <v>569032.08353895531</v>
      </c>
      <c r="H39" s="81">
        <f t="shared" si="8"/>
        <v>171365.31047271669</v>
      </c>
      <c r="I39" s="81">
        <f t="shared" si="8"/>
        <v>376871.06394663412</v>
      </c>
      <c r="J39" s="81">
        <f t="shared" si="8"/>
        <v>164010.20401200667</v>
      </c>
      <c r="K39" s="81">
        <f t="shared" si="8"/>
        <v>198823.88248758027</v>
      </c>
      <c r="L39" s="52"/>
      <c r="M39" s="52">
        <v>10227730.15</v>
      </c>
    </row>
    <row r="40" spans="1:13" ht="16.95" customHeight="1" x14ac:dyDescent="0.3">
      <c r="A40" s="51" t="s">
        <v>41</v>
      </c>
      <c r="B40" s="81">
        <f t="shared" si="6"/>
        <v>9989864.4870703965</v>
      </c>
      <c r="C40" s="81">
        <f>IF($M$14=0,0,C14/$M$14*$M$40)</f>
        <v>6831694.1832043845</v>
      </c>
      <c r="D40" s="81">
        <f t="shared" ref="D40:K40" si="9">IF($M$14=0,0,D14/$M$14*$M$40)</f>
        <v>3846359.0441972599</v>
      </c>
      <c r="E40" s="81">
        <f t="shared" si="9"/>
        <v>1861828.0920316812</v>
      </c>
      <c r="F40" s="81">
        <f t="shared" si="9"/>
        <v>0</v>
      </c>
      <c r="G40" s="81">
        <f t="shared" si="9"/>
        <v>1094240.2912139106</v>
      </c>
      <c r="H40" s="81">
        <f t="shared" si="9"/>
        <v>329532.96072415687</v>
      </c>
      <c r="I40" s="81">
        <f t="shared" si="9"/>
        <v>724717.4890356242</v>
      </c>
      <c r="J40" s="81">
        <f t="shared" si="9"/>
        <v>315389.19964583148</v>
      </c>
      <c r="K40" s="81">
        <f t="shared" si="9"/>
        <v>382335.38910569384</v>
      </c>
      <c r="L40" s="52"/>
      <c r="M40" s="52">
        <v>19667774</v>
      </c>
    </row>
    <row r="41" spans="1:13" ht="16.95" customHeight="1" x14ac:dyDescent="0.3">
      <c r="A41" s="51" t="s">
        <v>42</v>
      </c>
      <c r="B41" s="81">
        <f t="shared" si="6"/>
        <v>145268.15506941118</v>
      </c>
      <c r="C41" s="81">
        <f>IF($M$14=0,0,C14/$M$14*$M$41)</f>
        <v>99343.450682138908</v>
      </c>
      <c r="D41" s="81">
        <f t="shared" ref="D41:K43" si="10">IF($M$14=0,0,D14/$M$14*$M$41)</f>
        <v>55932.038198141607</v>
      </c>
      <c r="E41" s="81">
        <f t="shared" si="10"/>
        <v>27073.873958540546</v>
      </c>
      <c r="F41" s="81">
        <f t="shared" si="10"/>
        <v>0</v>
      </c>
      <c r="G41" s="81">
        <f t="shared" si="10"/>
        <v>15911.954412694513</v>
      </c>
      <c r="H41" s="81">
        <f t="shared" si="10"/>
        <v>4791.9213820083996</v>
      </c>
      <c r="I41" s="81">
        <f t="shared" si="10"/>
        <v>10538.51858701389</v>
      </c>
      <c r="J41" s="81">
        <f t="shared" si="10"/>
        <v>4586.2491148570143</v>
      </c>
      <c r="K41" s="81">
        <f t="shared" si="10"/>
        <v>5559.7507518760613</v>
      </c>
      <c r="L41" s="52"/>
      <c r="M41" s="52">
        <v>286000</v>
      </c>
    </row>
    <row r="42" spans="1:13" ht="16.05" customHeight="1" x14ac:dyDescent="0.3">
      <c r="A42" s="53" t="s">
        <v>43</v>
      </c>
      <c r="B42" s="54">
        <v>0</v>
      </c>
      <c r="C42" s="10">
        <f t="shared" ref="C42:C44" si="11">D42+E42+F42</f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5">
        <v>1100000</v>
      </c>
      <c r="J42" s="55"/>
      <c r="K42" s="54">
        <v>0</v>
      </c>
      <c r="L42" s="54">
        <v>0</v>
      </c>
      <c r="M42" s="55">
        <f t="shared" ref="M42" si="12">B42+C42+G42+H42+I42+K42+L42</f>
        <v>1100000</v>
      </c>
    </row>
    <row r="43" spans="1:13" ht="16.05" customHeight="1" x14ac:dyDescent="0.3">
      <c r="A43" s="83" t="s">
        <v>58</v>
      </c>
      <c r="B43" s="55">
        <f>IF($M$14=0,0,$B$14/$M$14*M43)</f>
        <v>1295223.0609335613</v>
      </c>
      <c r="C43" s="55">
        <f>IF($M$14=0,0,$C$14/$M$14*M43)</f>
        <v>885754.54279529455</v>
      </c>
      <c r="D43" s="55"/>
      <c r="E43" s="55"/>
      <c r="F43" s="55"/>
      <c r="G43" s="55">
        <f>IF($M$14=0,0,G14/$M$14*$M$43)</f>
        <v>141872.32081248605</v>
      </c>
      <c r="H43" s="55">
        <f>IF($M$14=0,0,H14/$M$14*$M$43)</f>
        <v>42725.173161263701</v>
      </c>
      <c r="I43" s="55">
        <f>IF($M$14=0,0,I14/$M$14*$M$43)</f>
        <v>93962.316073025941</v>
      </c>
      <c r="J43" s="55">
        <f>IF($M$14=0,0,J14/$M$14*$M$43)</f>
        <v>40891.381968130721</v>
      </c>
      <c r="K43" s="55">
        <f>IF($M$14=0,0,K14/$M$14*$M$43)</f>
        <v>49571.204256237608</v>
      </c>
      <c r="L43" s="54"/>
      <c r="M43" s="55">
        <v>2550000</v>
      </c>
    </row>
    <row r="44" spans="1:13" ht="19.95" customHeight="1" x14ac:dyDescent="0.3">
      <c r="A44" s="56" t="s">
        <v>44</v>
      </c>
      <c r="B44" s="15">
        <f>B36+B37+B38+B39+B40+B41</f>
        <v>29925250.077514417</v>
      </c>
      <c r="C44" s="15">
        <f t="shared" si="11"/>
        <v>17099223.694374241</v>
      </c>
      <c r="D44" s="15">
        <f t="shared" ref="D44:M44" si="13">D36+D37+D38+D39+D40+D41</f>
        <v>11522003.770370184</v>
      </c>
      <c r="E44" s="15">
        <f t="shared" si="13"/>
        <v>5577219.9240040565</v>
      </c>
      <c r="F44" s="15">
        <f t="shared" si="13"/>
        <v>0</v>
      </c>
      <c r="G44" s="15">
        <f t="shared" si="13"/>
        <v>3277863.7189573445</v>
      </c>
      <c r="H44" s="15">
        <f t="shared" si="13"/>
        <v>987136.13895537914</v>
      </c>
      <c r="I44" s="15">
        <f t="shared" si="13"/>
        <v>2170935.5640418045</v>
      </c>
      <c r="J44" s="15"/>
      <c r="K44" s="15">
        <f t="shared" si="13"/>
        <v>1145309.042708243</v>
      </c>
      <c r="L44" s="15">
        <f t="shared" si="13"/>
        <v>0</v>
      </c>
      <c r="M44" s="15">
        <f>M36+M37+M38+M39+M40+M41+M42+M43</f>
        <v>62566019.950000003</v>
      </c>
    </row>
    <row r="45" spans="1:13" ht="19.95" customHeight="1" x14ac:dyDescent="0.3">
      <c r="A45" s="64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</row>
    <row r="46" spans="1:13" ht="28.05" customHeight="1" x14ac:dyDescent="0.3">
      <c r="A46" s="57" t="s">
        <v>52</v>
      </c>
      <c r="B46" s="58">
        <f>B14-B30-B44</f>
        <v>-27998184.337514468</v>
      </c>
      <c r="C46" s="59">
        <f>D46+E46+F46</f>
        <v>87757776.305625767</v>
      </c>
      <c r="D46" s="58">
        <f t="shared" ref="D46:I46" si="14">D14-D30-D44</f>
        <v>59133996.229629815</v>
      </c>
      <c r="E46" s="58">
        <f t="shared" si="14"/>
        <v>28623780.075995944</v>
      </c>
      <c r="F46" s="58">
        <f t="shared" si="14"/>
        <v>0</v>
      </c>
      <c r="G46" s="58">
        <f t="shared" si="14"/>
        <v>10002044.841042655</v>
      </c>
      <c r="H46" s="58">
        <f t="shared" si="14"/>
        <v>2702003.281044621</v>
      </c>
      <c r="I46" s="58">
        <f t="shared" si="14"/>
        <v>6416278.0659581944</v>
      </c>
      <c r="J46" s="58"/>
      <c r="K46" s="58">
        <f>K14-K30-K44</f>
        <v>5878031.4572917568</v>
      </c>
      <c r="L46" s="58">
        <f>L14-L30-L44</f>
        <v>0</v>
      </c>
      <c r="M46" s="60">
        <f>B46+C46+G46+H46+I46+K46+L46</f>
        <v>84757949.61344853</v>
      </c>
    </row>
    <row r="47" spans="1:13" ht="18" customHeight="1" x14ac:dyDescent="0.3">
      <c r="A47" s="13" t="s">
        <v>46</v>
      </c>
      <c r="B47" s="61">
        <f>IF(B14=0,0,B46/B14)</f>
        <v>-0.15257066733508237</v>
      </c>
      <c r="C47" s="62">
        <f>D47+E47+F47</f>
        <v>1.6738563244347207</v>
      </c>
      <c r="D47" s="61">
        <f t="shared" ref="D47:I47" si="15">IF(D14=0,0,D46/D14)</f>
        <v>0.83692816221736033</v>
      </c>
      <c r="E47" s="61">
        <f t="shared" si="15"/>
        <v>0.83692816221736044</v>
      </c>
      <c r="F47" s="61">
        <f t="shared" si="15"/>
        <v>0</v>
      </c>
      <c r="G47" s="61">
        <f t="shared" si="15"/>
        <v>0.49759598740487493</v>
      </c>
      <c r="H47" s="61">
        <f t="shared" si="15"/>
        <v>0.44636258702973641</v>
      </c>
      <c r="I47" s="61">
        <f t="shared" si="15"/>
        <v>0.48196467609210664</v>
      </c>
      <c r="J47" s="61"/>
      <c r="K47" s="61">
        <f>IF(K14=0,0,K46/K14)</f>
        <v>0.83692816221736033</v>
      </c>
      <c r="L47" s="61">
        <f>IF(L14=0,0,L46/L14)</f>
        <v>0</v>
      </c>
      <c r="M47" s="61">
        <f>IF(M14=0,0,M46/M14)</f>
        <v>0.2345989193072337</v>
      </c>
    </row>
    <row r="49" spans="1:13" x14ac:dyDescent="0.3">
      <c r="A49" s="66" t="s">
        <v>54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67">
        <v>0</v>
      </c>
    </row>
    <row r="50" spans="1:13" x14ac:dyDescent="0.3">
      <c r="A50" s="66" t="s">
        <v>50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67">
        <v>0</v>
      </c>
    </row>
    <row r="51" spans="1:13" x14ac:dyDescent="0.3">
      <c r="A51" s="66" t="s">
        <v>51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67">
        <v>0</v>
      </c>
    </row>
    <row r="53" spans="1:13" ht="16.8" x14ac:dyDescent="0.3">
      <c r="A53" s="57" t="s">
        <v>45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60">
        <f>+M46-M49</f>
        <v>84757949.61344853</v>
      </c>
    </row>
    <row r="54" spans="1:13" x14ac:dyDescent="0.3">
      <c r="A54" s="13" t="s">
        <v>46</v>
      </c>
      <c r="M54" s="61">
        <f>IF(M14=0,0,M53/M14)</f>
        <v>0.2345989193072337</v>
      </c>
    </row>
  </sheetData>
  <mergeCells count="11">
    <mergeCell ref="M3"/>
    <mergeCell ref="K3"/>
    <mergeCell ref="B3"/>
    <mergeCell ref="A1:M1"/>
    <mergeCell ref="A2:M2"/>
    <mergeCell ref="C3:F3"/>
    <mergeCell ref="L3"/>
    <mergeCell ref="A3"/>
    <mergeCell ref="G3"/>
    <mergeCell ref="H3"/>
    <mergeCell ref="I3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Estado_Resultado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2026-04-27T13:43:45Z</dcterms:created>
  <dcterms:modified xsi:type="dcterms:W3CDTF">2026-04-27T19:25:55Z</dcterms:modified>
</cp:coreProperties>
</file>