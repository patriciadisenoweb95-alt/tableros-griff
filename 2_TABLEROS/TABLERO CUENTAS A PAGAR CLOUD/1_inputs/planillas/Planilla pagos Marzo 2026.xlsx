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CUENTAS A PAGAR CLOUD\1_inputs\planillas\"/>
    </mc:Choice>
  </mc:AlternateContent>
  <xr:revisionPtr revIDLastSave="0" documentId="13_ncr:1_{0858DABF-FC62-47CA-9D46-A394CF1FD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PARA FACTURISTAS PERIO" sheetId="1" r:id="rId1"/>
  </sheets>
  <definedNames>
    <definedName name="_xlnm._FilterDatabase" localSheetId="0" hidden="1">'PLANILLA PARA FACTURISTAS PERIO'!$A$1:$AC$293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3" i="1" l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<sst xmlns="http://schemas.openxmlformats.org/spreadsheetml/2006/main" count="1181" uniqueCount="427">
  <si>
    <t>PRESTADOR</t>
  </si>
  <si>
    <t>CUIT</t>
  </si>
  <si>
    <t>Fecha</t>
  </si>
  <si>
    <t>Total Factura</t>
  </si>
  <si>
    <t>ADMINSITRATIVO</t>
  </si>
  <si>
    <t>MEDICO</t>
  </si>
  <si>
    <t>A PAGAR</t>
  </si>
  <si>
    <t>AGUERO RAMACCIONI NORBERTO AUGUSTO</t>
  </si>
  <si>
    <t>00004-00000157</t>
  </si>
  <si>
    <t>AGUIRRE CARLOS AÑBERTO</t>
  </si>
  <si>
    <t>00002-00000258</t>
  </si>
  <si>
    <t>AMPARAR S.R.L</t>
  </si>
  <si>
    <t>00008-00002016</t>
  </si>
  <si>
    <t>00008-00002017</t>
  </si>
  <si>
    <t>00008-00002014</t>
  </si>
  <si>
    <t>00008-00002015</t>
  </si>
  <si>
    <t>00008-00002018</t>
  </si>
  <si>
    <t>ARNODO DANIEL</t>
  </si>
  <si>
    <t>00003-00000231</t>
  </si>
  <si>
    <t>ARRAMBIDE MARIA DE LA PAZ</t>
  </si>
  <si>
    <t>00002-00000551</t>
  </si>
  <si>
    <t>ASOCIACION DE BIOQUIMICOS DEL DEPARTAMENTO SAN MARTIN</t>
  </si>
  <si>
    <t>0005-00006120</t>
  </si>
  <si>
    <t>ASOCIACION DE CLINICAS DEL NORTE DE LA PROVINCIA DE CORDOBA A C L I N O R</t>
  </si>
  <si>
    <t>00004-00018858</t>
  </si>
  <si>
    <t>00004-00018859</t>
  </si>
  <si>
    <t>00004-00018860</t>
  </si>
  <si>
    <t>ASOCIACION DE MEDICOS PATOLOGOS Y CITOPATOLOGOS DE LA PCIA. DE CORDOBA</t>
  </si>
  <si>
    <t>00002-00003415</t>
  </si>
  <si>
    <t>ASOCIACION MEDICA DEL DEPARTAMENTO DE SAN MARTIN</t>
  </si>
  <si>
    <t>0002-00009321</t>
  </si>
  <si>
    <t>0002-00009324</t>
  </si>
  <si>
    <t>0002-00009305</t>
  </si>
  <si>
    <t>0002-9304</t>
  </si>
  <si>
    <t>ASOCIACION MUTUAL DOCTOR ESTEBAN LAUREANO MARADONA SALUD (AMMA SALUD)</t>
  </si>
  <si>
    <t>00005-00000487</t>
  </si>
  <si>
    <t>ASOCIACION PRESTADORES DE HEMODIALISIS Y TRANSPLANTES RENALES DEL CENTRO (APHE Y TRC)</t>
  </si>
  <si>
    <t>00003-00008405</t>
  </si>
  <si>
    <t>00003-00008406</t>
  </si>
  <si>
    <t>BARBATI BAZAN MARIA AGUSTINA</t>
  </si>
  <si>
    <t>00001-00000272</t>
  </si>
  <si>
    <t>BARIATRICA S.A. S. A.</t>
  </si>
  <si>
    <t>00002-00001210</t>
  </si>
  <si>
    <t>BUGIA MARCELO LUIS</t>
  </si>
  <si>
    <t>00002-00000166</t>
  </si>
  <si>
    <t>CAMARA DE ENTIDADES DE SALUD - CES</t>
  </si>
  <si>
    <t>00005-00001512</t>
  </si>
  <si>
    <t>00005-00001513</t>
  </si>
  <si>
    <t>00005-00001514</t>
  </si>
  <si>
    <t>00005-00001515</t>
  </si>
  <si>
    <t>00005-00001516</t>
  </si>
  <si>
    <t>00005-00001517</t>
  </si>
  <si>
    <t>CARDOSO FERNANDO MIGUEL</t>
  </si>
  <si>
    <t>00006-00000106</t>
  </si>
  <si>
    <t>CARNERO JORGE ALBERTO DEL VALLE</t>
  </si>
  <si>
    <t>00002-00000181</t>
  </si>
  <si>
    <t>CARRILLO ROMAN MARCEL</t>
  </si>
  <si>
    <t>00004-00000136</t>
  </si>
  <si>
    <t>CEMO S.A.</t>
  </si>
  <si>
    <t>00004-00010080</t>
  </si>
  <si>
    <t>00004-00010081</t>
  </si>
  <si>
    <t>00004-00010082</t>
  </si>
  <si>
    <t>00004-00010083</t>
  </si>
  <si>
    <t>00004-00010084</t>
  </si>
  <si>
    <t>00004-00010085</t>
  </si>
  <si>
    <t>CENTRO DE BIOQUIMICOS REGIONAL DE RIO CUARTO</t>
  </si>
  <si>
    <t>00005-00007076</t>
  </si>
  <si>
    <t>00005-00007086</t>
  </si>
  <si>
    <t>CENTRO MEDICO PRIVADO SAN ANDRES SRL</t>
  </si>
  <si>
    <t>00001-00004039</t>
  </si>
  <si>
    <t>CENTRO MEDICO ROENTGEN S.R.L.</t>
  </si>
  <si>
    <t>00003-00004571</t>
  </si>
  <si>
    <t>00003-00004572</t>
  </si>
  <si>
    <t>CENTRO UROLOGICO PROFESOR BENGIO S A</t>
  </si>
  <si>
    <t>00003-00003302</t>
  </si>
  <si>
    <t>CIDI S.A</t>
  </si>
  <si>
    <t>00001-00006640</t>
  </si>
  <si>
    <t>00001-00006637</t>
  </si>
  <si>
    <t>00001-00006638</t>
  </si>
  <si>
    <t>CIPREM SRL</t>
  </si>
  <si>
    <t>00004-00014674</t>
  </si>
  <si>
    <t>00004-00014663</t>
  </si>
  <si>
    <t>CIRCULO DE PROFESIONALES DE LA REHABILITACION DEL DEPARTAMENTO SAN MARTIN</t>
  </si>
  <si>
    <t>00004-00003222</t>
  </si>
  <si>
    <t>CIRCULO MEDICO REGIONAL RIO TERCERO</t>
  </si>
  <si>
    <t>00060-00000585</t>
  </si>
  <si>
    <t>00060-00000586</t>
  </si>
  <si>
    <t>00060-00000587</t>
  </si>
  <si>
    <t>00060-00000600</t>
  </si>
  <si>
    <t>CLINICA  PRIVADA  DEAN  FUNES  S.R.L.</t>
  </si>
  <si>
    <t>00004-00000950</t>
  </si>
  <si>
    <t>CLINICA CHUTRO S R L</t>
  </si>
  <si>
    <t>00004-00006053</t>
  </si>
  <si>
    <t>00004-00006051</t>
  </si>
  <si>
    <t>00004-00006044</t>
  </si>
  <si>
    <t>00004-00006043</t>
  </si>
  <si>
    <t>00004-00006042</t>
  </si>
  <si>
    <t>CLINICA MEDITERRANEA SALUD S A</t>
  </si>
  <si>
    <t>00003-00022434</t>
  </si>
  <si>
    <t>00003-00022435</t>
  </si>
  <si>
    <t>00003-00022581</t>
  </si>
  <si>
    <t>CLINICA PRIVADA CARAFFA SRL</t>
  </si>
  <si>
    <t>00015-00001229</t>
  </si>
  <si>
    <t>00009-00003932</t>
  </si>
  <si>
    <t>00009-00003933</t>
  </si>
  <si>
    <t>00020-00000035</t>
  </si>
  <si>
    <t>CLINICA PRIVADA COAT S. R. L.</t>
  </si>
  <si>
    <t>00005-00005155</t>
  </si>
  <si>
    <t>00005-00005159</t>
  </si>
  <si>
    <t>CLINICA PRIVADA DE ESPECIALIDADES DE VILLA MARIA S R L</t>
  </si>
  <si>
    <t>00004-00013895</t>
  </si>
  <si>
    <t>CLINICA PRIVADA DE LA CIUDAD SOC RESP LTDA</t>
  </si>
  <si>
    <t>00010-00004053</t>
  </si>
  <si>
    <t>00010-00004041</t>
  </si>
  <si>
    <t>00010-00004048</t>
  </si>
  <si>
    <t>00010-00004044</t>
  </si>
  <si>
    <t>00010-00004055</t>
  </si>
  <si>
    <t>CLINICA PRIVADA DEL SOL S.A.</t>
  </si>
  <si>
    <t>00008-00020595</t>
  </si>
  <si>
    <t>0008-00020646</t>
  </si>
  <si>
    <t>0008-00020645</t>
  </si>
  <si>
    <t>0008-00020644</t>
  </si>
  <si>
    <t>0008-00020643</t>
  </si>
  <si>
    <t>0008-00020642</t>
  </si>
  <si>
    <t>0008-00020655</t>
  </si>
  <si>
    <t>CLINICA PRIVADA INTEGRAL DE PSIQUIATRIA SAN NICOLAS SRL S. R. L.</t>
  </si>
  <si>
    <t>00003-00000268</t>
  </si>
  <si>
    <t>EXTRA</t>
  </si>
  <si>
    <t>00003-00000269</t>
  </si>
  <si>
    <t>00003-00000267</t>
  </si>
  <si>
    <t>00003-00000270</t>
  </si>
  <si>
    <t>00003-00000271</t>
  </si>
  <si>
    <t>00003-00000272</t>
  </si>
  <si>
    <t>00003-00000275</t>
  </si>
  <si>
    <t>00003-00000280</t>
  </si>
  <si>
    <t>00003-00000279</t>
  </si>
  <si>
    <t>CLINICA PRIVADA JESUS MARIA DR ANIBAL LUIS VIALE S.A.</t>
  </si>
  <si>
    <t>00008-00011948</t>
  </si>
  <si>
    <t>00008-00011958</t>
  </si>
  <si>
    <t>CLINICA PRIVADA REGIONAL S R L</t>
  </si>
  <si>
    <t>00007-00002678</t>
  </si>
  <si>
    <t>CLINICA PRIVADA SANTA MARIA S.A.</t>
  </si>
  <si>
    <t>00004-00012851</t>
  </si>
  <si>
    <t>00004-00012852</t>
  </si>
  <si>
    <t>00004-00012876</t>
  </si>
  <si>
    <t>COCCO NATALIA</t>
  </si>
  <si>
    <t>00003-00000276</t>
  </si>
  <si>
    <t>COLEGIO DE PSICOLOGOS DE LA PROVINCIA DE CORDOBA</t>
  </si>
  <si>
    <t>00012-00000832</t>
  </si>
  <si>
    <t>00012-00000854</t>
  </si>
  <si>
    <t>COLEGIO MED REG DEL SUR DE CBA</t>
  </si>
  <si>
    <t>00002-00003542</t>
  </si>
  <si>
    <t>COLEGIO MEDICO DE OLIVA</t>
  </si>
  <si>
    <t>00005-00002822</t>
  </si>
  <si>
    <t>COLEGIO MEDICO REGIONAL ARROYITO</t>
  </si>
  <si>
    <t>00004-00009630</t>
  </si>
  <si>
    <t>COLEGIO PROFESIONAL DE KINESIOLOGOS Y  FISIOTERAPEUTAS DE LA PROVINCIA DE CORDOBA</t>
  </si>
  <si>
    <t>00002-00007095</t>
  </si>
  <si>
    <t>COSEME SA</t>
  </si>
  <si>
    <t>00046-00004529</t>
  </si>
  <si>
    <t>00046-00004543</t>
  </si>
  <si>
    <t>00047-00001888</t>
  </si>
  <si>
    <t>00047-00001889</t>
  </si>
  <si>
    <t>DE LA VILLA SERVICIOS ASISTENCIALES S.A.</t>
  </si>
  <si>
    <t>00004-00015523</t>
  </si>
  <si>
    <t>00004-00015525</t>
  </si>
  <si>
    <t>00004-00015519</t>
  </si>
  <si>
    <t>00004-00015520</t>
  </si>
  <si>
    <t>00004-00015521</t>
  </si>
  <si>
    <t>00004-00015527</t>
  </si>
  <si>
    <t>00004-00015526</t>
  </si>
  <si>
    <t>00004-00015528</t>
  </si>
  <si>
    <t>00004-00015529</t>
  </si>
  <si>
    <t>00004-00015522</t>
  </si>
  <si>
    <t>DELFINO IRINA MARIEL</t>
  </si>
  <si>
    <t>00002-00000742</t>
  </si>
  <si>
    <t>ECCO S. A. U.</t>
  </si>
  <si>
    <t>00203-00158379</t>
  </si>
  <si>
    <t>00203-00158380</t>
  </si>
  <si>
    <t>00203-00159969</t>
  </si>
  <si>
    <t>00203-00160064</t>
  </si>
  <si>
    <t>0203-156415</t>
  </si>
  <si>
    <t>0203-156414</t>
  </si>
  <si>
    <t>0203-154180</t>
  </si>
  <si>
    <t>00203-00159968</t>
  </si>
  <si>
    <t>EL JUNCO SERVICIOS SOCIALES SA</t>
  </si>
  <si>
    <t>00118-00000730</t>
  </si>
  <si>
    <t>00118-00000731</t>
  </si>
  <si>
    <t>00118-00000728</t>
  </si>
  <si>
    <t>00118-00000729</t>
  </si>
  <si>
    <t>EQUILIBRE SALUD S.A.S.</t>
  </si>
  <si>
    <t>00001-00000621</t>
  </si>
  <si>
    <t>ESTIX S.A.S.</t>
  </si>
  <si>
    <t>00004-00000454</t>
  </si>
  <si>
    <t>FEDERACION DE BIOQUIMICOS DE LA PROVINCIA DE CORDOBA</t>
  </si>
  <si>
    <t>0005-00005770</t>
  </si>
  <si>
    <t>0005-00005769</t>
  </si>
  <si>
    <t>FESER MARIA LAURA</t>
  </si>
  <si>
    <t>00002-00000454</t>
  </si>
  <si>
    <t>00002-00000455</t>
  </si>
  <si>
    <t>GARRONE JESICA VALERIA</t>
  </si>
  <si>
    <t>01001-00000125</t>
  </si>
  <si>
    <t>GILETTA CLAUDIA VIVIANA</t>
  </si>
  <si>
    <t>00002-00000046</t>
  </si>
  <si>
    <t>GPAL BIOQUIMICA CLINICA S.A.S.</t>
  </si>
  <si>
    <t>00003-00000021</t>
  </si>
  <si>
    <t>00003-00000019</t>
  </si>
  <si>
    <t>00003-00000020</t>
  </si>
  <si>
    <t>3-00000034</t>
  </si>
  <si>
    <t>GRUPO OPTICO SA</t>
  </si>
  <si>
    <t>00015-00005096</t>
  </si>
  <si>
    <t>00015-00005098</t>
  </si>
  <si>
    <t>00015-00005099</t>
  </si>
  <si>
    <t>HEREDIA MARIA PAULA</t>
  </si>
  <si>
    <t>00001-00000013</t>
  </si>
  <si>
    <t>00001-00000014</t>
  </si>
  <si>
    <t>IMAGENES MEDICAS S.R.L.</t>
  </si>
  <si>
    <t>00006-00008751</t>
  </si>
  <si>
    <t>00006-00008752</t>
  </si>
  <si>
    <t>INSTITUTO CONCI CARPINELLA SRL</t>
  </si>
  <si>
    <t>00037-00000300</t>
  </si>
  <si>
    <t>00037-00000287</t>
  </si>
  <si>
    <t>00037-00000321</t>
  </si>
  <si>
    <t>00037-00000313</t>
  </si>
  <si>
    <t>00037-00000322</t>
  </si>
  <si>
    <t>00037-00000305</t>
  </si>
  <si>
    <t>00037-00000324</t>
  </si>
  <si>
    <t>00037-00000306</t>
  </si>
  <si>
    <t>00037-00000307</t>
  </si>
  <si>
    <t>00037-00000347</t>
  </si>
  <si>
    <t>00037-00000399</t>
  </si>
  <si>
    <t>00037-00000348</t>
  </si>
  <si>
    <t>00037-00000349</t>
  </si>
  <si>
    <t>00037-00000397</t>
  </si>
  <si>
    <t>00037-00000351</t>
  </si>
  <si>
    <t>00037-00000352</t>
  </si>
  <si>
    <t>00037-00000393</t>
  </si>
  <si>
    <t>00037-00000353</t>
  </si>
  <si>
    <t>00037-00000337</t>
  </si>
  <si>
    <t>00037-00000338</t>
  </si>
  <si>
    <t>00037-00000339</t>
  </si>
  <si>
    <t>00037-00000340</t>
  </si>
  <si>
    <t>00037-00000400</t>
  </si>
  <si>
    <t>00037-00000346</t>
  </si>
  <si>
    <t>INSTITUTO PRIVADO DE NEONATOLOGIA Y PEDIATRIA S.A. S. A.</t>
  </si>
  <si>
    <t>00300-00016354</t>
  </si>
  <si>
    <t>00500-00043497</t>
  </si>
  <si>
    <t>00400-00001971</t>
  </si>
  <si>
    <t>00300-00016406</t>
  </si>
  <si>
    <t>00300-00016407</t>
  </si>
  <si>
    <t>00300-00016408</t>
  </si>
  <si>
    <t>00300-00016431</t>
  </si>
  <si>
    <t>00500-00043582</t>
  </si>
  <si>
    <t>00500-00043583</t>
  </si>
  <si>
    <t>00500-00043584</t>
  </si>
  <si>
    <t>00300-00016432</t>
  </si>
  <si>
    <t>00500-00043585</t>
  </si>
  <si>
    <t>INSTITUTO PRIVADO DE RADIOTERAPIA S A</t>
  </si>
  <si>
    <t>00004-00003679</t>
  </si>
  <si>
    <t>L A C E SA</t>
  </si>
  <si>
    <t>00082-00001932</t>
  </si>
  <si>
    <t>LECOUSER S.A.</t>
  </si>
  <si>
    <t>00001-00000937</t>
  </si>
  <si>
    <t>00001-00000938</t>
  </si>
  <si>
    <t>LOYEAU ARIEL MAXIMILANO</t>
  </si>
  <si>
    <t>00003-00000331</t>
  </si>
  <si>
    <t>00003-00000332</t>
  </si>
  <si>
    <t>LOYEAU EDUARDO JORGE</t>
  </si>
  <si>
    <t>00002-00000173</t>
  </si>
  <si>
    <t>00002-00000174</t>
  </si>
  <si>
    <t>MARIA LAURA FESER</t>
  </si>
  <si>
    <t>2-459</t>
  </si>
  <si>
    <t>2-458</t>
  </si>
  <si>
    <t>MARIN DANIEL ALBERTO</t>
  </si>
  <si>
    <t>00005-00000196</t>
  </si>
  <si>
    <t>MIRANDA VERONICA ANABEL</t>
  </si>
  <si>
    <t>00002-00000254</t>
  </si>
  <si>
    <t>00002-00000256</t>
  </si>
  <si>
    <t>MOLINA MARIA FERNANDA</t>
  </si>
  <si>
    <t>00003-00000289</t>
  </si>
  <si>
    <t>00003-00000290</t>
  </si>
  <si>
    <t>NIEVA MARIA EMILIA</t>
  </si>
  <si>
    <t>00002-00000218</t>
  </si>
  <si>
    <t>OMICRON</t>
  </si>
  <si>
    <t>10-10431</t>
  </si>
  <si>
    <t>10-10416</t>
  </si>
  <si>
    <t>OXECOR</t>
  </si>
  <si>
    <t>3-1107</t>
  </si>
  <si>
    <t>PARQUE SALUD S A</t>
  </si>
  <si>
    <t>00150-00011072</t>
  </si>
  <si>
    <t>PASTRANA RODRIGO EMANUEL</t>
  </si>
  <si>
    <t>00001-00000257</t>
  </si>
  <si>
    <t>00001-00000259</t>
  </si>
  <si>
    <t>PEREIRA ALEJANDRO MANUEL</t>
  </si>
  <si>
    <t>00002-00000204</t>
  </si>
  <si>
    <t>POLICLINICO PRIVADO SAN LUCAS S A</t>
  </si>
  <si>
    <t>00110-00021930</t>
  </si>
  <si>
    <t>00110-00021917</t>
  </si>
  <si>
    <t>00110-00021929</t>
  </si>
  <si>
    <t>00110-00021926</t>
  </si>
  <si>
    <t>PROMET SRL</t>
  </si>
  <si>
    <t>8-0002081</t>
  </si>
  <si>
    <t>8-0002080</t>
  </si>
  <si>
    <t>REBERTE MARICEL EDITH</t>
  </si>
  <si>
    <t>00003-00000214</t>
  </si>
  <si>
    <t>RESONANCIA MAGNETICA SRL</t>
  </si>
  <si>
    <t>00005-00005963</t>
  </si>
  <si>
    <t>00005-00005962</t>
  </si>
  <si>
    <t>REYLES S.A.</t>
  </si>
  <si>
    <t>00010-00003749</t>
  </si>
  <si>
    <t>00010-00003753</t>
  </si>
  <si>
    <t>RIOS DARIO EDUARDO</t>
  </si>
  <si>
    <t>00003-00000198</t>
  </si>
  <si>
    <t>ROENTGEN S A</t>
  </si>
  <si>
    <t>00017-00014046</t>
  </si>
  <si>
    <t>00017-00014047</t>
  </si>
  <si>
    <t>00017-00014048</t>
  </si>
  <si>
    <t>ROGGERO NORMA BEATRIZ</t>
  </si>
  <si>
    <t>00002-00000020</t>
  </si>
  <si>
    <t>00002-00000021</t>
  </si>
  <si>
    <t>RUCCI SILVANA LORENA</t>
  </si>
  <si>
    <t>00001-00000021</t>
  </si>
  <si>
    <t>RUFFIN ESTEBAN MAURICIO</t>
  </si>
  <si>
    <t>00002-00000227</t>
  </si>
  <si>
    <t>SALOMON MARIO RAMIRO</t>
  </si>
  <si>
    <t>00007-0000010</t>
  </si>
  <si>
    <t>SALUD INTEGRAL SOCIEDAD ANONIMA</t>
  </si>
  <si>
    <t>00010-00005489</t>
  </si>
  <si>
    <t>SANATORIO CRUZ AZUL SRL</t>
  </si>
  <si>
    <t>00006-00006041</t>
  </si>
  <si>
    <t>SANATORIO DEL SALVADOR PRIVADO SA</t>
  </si>
  <si>
    <t>00011-00023005</t>
  </si>
  <si>
    <t>00011-00023065</t>
  </si>
  <si>
    <t>00011-00023066</t>
  </si>
  <si>
    <t>00011-00024090</t>
  </si>
  <si>
    <t>SANATORIO MORRA S A</t>
  </si>
  <si>
    <t>00010-00004709</t>
  </si>
  <si>
    <t>00010-00004745</t>
  </si>
  <si>
    <t>SANATORIO PARQUE   S A</t>
  </si>
  <si>
    <t>00005-00009589</t>
  </si>
  <si>
    <t>00005-00009592</t>
  </si>
  <si>
    <t>SANCHEZ LUIS FERNANDO</t>
  </si>
  <si>
    <t>00002-00000162</t>
  </si>
  <si>
    <t>SCM MEDICAS S.A.</t>
  </si>
  <si>
    <t>00003-00005622</t>
  </si>
  <si>
    <t>00003-00005623</t>
  </si>
  <si>
    <t>SERVICIOS MEDICOS S R L</t>
  </si>
  <si>
    <t>00017-00013147</t>
  </si>
  <si>
    <t>00042-00000097</t>
  </si>
  <si>
    <t>0029-00003570</t>
  </si>
  <si>
    <t>00042-00000109</t>
  </si>
  <si>
    <t>00042-00000106</t>
  </si>
  <si>
    <t>SICOT MELINA PAULA</t>
  </si>
  <si>
    <t>00003-00000962</t>
  </si>
  <si>
    <t>SOCIEDAD DE BENEFICENCIA HOSPITAL ITALIANO</t>
  </si>
  <si>
    <t>00024-00023001</t>
  </si>
  <si>
    <t>00024-00023002</t>
  </si>
  <si>
    <t>00024-00023003</t>
  </si>
  <si>
    <t>00024-00023004</t>
  </si>
  <si>
    <t>00024-00023005</t>
  </si>
  <si>
    <t>00024-00023006</t>
  </si>
  <si>
    <t>SOLBO S.A.S.</t>
  </si>
  <si>
    <t>00001-00000454</t>
  </si>
  <si>
    <t>00001-00000449</t>
  </si>
  <si>
    <t>00001-00000458</t>
  </si>
  <si>
    <t>00001-00000453</t>
  </si>
  <si>
    <t>00001-00000456</t>
  </si>
  <si>
    <t>SOP S R L</t>
  </si>
  <si>
    <t>00009-00011384</t>
  </si>
  <si>
    <t>00009-00011412</t>
  </si>
  <si>
    <t>00009-00011426</t>
  </si>
  <si>
    <t>00009-00011433</t>
  </si>
  <si>
    <t>00009-00011434</t>
  </si>
  <si>
    <t>00009-00011612</t>
  </si>
  <si>
    <t>TABARES MERCEDES LUISA DEL VALLE</t>
  </si>
  <si>
    <t>0004-00000295</t>
  </si>
  <si>
    <t>TOLEDO YOHANA ELIZABETH</t>
  </si>
  <si>
    <t>00003-00000097</t>
  </si>
  <si>
    <t>00003-00000090</t>
  </si>
  <si>
    <t>UNC</t>
  </si>
  <si>
    <t>00004-00004099</t>
  </si>
  <si>
    <t>00104-00000558</t>
  </si>
  <si>
    <t>0013-00000020</t>
  </si>
  <si>
    <t>0015-00000003</t>
  </si>
  <si>
    <t>0015-00000004</t>
  </si>
  <si>
    <t>00104-00000564</t>
  </si>
  <si>
    <t>0014-00000972</t>
  </si>
  <si>
    <t>0014-00000974</t>
  </si>
  <si>
    <t>00104-00000569</t>
  </si>
  <si>
    <t>UNIDAD DIGESTIVA BAISTROCCHI S.R.L.</t>
  </si>
  <si>
    <t>00003-00001999</t>
  </si>
  <si>
    <t>00003-00002000</t>
  </si>
  <si>
    <t>UROLIT SA</t>
  </si>
  <si>
    <t>00003-00004663</t>
  </si>
  <si>
    <t>00003-00004664</t>
  </si>
  <si>
    <t>00003-00004665</t>
  </si>
  <si>
    <t>00003-00004666</t>
  </si>
  <si>
    <t>VARELA DIEGO OSVALDO JOSE</t>
  </si>
  <si>
    <t>00004-00000292</t>
  </si>
  <si>
    <t>00004-00000287</t>
  </si>
  <si>
    <t>VILLAGRA JORGE LUIS</t>
  </si>
  <si>
    <t>00002-00000134</t>
  </si>
  <si>
    <t>VISOR PRO S.A.S.</t>
  </si>
  <si>
    <t>00006-00000004</t>
  </si>
  <si>
    <t>PROTESIS</t>
  </si>
  <si>
    <t>AMBULATORIO</t>
  </si>
  <si>
    <t>OSPEVIC</t>
  </si>
  <si>
    <t>CAPITAS</t>
  </si>
  <si>
    <t>OSPIF</t>
  </si>
  <si>
    <t>AREA PROTEGIDA</t>
  </si>
  <si>
    <t>OSSURRBAC</t>
  </si>
  <si>
    <t>TRASLADOS</t>
  </si>
  <si>
    <t>OSPLYFC</t>
  </si>
  <si>
    <t>INTERNADO</t>
  </si>
  <si>
    <t>AJUSTE</t>
  </si>
  <si>
    <t>INETERNADO</t>
  </si>
  <si>
    <t>OSPM</t>
  </si>
  <si>
    <t>REFACTURACION</t>
  </si>
  <si>
    <t>INTERESES</t>
  </si>
  <si>
    <t>PROTESIS RUCCI SEBASTIAN</t>
  </si>
  <si>
    <t>PROTESIS TRIPIANA VALERIA</t>
  </si>
  <si>
    <t>OXIGENO AMARRILLO GINO</t>
  </si>
  <si>
    <t>DETALLE</t>
  </si>
  <si>
    <t>PERIODO</t>
  </si>
  <si>
    <t>OBRA SOCIAL</t>
  </si>
  <si>
    <t>PLAZO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</si>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</sst>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-&quot;$&quot;* #,##0.00_-;_-&quot;$&quot;* \-#,##0.00_-;_-&quot;$&quot;* &quot;-&quot;??_-;_-@"/>
    <numFmt numFmtId="166" formatCode="m\-yyyy"/>
  </numFmts>
  <fonts count="4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Fill="1" applyBorder="1" applyAlignment="1"/>
    <xf numFmtId="1" fontId="1" fillId="0" borderId="1" xfId="0" applyNumberFormat="1" applyFont="1" applyFill="1" applyBorder="1" applyAlignment="1"/>
    <xf numFmtId="164" fontId="1" fillId="0" borderId="1" xfId="0" applyNumberFormat="1" applyFont="1" applyFill="1" applyBorder="1" applyAlignment="1"/>
    <xf numFmtId="0" fontId="1" fillId="0" borderId="0" xfId="0" applyFont="1" applyFill="1" applyBorder="1" applyAlignment="1"/>
    <xf numFmtId="165" fontId="1" fillId="0" borderId="2" xfId="0" applyNumberFormat="1" applyFont="1" applyFill="1" applyBorder="1" applyAlignment="1">
      <alignment horizontal="right"/>
    </xf>
    <xf numFmtId="165" fontId="1" fillId="0" borderId="1" xfId="0" applyNumberFormat="1" applyFont="1" applyFill="1" applyBorder="1" applyAlignment="1"/>
    <xf numFmtId="0" fontId="0" fillId="0" borderId="0" xfId="0" applyFont="1" applyFill="1" applyAlignment="1"/>
    <xf numFmtId="0" fontId="2" fillId="0" borderId="3" xfId="0" applyFont="1" applyFill="1" applyBorder="1" applyAlignment="1"/>
    <xf numFmtId="14" fontId="2" fillId="0" borderId="3" xfId="0" applyNumberFormat="1" applyFont="1" applyFill="1" applyBorder="1" applyAlignment="1"/>
    <xf numFmtId="165" fontId="2" fillId="0" borderId="3" xfId="0" applyNumberFormat="1" applyFont="1" applyFill="1" applyBorder="1" applyAlignment="1"/>
    <xf numFmtId="0" fontId="2" fillId="0" borderId="0" xfId="0" applyFont="1" applyFill="1"/>
    <xf numFmtId="0" fontId="2" fillId="0" borderId="0" xfId="0" applyFont="1" applyFill="1" applyAlignment="1"/>
    <xf numFmtId="166" fontId="2" fillId="0" borderId="3" xfId="0" applyNumberFormat="1" applyFont="1" applyFill="1" applyBorder="1" applyAlignment="1"/>
    <xf numFmtId="165" fontId="2" fillId="0" borderId="0" xfId="0" applyNumberFormat="1" applyFont="1" applyFill="1"/>
    <xf numFmtId="165" fontId="3" fillId="0" borderId="0" xfId="0" applyNumberFormat="1" applyFont="1" applyFill="1" applyAlignment="1"/>
    <xf numFmtId="165" fontId="3" fillId="0" borderId="3" xfId="0" applyNumberFormat="1" applyFont="1" applyFill="1" applyBorder="1" applyAlignment="1"/>
    <xf numFmtId="17" fontId="2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16"/>
  <sheetViews>
    <sheetView tabSelected="1" topLeftCell="F1" workbookViewId="0">
      <pane ySplit="1" topLeftCell="A279" activePane="bottomLeft" state="frozen"/>
      <selection pane="bottomLeft" activeCell="H288" sqref="H288"/>
    </sheetView>
  </sheetViews>
  <sheetFormatPr baseColWidth="10" defaultColWidth="12.6640625" defaultRowHeight="15.75" customHeight="1"/>
  <cols>
    <col min="1" max="1" width="94.5546875" style="7" bestFit="1" customWidth="1"/>
    <col min="2" max="2" width="12" style="7" bestFit="1" customWidth="1"/>
    <col min="3" max="3" width="21.88671875" style="7" bestFit="1" customWidth="1"/>
    <col min="4" max="4" width="9.109375" style="7" bestFit="1" customWidth="1"/>
    <col min="5" max="5" width="39.5546875" style="7" bestFit="1" customWidth="1"/>
    <col min="6" max="8" width="31" style="7" customWidth="1"/>
    <col min="9" max="9" width="17.77734375" style="7" bestFit="1" customWidth="1"/>
    <col min="10" max="10" width="21.33203125" style="7" bestFit="1" customWidth="1"/>
    <col min="11" max="11" width="15" style="7" bestFit="1" customWidth="1"/>
    <col min="12" max="12" width="17.77734375" style="7" bestFit="1" customWidth="1"/>
    <col min="13" max="13" width="6.88671875" style="7" bestFit="1" customWidth="1"/>
    <col min="14" max="16384" width="12.6640625" style="7"/>
  </cols>
  <sheetData>
    <row r="1" spans="1:29" ht="15" thickTop="1" thickBot="1">
      <c r="A1" s="1" t="s">
        <v>0</v>
      </c>
      <c r="B1" s="2" t="s">
        <v>1</v>
      </c>
      <c r="C1" s="2" t="s">
        <v>426</v>
      </c>
      <c r="D1" s="3" t="s">
        <v>2</v>
      </c>
      <c r="E1" s="1" t="s">
        <v>423</v>
      </c>
      <c r="F1" s="4" t="s">
        <v>422</v>
      </c>
      <c r="G1" s="4" t="s">
        <v>424</v>
      </c>
      <c r="H1" s="4" t="s">
        <v>425</v>
      </c>
      <c r="I1" s="5" t="s">
        <v>3</v>
      </c>
      <c r="J1" s="6" t="s">
        <v>4</v>
      </c>
      <c r="K1" s="6" t="s">
        <v>5</v>
      </c>
      <c r="L1" s="6" t="s">
        <v>6</v>
      </c>
    </row>
    <row r="2" spans="1:29" ht="13.8" thickBot="1">
      <c r="A2" s="8" t="s">
        <v>7</v>
      </c>
      <c r="B2" s="8">
        <v>20316867937</v>
      </c>
      <c r="C2" s="8" t="s">
        <v>8</v>
      </c>
      <c r="D2" s="9">
        <v>46122</v>
      </c>
      <c r="E2" s="17">
        <v>46082</v>
      </c>
      <c r="F2" s="8" t="s">
        <v>405</v>
      </c>
      <c r="G2" s="8" t="s">
        <v>406</v>
      </c>
      <c r="H2" s="8">
        <v>45</v>
      </c>
      <c r="I2" s="10">
        <v>203505.84</v>
      </c>
      <c r="J2" s="10">
        <v>0</v>
      </c>
      <c r="K2" s="10">
        <v>0</v>
      </c>
      <c r="L2" s="10">
        <f t="shared" ref="L2:L293" si="0">I2-J2-K2</f>
        <v>203505.84</v>
      </c>
    </row>
    <row r="3" spans="1:29" ht="13.8" thickBot="1">
      <c r="A3" s="8" t="s">
        <v>9</v>
      </c>
      <c r="B3" s="8">
        <v>20079823997</v>
      </c>
      <c r="C3" s="8" t="s">
        <v>10</v>
      </c>
      <c r="D3" s="9">
        <v>46120</v>
      </c>
      <c r="E3" s="17">
        <v>46082</v>
      </c>
      <c r="F3" s="8" t="s">
        <v>405</v>
      </c>
      <c r="G3" s="8" t="s">
        <v>406</v>
      </c>
      <c r="H3" s="8">
        <v>45</v>
      </c>
      <c r="I3" s="10">
        <v>60000</v>
      </c>
      <c r="J3" s="10">
        <v>0</v>
      </c>
      <c r="K3" s="10">
        <v>0</v>
      </c>
      <c r="L3" s="10">
        <f t="shared" si="0"/>
        <v>60000</v>
      </c>
    </row>
    <row r="4" spans="1:29" ht="13.8" thickBot="1">
      <c r="A4" s="8" t="s">
        <v>11</v>
      </c>
      <c r="B4" s="8">
        <v>30708686499</v>
      </c>
      <c r="C4" s="8" t="s">
        <v>12</v>
      </c>
      <c r="D4" s="9">
        <v>46113</v>
      </c>
      <c r="E4" s="17">
        <v>46082</v>
      </c>
      <c r="F4" s="8" t="s">
        <v>407</v>
      </c>
      <c r="G4" s="8" t="s">
        <v>408</v>
      </c>
      <c r="H4" s="8">
        <v>30</v>
      </c>
      <c r="I4" s="10">
        <v>2955934.54</v>
      </c>
      <c r="J4" s="10">
        <v>0</v>
      </c>
      <c r="K4" s="10">
        <v>0</v>
      </c>
      <c r="L4" s="10">
        <f t="shared" si="0"/>
        <v>2955934.54</v>
      </c>
    </row>
    <row r="5" spans="1:29" ht="13.8" thickBot="1">
      <c r="A5" s="8" t="s">
        <v>11</v>
      </c>
      <c r="B5" s="8">
        <v>30708686499</v>
      </c>
      <c r="C5" s="8" t="s">
        <v>13</v>
      </c>
      <c r="D5" s="9">
        <v>46113</v>
      </c>
      <c r="E5" s="17">
        <v>46113</v>
      </c>
      <c r="F5" s="8" t="s">
        <v>409</v>
      </c>
      <c r="G5" s="8" t="s">
        <v>406</v>
      </c>
      <c r="H5" s="8">
        <v>30</v>
      </c>
      <c r="I5" s="10">
        <v>15812.28</v>
      </c>
      <c r="J5" s="10">
        <v>2744.28</v>
      </c>
      <c r="K5" s="10">
        <v>0</v>
      </c>
      <c r="L5" s="10">
        <f t="shared" si="0"/>
        <v>13068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3.8" thickBot="1">
      <c r="A6" s="8" t="s">
        <v>11</v>
      </c>
      <c r="B6" s="8">
        <v>30708686499</v>
      </c>
      <c r="C6" s="8" t="s">
        <v>14</v>
      </c>
      <c r="D6" s="9">
        <v>46113</v>
      </c>
      <c r="E6" s="17">
        <v>46082</v>
      </c>
      <c r="F6" s="8" t="s">
        <v>407</v>
      </c>
      <c r="G6" s="8" t="s">
        <v>412</v>
      </c>
      <c r="H6" s="8">
        <v>30</v>
      </c>
      <c r="I6" s="10">
        <v>748716.24</v>
      </c>
      <c r="J6" s="10">
        <v>0</v>
      </c>
      <c r="K6" s="10">
        <v>0</v>
      </c>
      <c r="L6" s="10">
        <f t="shared" si="0"/>
        <v>748716.24</v>
      </c>
    </row>
    <row r="7" spans="1:29" ht="13.8" thickBot="1">
      <c r="A7" s="8" t="s">
        <v>11</v>
      </c>
      <c r="B7" s="8">
        <v>30708686499</v>
      </c>
      <c r="C7" s="8" t="s">
        <v>15</v>
      </c>
      <c r="D7" s="9">
        <v>46113</v>
      </c>
      <c r="E7" s="17">
        <v>46082</v>
      </c>
      <c r="F7" s="8" t="s">
        <v>407</v>
      </c>
      <c r="G7" s="8" t="s">
        <v>410</v>
      </c>
      <c r="H7" s="8">
        <v>30</v>
      </c>
      <c r="I7" s="10">
        <v>303508.47999999998</v>
      </c>
      <c r="J7" s="10">
        <v>0</v>
      </c>
      <c r="K7" s="10">
        <v>0</v>
      </c>
      <c r="L7" s="10">
        <f t="shared" si="0"/>
        <v>303508.47999999998</v>
      </c>
    </row>
    <row r="8" spans="1:29" ht="13.8" thickBot="1">
      <c r="A8" s="8" t="s">
        <v>11</v>
      </c>
      <c r="B8" s="8">
        <v>30708686499</v>
      </c>
      <c r="C8" s="8" t="s">
        <v>16</v>
      </c>
      <c r="D8" s="9">
        <v>46118</v>
      </c>
      <c r="E8" s="17">
        <v>46082</v>
      </c>
      <c r="F8" s="8" t="s">
        <v>411</v>
      </c>
      <c r="G8" s="8" t="s">
        <v>406</v>
      </c>
      <c r="H8" s="8">
        <v>30</v>
      </c>
      <c r="I8" s="10">
        <v>2316326.54</v>
      </c>
      <c r="J8" s="10">
        <v>0</v>
      </c>
      <c r="K8" s="10">
        <v>0</v>
      </c>
      <c r="L8" s="10">
        <f t="shared" si="0"/>
        <v>2316326.54</v>
      </c>
    </row>
    <row r="9" spans="1:29" ht="13.8" thickBot="1">
      <c r="A9" s="8" t="s">
        <v>17</v>
      </c>
      <c r="B9" s="8">
        <v>20282488796</v>
      </c>
      <c r="C9" s="8" t="s">
        <v>18</v>
      </c>
      <c r="D9" s="9">
        <v>46121</v>
      </c>
      <c r="E9" s="17">
        <v>46082</v>
      </c>
      <c r="F9" s="8" t="s">
        <v>405</v>
      </c>
      <c r="G9" s="8" t="s">
        <v>406</v>
      </c>
      <c r="H9" s="8">
        <v>45</v>
      </c>
      <c r="I9" s="10">
        <v>1882436.42</v>
      </c>
      <c r="J9" s="10">
        <v>87538.41</v>
      </c>
      <c r="K9" s="10">
        <v>0</v>
      </c>
      <c r="L9" s="10">
        <f t="shared" si="0"/>
        <v>1794898.01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3.8" thickBot="1">
      <c r="A10" s="8" t="s">
        <v>19</v>
      </c>
      <c r="B10" s="8">
        <v>23261781344</v>
      </c>
      <c r="C10" s="8" t="s">
        <v>20</v>
      </c>
      <c r="D10" s="9">
        <v>46117</v>
      </c>
      <c r="E10" s="17">
        <v>46082</v>
      </c>
      <c r="F10" s="8" t="s">
        <v>405</v>
      </c>
      <c r="G10" s="8" t="s">
        <v>406</v>
      </c>
      <c r="H10" s="8">
        <v>45</v>
      </c>
      <c r="I10" s="10">
        <v>691071.91</v>
      </c>
      <c r="J10" s="10">
        <v>0</v>
      </c>
      <c r="K10" s="10">
        <v>0</v>
      </c>
      <c r="L10" s="10">
        <f t="shared" si="0"/>
        <v>691071.91</v>
      </c>
    </row>
    <row r="11" spans="1:29" ht="13.8" thickBot="1">
      <c r="A11" s="8" t="s">
        <v>21</v>
      </c>
      <c r="B11" s="8">
        <v>30582058608</v>
      </c>
      <c r="C11" s="8" t="s">
        <v>22</v>
      </c>
      <c r="D11" s="9">
        <v>46118</v>
      </c>
      <c r="E11" s="17">
        <v>46082</v>
      </c>
      <c r="F11" s="8" t="s">
        <v>405</v>
      </c>
      <c r="G11" s="8" t="s">
        <v>408</v>
      </c>
      <c r="H11" s="8">
        <v>30</v>
      </c>
      <c r="I11" s="10">
        <v>2667651.06</v>
      </c>
      <c r="J11" s="10">
        <v>2667651.06</v>
      </c>
      <c r="K11" s="10">
        <v>0</v>
      </c>
      <c r="L11" s="10">
        <f t="shared" si="0"/>
        <v>0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3.8" thickBot="1">
      <c r="A12" s="8" t="s">
        <v>23</v>
      </c>
      <c r="B12" s="8">
        <v>30678724447</v>
      </c>
      <c r="C12" s="8" t="s">
        <v>24</v>
      </c>
      <c r="D12" s="9">
        <v>46121</v>
      </c>
      <c r="E12" s="17">
        <v>46082</v>
      </c>
      <c r="F12" s="8" t="s">
        <v>405</v>
      </c>
      <c r="G12" s="8" t="s">
        <v>406</v>
      </c>
      <c r="H12" s="8">
        <v>45</v>
      </c>
      <c r="I12" s="10">
        <v>3739630.03</v>
      </c>
      <c r="J12" s="10">
        <v>101816.35</v>
      </c>
      <c r="K12" s="10">
        <v>0</v>
      </c>
      <c r="L12" s="10">
        <f t="shared" si="0"/>
        <v>3637813.6799999997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3.8" thickBot="1">
      <c r="A13" s="8" t="s">
        <v>23</v>
      </c>
      <c r="B13" s="8">
        <v>30678724447</v>
      </c>
      <c r="C13" s="8" t="s">
        <v>25</v>
      </c>
      <c r="D13" s="9">
        <v>46121</v>
      </c>
      <c r="E13" s="17">
        <v>46082</v>
      </c>
      <c r="F13" s="8" t="s">
        <v>405</v>
      </c>
      <c r="G13" s="8" t="s">
        <v>412</v>
      </c>
      <c r="H13" s="8">
        <v>45</v>
      </c>
      <c r="I13" s="10">
        <v>145268.73000000001</v>
      </c>
      <c r="J13" s="10">
        <v>14000</v>
      </c>
      <c r="K13" s="10">
        <v>0</v>
      </c>
      <c r="L13" s="10">
        <f t="shared" si="0"/>
        <v>131268.73000000001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3.8" thickBot="1">
      <c r="A14" s="8" t="s">
        <v>23</v>
      </c>
      <c r="B14" s="8">
        <v>30678724447</v>
      </c>
      <c r="C14" s="8" t="s">
        <v>26</v>
      </c>
      <c r="D14" s="9">
        <v>46121</v>
      </c>
      <c r="E14" s="17">
        <v>46082</v>
      </c>
      <c r="F14" s="8" t="s">
        <v>405</v>
      </c>
      <c r="G14" s="8" t="s">
        <v>408</v>
      </c>
      <c r="H14" s="8">
        <v>45</v>
      </c>
      <c r="I14" s="10">
        <v>1192171.52</v>
      </c>
      <c r="J14" s="10">
        <v>120483.69</v>
      </c>
      <c r="K14" s="10">
        <v>0</v>
      </c>
      <c r="L14" s="10">
        <f t="shared" si="0"/>
        <v>1071687.83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3.8" thickBot="1">
      <c r="A15" s="8" t="s">
        <v>27</v>
      </c>
      <c r="B15" s="8">
        <v>30707403809</v>
      </c>
      <c r="C15" s="8" t="s">
        <v>28</v>
      </c>
      <c r="D15" s="9">
        <v>46120</v>
      </c>
      <c r="E15" s="17">
        <v>46082</v>
      </c>
      <c r="F15" s="8" t="s">
        <v>405</v>
      </c>
      <c r="G15" s="8" t="s">
        <v>406</v>
      </c>
      <c r="H15" s="8">
        <v>45</v>
      </c>
      <c r="I15" s="10">
        <v>70800</v>
      </c>
      <c r="J15" s="10">
        <v>3600</v>
      </c>
      <c r="K15" s="10">
        <v>0</v>
      </c>
      <c r="L15" s="10">
        <f t="shared" si="0"/>
        <v>67200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3.8" thickBot="1">
      <c r="A16" s="8" t="s">
        <v>29</v>
      </c>
      <c r="B16" s="8">
        <v>30557695768</v>
      </c>
      <c r="C16" s="8" t="s">
        <v>30</v>
      </c>
      <c r="D16" s="9">
        <v>46113</v>
      </c>
      <c r="E16" s="17">
        <v>46082</v>
      </c>
      <c r="F16" s="8" t="s">
        <v>413</v>
      </c>
      <c r="G16" s="8" t="s">
        <v>408</v>
      </c>
      <c r="H16" s="8">
        <v>30</v>
      </c>
      <c r="I16" s="10">
        <v>20067958.93</v>
      </c>
      <c r="J16" s="10">
        <v>1275660.3799999999</v>
      </c>
      <c r="K16" s="10">
        <v>2302626.25</v>
      </c>
      <c r="L16" s="10">
        <f t="shared" si="0"/>
        <v>16489672.300000001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3.8" thickBot="1">
      <c r="A17" s="8" t="s">
        <v>29</v>
      </c>
      <c r="B17" s="8">
        <v>30557695768</v>
      </c>
      <c r="C17" s="8" t="s">
        <v>31</v>
      </c>
      <c r="D17" s="9">
        <v>46113</v>
      </c>
      <c r="E17" s="17">
        <v>46082</v>
      </c>
      <c r="F17" s="8" t="s">
        <v>405</v>
      </c>
      <c r="G17" s="8" t="s">
        <v>408</v>
      </c>
      <c r="H17" s="8">
        <v>30</v>
      </c>
      <c r="I17" s="10">
        <v>15030128.550000001</v>
      </c>
      <c r="J17" s="10">
        <v>639080.89</v>
      </c>
      <c r="K17" s="10">
        <v>0</v>
      </c>
      <c r="L17" s="10">
        <f t="shared" si="0"/>
        <v>14391047.66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3.8" thickBot="1">
      <c r="A18" s="8" t="s">
        <v>29</v>
      </c>
      <c r="B18" s="8">
        <v>30557695768</v>
      </c>
      <c r="C18" s="8" t="s">
        <v>32</v>
      </c>
      <c r="D18" s="9">
        <v>46101</v>
      </c>
      <c r="E18" s="17">
        <v>46082</v>
      </c>
      <c r="F18" s="8" t="s">
        <v>405</v>
      </c>
      <c r="G18" s="8" t="s">
        <v>408</v>
      </c>
      <c r="H18" s="8">
        <v>30</v>
      </c>
      <c r="I18" s="10">
        <v>268964.90999999997</v>
      </c>
      <c r="J18" s="10">
        <v>16861.64</v>
      </c>
      <c r="K18" s="10">
        <v>0</v>
      </c>
      <c r="L18" s="10">
        <f t="shared" si="0"/>
        <v>252103.26999999996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3.8" thickBot="1">
      <c r="A19" s="8" t="s">
        <v>29</v>
      </c>
      <c r="B19" s="8">
        <v>30557695768</v>
      </c>
      <c r="C19" s="8" t="s">
        <v>33</v>
      </c>
      <c r="D19" s="9">
        <v>46101</v>
      </c>
      <c r="E19" s="17">
        <v>46082</v>
      </c>
      <c r="F19" s="8" t="s">
        <v>415</v>
      </c>
      <c r="G19" s="8" t="s">
        <v>408</v>
      </c>
      <c r="H19" s="8">
        <v>30</v>
      </c>
      <c r="I19" s="10">
        <v>72879.25</v>
      </c>
      <c r="J19" s="10">
        <v>8900.85</v>
      </c>
      <c r="K19" s="10">
        <v>0</v>
      </c>
      <c r="L19" s="10">
        <f t="shared" si="0"/>
        <v>63978.400000000001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3.8" thickBot="1">
      <c r="A20" s="8" t="s">
        <v>34</v>
      </c>
      <c r="B20" s="8">
        <v>33711300789</v>
      </c>
      <c r="C20" s="8" t="s">
        <v>35</v>
      </c>
      <c r="D20" s="9">
        <v>46112</v>
      </c>
      <c r="E20" s="17">
        <v>46082</v>
      </c>
      <c r="F20" s="8" t="s">
        <v>405</v>
      </c>
      <c r="G20" s="8" t="s">
        <v>406</v>
      </c>
      <c r="H20" s="8">
        <v>45</v>
      </c>
      <c r="I20" s="10">
        <v>17302</v>
      </c>
      <c r="J20" s="10">
        <v>0</v>
      </c>
      <c r="K20" s="10">
        <v>0</v>
      </c>
      <c r="L20" s="10">
        <f t="shared" si="0"/>
        <v>17302</v>
      </c>
    </row>
    <row r="21" spans="1:29" ht="13.8" thickBot="1">
      <c r="A21" s="8" t="s">
        <v>36</v>
      </c>
      <c r="B21" s="8">
        <v>30644610256</v>
      </c>
      <c r="C21" s="8" t="s">
        <v>37</v>
      </c>
      <c r="D21" s="9">
        <v>46121</v>
      </c>
      <c r="E21" s="17">
        <v>46082</v>
      </c>
      <c r="F21" s="8" t="s">
        <v>405</v>
      </c>
      <c r="G21" s="8" t="s">
        <v>406</v>
      </c>
      <c r="H21" s="8">
        <v>45</v>
      </c>
      <c r="I21" s="10">
        <v>22620000</v>
      </c>
      <c r="J21" s="10">
        <v>0</v>
      </c>
      <c r="K21" s="10">
        <v>0</v>
      </c>
      <c r="L21" s="10">
        <f t="shared" si="0"/>
        <v>22620000</v>
      </c>
    </row>
    <row r="22" spans="1:29" ht="13.8" thickBot="1">
      <c r="A22" s="8" t="s">
        <v>36</v>
      </c>
      <c r="B22" s="8">
        <v>30644610256</v>
      </c>
      <c r="C22" s="8" t="s">
        <v>38</v>
      </c>
      <c r="D22" s="9">
        <v>46121</v>
      </c>
      <c r="E22" s="17">
        <v>46082</v>
      </c>
      <c r="F22" s="8" t="s">
        <v>405</v>
      </c>
      <c r="G22" s="8" t="s">
        <v>408</v>
      </c>
      <c r="H22" s="8">
        <v>45</v>
      </c>
      <c r="I22" s="10">
        <v>7623720</v>
      </c>
      <c r="J22" s="10">
        <v>0</v>
      </c>
      <c r="K22" s="10">
        <v>0</v>
      </c>
      <c r="L22" s="10">
        <f t="shared" si="0"/>
        <v>7623720</v>
      </c>
    </row>
    <row r="23" spans="1:29" ht="13.8" thickBot="1">
      <c r="A23" s="8" t="s">
        <v>39</v>
      </c>
      <c r="B23" s="8">
        <v>27405752102</v>
      </c>
      <c r="C23" s="8" t="s">
        <v>40</v>
      </c>
      <c r="D23" s="9">
        <v>46065</v>
      </c>
      <c r="E23" s="17">
        <v>46082</v>
      </c>
      <c r="F23" s="8" t="s">
        <v>405</v>
      </c>
      <c r="G23" s="8" t="s">
        <v>406</v>
      </c>
      <c r="H23" s="8">
        <v>45</v>
      </c>
      <c r="I23" s="10">
        <v>151505.81</v>
      </c>
      <c r="J23" s="10">
        <v>0</v>
      </c>
      <c r="K23" s="10">
        <v>0</v>
      </c>
      <c r="L23" s="10">
        <f t="shared" si="0"/>
        <v>151505.81</v>
      </c>
    </row>
    <row r="24" spans="1:29" ht="13.8" thickBot="1">
      <c r="A24" s="8" t="s">
        <v>41</v>
      </c>
      <c r="B24" s="8">
        <v>30709634964</v>
      </c>
      <c r="C24" s="8" t="s">
        <v>42</v>
      </c>
      <c r="D24" s="9">
        <v>46119</v>
      </c>
      <c r="E24" s="17">
        <v>46082</v>
      </c>
      <c r="F24" s="8" t="s">
        <v>405</v>
      </c>
      <c r="G24" s="8" t="s">
        <v>406</v>
      </c>
      <c r="H24" s="8">
        <v>60</v>
      </c>
      <c r="I24" s="10">
        <v>197544</v>
      </c>
      <c r="J24" s="10">
        <v>0</v>
      </c>
      <c r="K24" s="10">
        <v>0</v>
      </c>
      <c r="L24" s="10">
        <f t="shared" si="0"/>
        <v>197544</v>
      </c>
    </row>
    <row r="25" spans="1:29" ht="13.8" thickBot="1">
      <c r="A25" s="8" t="s">
        <v>41</v>
      </c>
      <c r="B25" s="8">
        <v>30709634964</v>
      </c>
      <c r="C25" s="8" t="s">
        <v>42</v>
      </c>
      <c r="D25" s="9">
        <v>46119</v>
      </c>
      <c r="E25" s="17">
        <v>46082</v>
      </c>
      <c r="F25" s="8" t="s">
        <v>405</v>
      </c>
      <c r="G25" s="8" t="s">
        <v>406</v>
      </c>
      <c r="H25" s="8">
        <v>60</v>
      </c>
      <c r="I25" s="10">
        <v>197544</v>
      </c>
      <c r="J25" s="10">
        <v>0</v>
      </c>
      <c r="K25" s="10">
        <v>0</v>
      </c>
      <c r="L25" s="10">
        <f t="shared" si="0"/>
        <v>197544</v>
      </c>
    </row>
    <row r="26" spans="1:29" ht="13.8" thickBot="1">
      <c r="A26" s="8" t="s">
        <v>43</v>
      </c>
      <c r="B26" s="8">
        <v>20182544907</v>
      </c>
      <c r="C26" s="8" t="s">
        <v>44</v>
      </c>
      <c r="D26" s="9">
        <v>46112</v>
      </c>
      <c r="E26" s="17">
        <v>46082</v>
      </c>
      <c r="F26" s="8" t="s">
        <v>405</v>
      </c>
      <c r="G26" s="8" t="s">
        <v>406</v>
      </c>
      <c r="H26" s="8">
        <v>45</v>
      </c>
      <c r="I26" s="10">
        <v>110232.33</v>
      </c>
      <c r="J26" s="10">
        <v>0</v>
      </c>
      <c r="K26" s="10">
        <v>0</v>
      </c>
      <c r="L26" s="10">
        <f t="shared" si="0"/>
        <v>110232.33</v>
      </c>
    </row>
    <row r="27" spans="1:29" ht="13.8" thickBot="1">
      <c r="A27" s="8" t="s">
        <v>45</v>
      </c>
      <c r="B27" s="8">
        <v>30715649159</v>
      </c>
      <c r="C27" s="8" t="s">
        <v>46</v>
      </c>
      <c r="D27" s="9">
        <v>46120</v>
      </c>
      <c r="E27" s="17">
        <v>46082</v>
      </c>
      <c r="F27" s="8" t="s">
        <v>413</v>
      </c>
      <c r="G27" s="8" t="s">
        <v>406</v>
      </c>
      <c r="H27" s="8">
        <v>60</v>
      </c>
      <c r="I27" s="10">
        <v>3144972.89</v>
      </c>
      <c r="J27" s="10">
        <v>0</v>
      </c>
      <c r="K27" s="10">
        <v>202317.65</v>
      </c>
      <c r="L27" s="10">
        <f t="shared" si="0"/>
        <v>2942655.24</v>
      </c>
    </row>
    <row r="28" spans="1:29" ht="13.8" thickBot="1">
      <c r="A28" s="8" t="s">
        <v>45</v>
      </c>
      <c r="B28" s="8">
        <v>30715649159</v>
      </c>
      <c r="C28" s="8" t="s">
        <v>47</v>
      </c>
      <c r="D28" s="9">
        <v>46120</v>
      </c>
      <c r="E28" s="17">
        <v>46082</v>
      </c>
      <c r="F28" s="8" t="s">
        <v>405</v>
      </c>
      <c r="G28" s="8" t="s">
        <v>406</v>
      </c>
      <c r="H28" s="8">
        <v>60</v>
      </c>
      <c r="I28" s="10">
        <v>2474558</v>
      </c>
      <c r="J28" s="10">
        <v>562322</v>
      </c>
      <c r="K28" s="10">
        <v>0</v>
      </c>
      <c r="L28" s="10">
        <f t="shared" si="0"/>
        <v>1912236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3.8" thickBot="1">
      <c r="A29" s="8" t="s">
        <v>45</v>
      </c>
      <c r="B29" s="8">
        <v>30715649159</v>
      </c>
      <c r="C29" s="8" t="s">
        <v>48</v>
      </c>
      <c r="D29" s="9">
        <v>46120</v>
      </c>
      <c r="E29" s="17">
        <v>46082</v>
      </c>
      <c r="F29" s="8" t="s">
        <v>405</v>
      </c>
      <c r="G29" s="8" t="s">
        <v>412</v>
      </c>
      <c r="H29" s="8">
        <v>60</v>
      </c>
      <c r="I29" s="10">
        <v>271010</v>
      </c>
      <c r="J29" s="10">
        <v>65762</v>
      </c>
      <c r="K29" s="10">
        <v>0</v>
      </c>
      <c r="L29" s="10">
        <f t="shared" si="0"/>
        <v>205248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3.8" thickBot="1">
      <c r="A30" s="8" t="s">
        <v>45</v>
      </c>
      <c r="B30" s="8">
        <v>30715649159</v>
      </c>
      <c r="C30" s="8" t="s">
        <v>49</v>
      </c>
      <c r="D30" s="9">
        <v>46120</v>
      </c>
      <c r="E30" s="17">
        <v>46082</v>
      </c>
      <c r="F30" s="8" t="s">
        <v>405</v>
      </c>
      <c r="G30" s="8" t="s">
        <v>408</v>
      </c>
      <c r="H30" s="8">
        <v>60</v>
      </c>
      <c r="I30" s="10">
        <v>229023</v>
      </c>
      <c r="J30" s="10">
        <v>85179</v>
      </c>
      <c r="K30" s="10">
        <v>0</v>
      </c>
      <c r="L30" s="10">
        <f t="shared" si="0"/>
        <v>143844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3.8" thickBot="1">
      <c r="A31" s="8" t="s">
        <v>45</v>
      </c>
      <c r="B31" s="8">
        <v>30715649159</v>
      </c>
      <c r="C31" s="8" t="s">
        <v>50</v>
      </c>
      <c r="D31" s="9">
        <v>46120</v>
      </c>
      <c r="E31" s="17">
        <v>46082</v>
      </c>
      <c r="F31" s="8" t="s">
        <v>413</v>
      </c>
      <c r="G31" s="8" t="s">
        <v>406</v>
      </c>
      <c r="H31" s="8">
        <v>60</v>
      </c>
      <c r="I31" s="10">
        <v>5153224.25</v>
      </c>
      <c r="J31" s="10">
        <v>0</v>
      </c>
      <c r="K31" s="10">
        <v>236760.85</v>
      </c>
      <c r="L31" s="10">
        <f t="shared" si="0"/>
        <v>4916463.4000000004</v>
      </c>
    </row>
    <row r="32" spans="1:29" ht="13.8" thickBot="1">
      <c r="A32" s="8" t="s">
        <v>45</v>
      </c>
      <c r="B32" s="8">
        <v>30715649159</v>
      </c>
      <c r="C32" s="8" t="s">
        <v>51</v>
      </c>
      <c r="D32" s="9">
        <v>46120</v>
      </c>
      <c r="E32" s="17">
        <v>46082</v>
      </c>
      <c r="F32" s="8" t="s">
        <v>405</v>
      </c>
      <c r="G32" s="8" t="s">
        <v>416</v>
      </c>
      <c r="H32" s="8">
        <v>60</v>
      </c>
      <c r="I32" s="10">
        <v>52348</v>
      </c>
      <c r="J32" s="10">
        <v>0</v>
      </c>
      <c r="K32" s="10">
        <v>0</v>
      </c>
      <c r="L32" s="10">
        <f t="shared" si="0"/>
        <v>52348</v>
      </c>
    </row>
    <row r="33" spans="1:29" ht="13.8" thickBot="1">
      <c r="A33" s="8" t="s">
        <v>52</v>
      </c>
      <c r="B33" s="8">
        <v>20288604208</v>
      </c>
      <c r="C33" s="8" t="s">
        <v>53</v>
      </c>
      <c r="D33" s="9">
        <v>46119</v>
      </c>
      <c r="E33" s="17">
        <v>46082</v>
      </c>
      <c r="F33" s="8" t="s">
        <v>405</v>
      </c>
      <c r="G33" s="8" t="s">
        <v>406</v>
      </c>
      <c r="H33" s="8">
        <v>45</v>
      </c>
      <c r="I33" s="10">
        <v>216000</v>
      </c>
      <c r="J33" s="10">
        <v>0</v>
      </c>
      <c r="K33" s="10">
        <v>0</v>
      </c>
      <c r="L33" s="10">
        <f t="shared" si="0"/>
        <v>216000</v>
      </c>
    </row>
    <row r="34" spans="1:29" ht="13.8" thickBot="1">
      <c r="A34" s="8" t="s">
        <v>54</v>
      </c>
      <c r="B34" s="8">
        <v>23264829119</v>
      </c>
      <c r="C34" s="8" t="s">
        <v>55</v>
      </c>
      <c r="D34" s="9">
        <v>46120</v>
      </c>
      <c r="E34" s="17">
        <v>46082</v>
      </c>
      <c r="F34" s="8" t="s">
        <v>405</v>
      </c>
      <c r="G34" s="8" t="s">
        <v>406</v>
      </c>
      <c r="H34" s="8">
        <v>45</v>
      </c>
      <c r="I34" s="10">
        <v>415491.09</v>
      </c>
      <c r="J34" s="10">
        <v>0</v>
      </c>
      <c r="K34" s="10">
        <v>0</v>
      </c>
      <c r="L34" s="10">
        <f t="shared" si="0"/>
        <v>415491.09</v>
      </c>
    </row>
    <row r="35" spans="1:29" ht="13.8" thickBot="1">
      <c r="A35" s="8" t="s">
        <v>56</v>
      </c>
      <c r="B35" s="8">
        <v>20178729730</v>
      </c>
      <c r="C35" s="8" t="s">
        <v>57</v>
      </c>
      <c r="D35" s="9">
        <v>46122</v>
      </c>
      <c r="E35" s="17">
        <v>46082</v>
      </c>
      <c r="F35" s="8" t="s">
        <v>405</v>
      </c>
      <c r="G35" s="8" t="s">
        <v>406</v>
      </c>
      <c r="H35" s="8">
        <v>45</v>
      </c>
      <c r="I35" s="10">
        <v>5048410.59</v>
      </c>
      <c r="J35" s="10">
        <v>73445.45</v>
      </c>
      <c r="K35" s="10">
        <v>0</v>
      </c>
      <c r="L35" s="10">
        <f t="shared" si="0"/>
        <v>4974965.1399999997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3.8" thickBot="1">
      <c r="A36" s="8" t="s">
        <v>58</v>
      </c>
      <c r="B36" s="8">
        <v>30714353493</v>
      </c>
      <c r="C36" s="8" t="s">
        <v>59</v>
      </c>
      <c r="D36" s="9">
        <v>46112</v>
      </c>
      <c r="E36" s="17">
        <v>46082</v>
      </c>
      <c r="F36" s="8" t="s">
        <v>413</v>
      </c>
      <c r="G36" s="8" t="s">
        <v>406</v>
      </c>
      <c r="H36" s="8">
        <v>60</v>
      </c>
      <c r="I36" s="10">
        <v>891843.94</v>
      </c>
      <c r="J36" s="10">
        <v>0</v>
      </c>
      <c r="K36" s="10">
        <v>0</v>
      </c>
      <c r="L36" s="10">
        <f t="shared" si="0"/>
        <v>891843.94</v>
      </c>
    </row>
    <row r="37" spans="1:29" ht="13.8" thickBot="1">
      <c r="A37" s="8" t="s">
        <v>58</v>
      </c>
      <c r="B37" s="8">
        <v>30714353493</v>
      </c>
      <c r="C37" s="8" t="s">
        <v>60</v>
      </c>
      <c r="D37" s="9">
        <v>46112</v>
      </c>
      <c r="E37" s="17">
        <v>46082</v>
      </c>
      <c r="F37" s="8" t="s">
        <v>405</v>
      </c>
      <c r="G37" s="8" t="s">
        <v>406</v>
      </c>
      <c r="H37" s="8">
        <v>60</v>
      </c>
      <c r="I37" s="10">
        <v>190441.91</v>
      </c>
      <c r="J37" s="10">
        <v>16800</v>
      </c>
      <c r="K37" s="10">
        <v>0</v>
      </c>
      <c r="L37" s="10">
        <f t="shared" si="0"/>
        <v>173641.91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3.8" thickBot="1">
      <c r="A38" s="8" t="s">
        <v>58</v>
      </c>
      <c r="B38" s="8">
        <v>30714353493</v>
      </c>
      <c r="C38" s="8" t="s">
        <v>61</v>
      </c>
      <c r="D38" s="9">
        <v>46112</v>
      </c>
      <c r="E38" s="17">
        <v>46082</v>
      </c>
      <c r="F38" s="8" t="s">
        <v>405</v>
      </c>
      <c r="G38" s="8" t="s">
        <v>406</v>
      </c>
      <c r="H38" s="8">
        <v>60</v>
      </c>
      <c r="I38" s="10">
        <v>125171.08</v>
      </c>
      <c r="J38" s="10">
        <v>0</v>
      </c>
      <c r="K38" s="10">
        <v>0</v>
      </c>
      <c r="L38" s="10">
        <f t="shared" si="0"/>
        <v>125171.08</v>
      </c>
    </row>
    <row r="39" spans="1:29" ht="13.8" thickBot="1">
      <c r="A39" s="8" t="s">
        <v>58</v>
      </c>
      <c r="B39" s="8">
        <v>30714353493</v>
      </c>
      <c r="C39" s="8" t="s">
        <v>62</v>
      </c>
      <c r="D39" s="9">
        <v>46112</v>
      </c>
      <c r="E39" s="17">
        <v>46082</v>
      </c>
      <c r="F39" s="8" t="s">
        <v>405</v>
      </c>
      <c r="G39" s="8" t="s">
        <v>410</v>
      </c>
      <c r="H39" s="8">
        <v>60</v>
      </c>
      <c r="I39" s="10">
        <v>704.33</v>
      </c>
      <c r="J39" s="10">
        <v>0</v>
      </c>
      <c r="K39" s="10">
        <v>0</v>
      </c>
      <c r="L39" s="10">
        <f t="shared" si="0"/>
        <v>704.33</v>
      </c>
    </row>
    <row r="40" spans="1:29" ht="13.8" thickBot="1">
      <c r="A40" s="8" t="s">
        <v>58</v>
      </c>
      <c r="B40" s="8">
        <v>30714353493</v>
      </c>
      <c r="C40" s="8" t="s">
        <v>63</v>
      </c>
      <c r="D40" s="9">
        <v>46112</v>
      </c>
      <c r="E40" s="17">
        <v>46082</v>
      </c>
      <c r="F40" s="8" t="s">
        <v>405</v>
      </c>
      <c r="G40" s="8" t="s">
        <v>408</v>
      </c>
      <c r="H40" s="8">
        <v>60</v>
      </c>
      <c r="I40" s="10">
        <v>38112.99</v>
      </c>
      <c r="J40" s="10">
        <v>0</v>
      </c>
      <c r="K40" s="10">
        <v>0</v>
      </c>
      <c r="L40" s="10">
        <f t="shared" si="0"/>
        <v>38112.99</v>
      </c>
    </row>
    <row r="41" spans="1:29" ht="13.8" thickBot="1">
      <c r="A41" s="8" t="s">
        <v>58</v>
      </c>
      <c r="B41" s="8">
        <v>30714353493</v>
      </c>
      <c r="C41" s="8" t="s">
        <v>64</v>
      </c>
      <c r="D41" s="9">
        <v>46112</v>
      </c>
      <c r="E41" s="17">
        <v>46082</v>
      </c>
      <c r="F41" s="8" t="s">
        <v>405</v>
      </c>
      <c r="G41" s="8" t="s">
        <v>412</v>
      </c>
      <c r="H41" s="8">
        <v>60</v>
      </c>
      <c r="I41" s="10">
        <v>51122.41</v>
      </c>
      <c r="J41" s="10">
        <v>0</v>
      </c>
      <c r="K41" s="10">
        <v>0</v>
      </c>
      <c r="L41" s="10">
        <f t="shared" si="0"/>
        <v>51122.41</v>
      </c>
    </row>
    <row r="42" spans="1:29" ht="13.8" thickBot="1">
      <c r="A42" s="8" t="s">
        <v>65</v>
      </c>
      <c r="B42" s="8">
        <v>30566661663</v>
      </c>
      <c r="C42" s="8" t="s">
        <v>66</v>
      </c>
      <c r="D42" s="9">
        <v>46113</v>
      </c>
      <c r="E42" s="17">
        <v>46082</v>
      </c>
      <c r="F42" s="8" t="s">
        <v>405</v>
      </c>
      <c r="G42" s="8" t="s">
        <v>406</v>
      </c>
      <c r="H42" s="8">
        <v>45</v>
      </c>
      <c r="I42" s="10">
        <v>59843.5</v>
      </c>
      <c r="J42" s="10">
        <v>59843.5</v>
      </c>
      <c r="K42" s="10">
        <v>0</v>
      </c>
      <c r="L42" s="10">
        <f t="shared" si="0"/>
        <v>0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3.8" thickBot="1">
      <c r="A43" s="8" t="s">
        <v>65</v>
      </c>
      <c r="B43" s="8">
        <v>30566661663</v>
      </c>
      <c r="C43" s="8" t="s">
        <v>67</v>
      </c>
      <c r="D43" s="9">
        <v>46118</v>
      </c>
      <c r="E43" s="17">
        <v>46082</v>
      </c>
      <c r="F43" s="8" t="s">
        <v>405</v>
      </c>
      <c r="G43" s="8" t="s">
        <v>408</v>
      </c>
      <c r="H43" s="8">
        <v>45</v>
      </c>
      <c r="I43" s="10">
        <v>160062.5</v>
      </c>
      <c r="J43" s="10">
        <v>160062.5</v>
      </c>
      <c r="K43" s="10">
        <v>0</v>
      </c>
      <c r="L43" s="10">
        <f t="shared" si="0"/>
        <v>0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3.8" thickBot="1">
      <c r="A44" s="8" t="s">
        <v>68</v>
      </c>
      <c r="B44" s="8">
        <v>30715347756</v>
      </c>
      <c r="C44" s="8" t="s">
        <v>69</v>
      </c>
      <c r="D44" s="9">
        <v>46119</v>
      </c>
      <c r="E44" s="17">
        <v>46082</v>
      </c>
      <c r="F44" s="8" t="s">
        <v>405</v>
      </c>
      <c r="G44" s="8" t="s">
        <v>408</v>
      </c>
      <c r="H44" s="8">
        <v>60</v>
      </c>
      <c r="I44" s="10">
        <v>241401</v>
      </c>
      <c r="J44" s="10">
        <v>0</v>
      </c>
      <c r="K44" s="10">
        <v>0</v>
      </c>
      <c r="L44" s="10">
        <f t="shared" si="0"/>
        <v>241401</v>
      </c>
    </row>
    <row r="45" spans="1:29" ht="13.8" thickBot="1">
      <c r="A45" s="8" t="s">
        <v>70</v>
      </c>
      <c r="B45" s="8">
        <v>30715316338</v>
      </c>
      <c r="C45" s="8" t="s">
        <v>71</v>
      </c>
      <c r="D45" s="9">
        <v>46119</v>
      </c>
      <c r="E45" s="17">
        <v>46082</v>
      </c>
      <c r="F45" s="8" t="s">
        <v>405</v>
      </c>
      <c r="G45" s="8" t="s">
        <v>408</v>
      </c>
      <c r="H45" s="8">
        <v>45</v>
      </c>
      <c r="I45" s="10">
        <v>74447.070000000007</v>
      </c>
      <c r="J45" s="10">
        <v>11614.8</v>
      </c>
      <c r="K45" s="10">
        <v>0</v>
      </c>
      <c r="L45" s="10">
        <f t="shared" si="0"/>
        <v>62832.270000000004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3.8" thickBot="1">
      <c r="A46" s="8" t="s">
        <v>70</v>
      </c>
      <c r="B46" s="8">
        <v>30715316338</v>
      </c>
      <c r="C46" s="8" t="s">
        <v>72</v>
      </c>
      <c r="D46" s="9">
        <v>46119</v>
      </c>
      <c r="E46" s="17">
        <v>46082</v>
      </c>
      <c r="F46" s="8" t="s">
        <v>405</v>
      </c>
      <c r="G46" s="8" t="s">
        <v>406</v>
      </c>
      <c r="H46" s="8">
        <v>45</v>
      </c>
      <c r="I46" s="10">
        <v>22676.71</v>
      </c>
      <c r="J46" s="10">
        <v>5399.21</v>
      </c>
      <c r="K46" s="10">
        <v>0</v>
      </c>
      <c r="L46" s="10">
        <f t="shared" si="0"/>
        <v>17277.5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3.8" thickBot="1">
      <c r="A47" s="8" t="s">
        <v>73</v>
      </c>
      <c r="B47" s="8">
        <v>30710118821</v>
      </c>
      <c r="C47" s="8" t="s">
        <v>74</v>
      </c>
      <c r="D47" s="9">
        <v>46118</v>
      </c>
      <c r="E47" s="17">
        <v>46082</v>
      </c>
      <c r="F47" s="8" t="s">
        <v>405</v>
      </c>
      <c r="G47" s="8" t="s">
        <v>406</v>
      </c>
      <c r="H47" s="8">
        <v>60</v>
      </c>
      <c r="I47" s="10">
        <v>11500</v>
      </c>
      <c r="J47" s="10">
        <v>0</v>
      </c>
      <c r="K47" s="10">
        <v>0</v>
      </c>
      <c r="L47" s="10">
        <f t="shared" si="0"/>
        <v>11500</v>
      </c>
    </row>
    <row r="48" spans="1:29" ht="13.8" thickBot="1">
      <c r="A48" s="8" t="s">
        <v>75</v>
      </c>
      <c r="B48" s="8">
        <v>30715190253</v>
      </c>
      <c r="C48" s="8" t="s">
        <v>76</v>
      </c>
      <c r="D48" s="9">
        <v>46112</v>
      </c>
      <c r="E48" s="17">
        <v>46082</v>
      </c>
      <c r="F48" s="8" t="s">
        <v>405</v>
      </c>
      <c r="G48" s="8" t="s">
        <v>406</v>
      </c>
      <c r="H48" s="8">
        <v>45</v>
      </c>
      <c r="I48" s="10">
        <v>1246973.98</v>
      </c>
      <c r="J48" s="10">
        <v>11480</v>
      </c>
      <c r="K48" s="10">
        <v>0</v>
      </c>
      <c r="L48" s="10">
        <f t="shared" si="0"/>
        <v>1235493.98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3.8" thickBot="1">
      <c r="A49" s="8" t="s">
        <v>75</v>
      </c>
      <c r="B49" s="8">
        <v>30715190253</v>
      </c>
      <c r="C49" s="8" t="s">
        <v>77</v>
      </c>
      <c r="D49" s="9">
        <v>46112</v>
      </c>
      <c r="E49" s="17">
        <v>46082</v>
      </c>
      <c r="F49" s="8" t="s">
        <v>405</v>
      </c>
      <c r="G49" s="8" t="s">
        <v>408</v>
      </c>
      <c r="H49" s="8">
        <v>45</v>
      </c>
      <c r="I49" s="10">
        <v>7764</v>
      </c>
      <c r="J49" s="10">
        <v>0</v>
      </c>
      <c r="K49" s="10">
        <v>0</v>
      </c>
      <c r="L49" s="10">
        <f t="shared" si="0"/>
        <v>7764</v>
      </c>
    </row>
    <row r="50" spans="1:29" ht="13.8" thickBot="1">
      <c r="A50" s="8" t="s">
        <v>75</v>
      </c>
      <c r="B50" s="8">
        <v>30715190253</v>
      </c>
      <c r="C50" s="8" t="s">
        <v>78</v>
      </c>
      <c r="D50" s="9">
        <v>46112</v>
      </c>
      <c r="E50" s="17">
        <v>46082</v>
      </c>
      <c r="F50" s="8" t="s">
        <v>405</v>
      </c>
      <c r="G50" s="8" t="s">
        <v>412</v>
      </c>
      <c r="H50" s="8">
        <v>45</v>
      </c>
      <c r="I50" s="10">
        <v>175206.46</v>
      </c>
      <c r="J50" s="10">
        <v>0</v>
      </c>
      <c r="K50" s="10">
        <v>0</v>
      </c>
      <c r="L50" s="10">
        <f t="shared" si="0"/>
        <v>175206.46</v>
      </c>
    </row>
    <row r="51" spans="1:29" ht="13.8" thickBot="1">
      <c r="A51" s="8" t="s">
        <v>79</v>
      </c>
      <c r="B51" s="8">
        <v>30637580961</v>
      </c>
      <c r="C51" s="8" t="s">
        <v>80</v>
      </c>
      <c r="D51" s="9">
        <v>46119</v>
      </c>
      <c r="E51" s="17">
        <v>46082</v>
      </c>
      <c r="F51" s="8" t="s">
        <v>413</v>
      </c>
      <c r="G51" s="8" t="s">
        <v>406</v>
      </c>
      <c r="H51" s="8">
        <v>60</v>
      </c>
      <c r="I51" s="10">
        <v>15883793.449999999</v>
      </c>
      <c r="J51" s="10">
        <v>2141806.1</v>
      </c>
      <c r="K51" s="10">
        <v>619767.25</v>
      </c>
      <c r="L51" s="10">
        <f t="shared" si="0"/>
        <v>13122220.1</v>
      </c>
    </row>
    <row r="52" spans="1:29" ht="13.8" thickBot="1">
      <c r="A52" s="8" t="s">
        <v>79</v>
      </c>
      <c r="B52" s="8">
        <v>30637580961</v>
      </c>
      <c r="C52" s="8" t="s">
        <v>81</v>
      </c>
      <c r="D52" s="9">
        <v>46119</v>
      </c>
      <c r="E52" s="17">
        <v>46082</v>
      </c>
      <c r="F52" s="8" t="s">
        <v>405</v>
      </c>
      <c r="G52" s="8" t="s">
        <v>406</v>
      </c>
      <c r="H52" s="8">
        <v>60</v>
      </c>
      <c r="I52" s="10">
        <v>86588.41</v>
      </c>
      <c r="J52" s="10">
        <v>0</v>
      </c>
      <c r="K52" s="10">
        <v>0</v>
      </c>
      <c r="L52" s="10">
        <f t="shared" si="0"/>
        <v>86588.41</v>
      </c>
    </row>
    <row r="53" spans="1:29" ht="13.8" thickBot="1">
      <c r="A53" s="8" t="s">
        <v>82</v>
      </c>
      <c r="B53" s="8">
        <v>30674856756</v>
      </c>
      <c r="C53" s="8" t="s">
        <v>83</v>
      </c>
      <c r="D53" s="9">
        <v>46118</v>
      </c>
      <c r="E53" s="17">
        <v>46082</v>
      </c>
      <c r="F53" s="8" t="s">
        <v>405</v>
      </c>
      <c r="G53" s="8" t="s">
        <v>408</v>
      </c>
      <c r="H53" s="8">
        <v>45</v>
      </c>
      <c r="I53" s="10">
        <v>155000</v>
      </c>
      <c r="J53" s="10">
        <v>0</v>
      </c>
      <c r="K53" s="10">
        <v>0</v>
      </c>
      <c r="L53" s="10">
        <f t="shared" si="0"/>
        <v>155000</v>
      </c>
    </row>
    <row r="54" spans="1:29" ht="13.8" thickBot="1">
      <c r="A54" s="8" t="s">
        <v>84</v>
      </c>
      <c r="B54" s="8">
        <v>30566278207</v>
      </c>
      <c r="C54" s="8" t="s">
        <v>85</v>
      </c>
      <c r="D54" s="9">
        <v>46121</v>
      </c>
      <c r="E54" s="17">
        <v>46082</v>
      </c>
      <c r="F54" s="8" t="s">
        <v>405</v>
      </c>
      <c r="G54" s="8" t="s">
        <v>406</v>
      </c>
      <c r="H54" s="8">
        <v>45</v>
      </c>
      <c r="I54" s="10">
        <v>385231.37</v>
      </c>
      <c r="J54" s="10">
        <v>0</v>
      </c>
      <c r="K54" s="10">
        <v>0</v>
      </c>
      <c r="L54" s="10">
        <f t="shared" si="0"/>
        <v>385231.37</v>
      </c>
    </row>
    <row r="55" spans="1:29" ht="13.8" thickBot="1">
      <c r="A55" s="8" t="s">
        <v>84</v>
      </c>
      <c r="B55" s="8">
        <v>30566278207</v>
      </c>
      <c r="C55" s="8" t="s">
        <v>86</v>
      </c>
      <c r="D55" s="9">
        <v>46121</v>
      </c>
      <c r="E55" s="17">
        <v>46082</v>
      </c>
      <c r="F55" s="8" t="s">
        <v>405</v>
      </c>
      <c r="G55" s="8" t="s">
        <v>412</v>
      </c>
      <c r="H55" s="8">
        <v>45</v>
      </c>
      <c r="I55" s="10">
        <v>47096.18</v>
      </c>
      <c r="J55" s="10">
        <v>0</v>
      </c>
      <c r="K55" s="10">
        <v>0</v>
      </c>
      <c r="L55" s="10">
        <f t="shared" si="0"/>
        <v>47096.18</v>
      </c>
    </row>
    <row r="56" spans="1:29" ht="13.8" thickBot="1">
      <c r="A56" s="8" t="s">
        <v>84</v>
      </c>
      <c r="B56" s="8">
        <v>30566278207</v>
      </c>
      <c r="C56" s="8" t="s">
        <v>87</v>
      </c>
      <c r="D56" s="9">
        <v>46121</v>
      </c>
      <c r="E56" s="17">
        <v>46082</v>
      </c>
      <c r="F56" s="8" t="s">
        <v>405</v>
      </c>
      <c r="G56" s="8" t="s">
        <v>408</v>
      </c>
      <c r="H56" s="8">
        <v>45</v>
      </c>
      <c r="I56" s="10">
        <v>20254.310000000001</v>
      </c>
      <c r="J56" s="10">
        <v>0</v>
      </c>
      <c r="K56" s="10">
        <v>0</v>
      </c>
      <c r="L56" s="10">
        <f t="shared" si="0"/>
        <v>20254.310000000001</v>
      </c>
    </row>
    <row r="57" spans="1:29" ht="13.8" thickBot="1">
      <c r="A57" s="8" t="s">
        <v>84</v>
      </c>
      <c r="B57" s="8">
        <v>30566278207</v>
      </c>
      <c r="C57" s="8" t="s">
        <v>88</v>
      </c>
      <c r="D57" s="9">
        <v>46125</v>
      </c>
      <c r="E57" s="17">
        <v>46082</v>
      </c>
      <c r="F57" s="8" t="s">
        <v>417</v>
      </c>
      <c r="G57" s="8" t="s">
        <v>412</v>
      </c>
      <c r="H57" s="8">
        <v>60</v>
      </c>
      <c r="I57" s="10">
        <v>53336.06</v>
      </c>
      <c r="J57" s="10">
        <v>21833.35</v>
      </c>
      <c r="K57" s="10">
        <v>0</v>
      </c>
      <c r="L57" s="10">
        <f t="shared" si="0"/>
        <v>31502.71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3.8" thickBot="1">
      <c r="A58" s="8" t="s">
        <v>89</v>
      </c>
      <c r="B58" s="8">
        <v>30708237791</v>
      </c>
      <c r="C58" s="8" t="s">
        <v>90</v>
      </c>
      <c r="D58" s="9">
        <v>46112</v>
      </c>
      <c r="E58" s="17">
        <v>46082</v>
      </c>
      <c r="F58" s="8" t="s">
        <v>405</v>
      </c>
      <c r="G58" s="8" t="s">
        <v>406</v>
      </c>
      <c r="H58" s="8">
        <v>60</v>
      </c>
      <c r="I58" s="10">
        <v>200081</v>
      </c>
      <c r="J58" s="10">
        <v>103969</v>
      </c>
      <c r="K58" s="10">
        <v>0</v>
      </c>
      <c r="L58" s="10">
        <f t="shared" si="0"/>
        <v>96112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3.8" thickBot="1">
      <c r="A59" s="8" t="s">
        <v>91</v>
      </c>
      <c r="B59" s="8">
        <v>30545996991</v>
      </c>
      <c r="C59" s="8" t="s">
        <v>92</v>
      </c>
      <c r="D59" s="9">
        <v>46122</v>
      </c>
      <c r="E59" s="17">
        <v>46082</v>
      </c>
      <c r="F59" s="8" t="s">
        <v>405</v>
      </c>
      <c r="G59" s="8" t="s">
        <v>412</v>
      </c>
      <c r="H59" s="8">
        <v>60</v>
      </c>
      <c r="I59" s="10">
        <v>74793.73</v>
      </c>
      <c r="J59" s="10">
        <v>35323.919999999998</v>
      </c>
      <c r="K59" s="10">
        <v>0</v>
      </c>
      <c r="L59" s="10">
        <f t="shared" si="0"/>
        <v>39469.81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3.8" thickBot="1">
      <c r="A60" s="8" t="s">
        <v>91</v>
      </c>
      <c r="B60" s="8">
        <v>30545996991</v>
      </c>
      <c r="C60" s="8" t="s">
        <v>93</v>
      </c>
      <c r="D60" s="9">
        <v>46122</v>
      </c>
      <c r="E60" s="17">
        <v>46082</v>
      </c>
      <c r="F60" s="8" t="s">
        <v>405</v>
      </c>
      <c r="G60" s="8" t="s">
        <v>406</v>
      </c>
      <c r="H60" s="8">
        <v>60</v>
      </c>
      <c r="I60" s="10">
        <v>39750.160000000003</v>
      </c>
      <c r="J60" s="10">
        <v>14158.3</v>
      </c>
      <c r="K60" s="10">
        <v>0</v>
      </c>
      <c r="L60" s="10">
        <f t="shared" si="0"/>
        <v>25591.860000000004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3.8" thickBot="1">
      <c r="A61" s="8" t="s">
        <v>91</v>
      </c>
      <c r="B61" s="8">
        <v>30545996991</v>
      </c>
      <c r="C61" s="8" t="s">
        <v>94</v>
      </c>
      <c r="D61" s="9">
        <v>46122</v>
      </c>
      <c r="E61" s="17">
        <v>46082</v>
      </c>
      <c r="F61" s="8" t="s">
        <v>413</v>
      </c>
      <c r="G61" s="8" t="s">
        <v>408</v>
      </c>
      <c r="H61" s="8">
        <v>60</v>
      </c>
      <c r="I61" s="10">
        <v>294197.90999999997</v>
      </c>
      <c r="J61" s="10">
        <v>0</v>
      </c>
      <c r="K61" s="10">
        <v>0</v>
      </c>
      <c r="L61" s="10">
        <f t="shared" si="0"/>
        <v>294197.90999999997</v>
      </c>
    </row>
    <row r="62" spans="1:29" ht="13.8" thickBot="1">
      <c r="A62" s="8" t="s">
        <v>91</v>
      </c>
      <c r="B62" s="8">
        <v>30545996991</v>
      </c>
      <c r="C62" s="8" t="s">
        <v>95</v>
      </c>
      <c r="D62" s="9">
        <v>46122</v>
      </c>
      <c r="E62" s="17">
        <v>46082</v>
      </c>
      <c r="F62" s="8" t="s">
        <v>413</v>
      </c>
      <c r="G62" s="8" t="s">
        <v>412</v>
      </c>
      <c r="H62" s="8">
        <v>60</v>
      </c>
      <c r="I62" s="10">
        <v>686461.79</v>
      </c>
      <c r="J62" s="10">
        <v>0</v>
      </c>
      <c r="K62" s="10">
        <v>0</v>
      </c>
      <c r="L62" s="10">
        <f t="shared" si="0"/>
        <v>686461.79</v>
      </c>
    </row>
    <row r="63" spans="1:29" ht="13.8" thickBot="1">
      <c r="A63" s="8" t="s">
        <v>91</v>
      </c>
      <c r="B63" s="8">
        <v>30545996991</v>
      </c>
      <c r="C63" s="8" t="s">
        <v>96</v>
      </c>
      <c r="D63" s="9">
        <v>46122</v>
      </c>
      <c r="E63" s="17">
        <v>46082</v>
      </c>
      <c r="F63" s="8" t="s">
        <v>413</v>
      </c>
      <c r="G63" s="8" t="s">
        <v>406</v>
      </c>
      <c r="H63" s="8">
        <v>60</v>
      </c>
      <c r="I63" s="10">
        <v>796525.93</v>
      </c>
      <c r="J63" s="10">
        <v>0</v>
      </c>
      <c r="K63" s="10">
        <v>76262.86</v>
      </c>
      <c r="L63" s="10">
        <f t="shared" si="0"/>
        <v>720263.07000000007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3.8" thickBot="1">
      <c r="A64" s="8" t="s">
        <v>97</v>
      </c>
      <c r="B64" s="8">
        <v>30708069791</v>
      </c>
      <c r="C64" s="8" t="s">
        <v>98</v>
      </c>
      <c r="D64" s="9">
        <v>46099</v>
      </c>
      <c r="E64" s="17">
        <v>46082</v>
      </c>
      <c r="F64" s="8" t="s">
        <v>414</v>
      </c>
      <c r="G64" s="8" t="s">
        <v>406</v>
      </c>
      <c r="H64" s="8">
        <v>45</v>
      </c>
      <c r="I64" s="10">
        <v>9339.25</v>
      </c>
      <c r="J64" s="10">
        <v>0</v>
      </c>
      <c r="K64" s="10">
        <v>0</v>
      </c>
      <c r="L64" s="10">
        <f t="shared" si="0"/>
        <v>9339.25</v>
      </c>
    </row>
    <row r="65" spans="1:29" ht="13.8" thickBot="1">
      <c r="A65" s="8" t="s">
        <v>97</v>
      </c>
      <c r="B65" s="8">
        <v>30708069791</v>
      </c>
      <c r="C65" s="8" t="s">
        <v>99</v>
      </c>
      <c r="D65" s="9">
        <v>46099</v>
      </c>
      <c r="E65" s="17">
        <v>46082</v>
      </c>
      <c r="F65" s="8" t="s">
        <v>414</v>
      </c>
      <c r="G65" s="8" t="s">
        <v>406</v>
      </c>
      <c r="H65" s="8">
        <v>45</v>
      </c>
      <c r="I65" s="10">
        <v>9974.65</v>
      </c>
      <c r="J65" s="10">
        <v>0</v>
      </c>
      <c r="K65" s="10">
        <v>0</v>
      </c>
      <c r="L65" s="10">
        <f t="shared" si="0"/>
        <v>9974.65</v>
      </c>
    </row>
    <row r="66" spans="1:29" ht="13.8" thickBot="1">
      <c r="A66" s="8" t="s">
        <v>97</v>
      </c>
      <c r="B66" s="8">
        <v>30708069791</v>
      </c>
      <c r="C66" s="8" t="s">
        <v>100</v>
      </c>
      <c r="D66" s="9">
        <v>46113</v>
      </c>
      <c r="E66" s="17">
        <v>46082</v>
      </c>
      <c r="F66" s="8" t="s">
        <v>405</v>
      </c>
      <c r="G66" s="8" t="s">
        <v>406</v>
      </c>
      <c r="H66" s="8">
        <v>45</v>
      </c>
      <c r="I66" s="10">
        <v>143507</v>
      </c>
      <c r="J66" s="10">
        <v>0</v>
      </c>
      <c r="K66" s="10">
        <v>0</v>
      </c>
      <c r="L66" s="10">
        <f t="shared" si="0"/>
        <v>143507</v>
      </c>
    </row>
    <row r="67" spans="1:29" ht="13.8" thickBot="1">
      <c r="A67" s="8" t="s">
        <v>101</v>
      </c>
      <c r="B67" s="8">
        <v>30596272165</v>
      </c>
      <c r="C67" s="8" t="s">
        <v>102</v>
      </c>
      <c r="D67" s="9">
        <v>46112</v>
      </c>
      <c r="E67" s="17">
        <v>46082</v>
      </c>
      <c r="F67" s="8" t="s">
        <v>405</v>
      </c>
      <c r="G67" s="8" t="s">
        <v>406</v>
      </c>
      <c r="H67" s="8">
        <v>60</v>
      </c>
      <c r="I67" s="10">
        <v>6159.02</v>
      </c>
      <c r="J67" s="10">
        <v>0</v>
      </c>
      <c r="K67" s="10">
        <v>0</v>
      </c>
      <c r="L67" s="10">
        <f t="shared" si="0"/>
        <v>6159.02</v>
      </c>
    </row>
    <row r="68" spans="1:29" ht="13.8" thickBot="1">
      <c r="A68" s="8" t="s">
        <v>101</v>
      </c>
      <c r="B68" s="8">
        <v>30596272165</v>
      </c>
      <c r="C68" s="8" t="s">
        <v>103</v>
      </c>
      <c r="D68" s="9">
        <v>46118</v>
      </c>
      <c r="E68" s="17">
        <v>46082</v>
      </c>
      <c r="F68" s="8" t="s">
        <v>405</v>
      </c>
      <c r="G68" s="8" t="s">
        <v>406</v>
      </c>
      <c r="H68" s="8">
        <v>60</v>
      </c>
      <c r="I68" s="10">
        <v>586928.81999999995</v>
      </c>
      <c r="J68" s="10">
        <v>39420</v>
      </c>
      <c r="K68" s="10">
        <v>0</v>
      </c>
      <c r="L68" s="10">
        <f t="shared" si="0"/>
        <v>547508.81999999995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3.8" thickBot="1">
      <c r="A69" s="8" t="s">
        <v>101</v>
      </c>
      <c r="B69" s="8">
        <v>30596272165</v>
      </c>
      <c r="C69" s="8" t="s">
        <v>104</v>
      </c>
      <c r="D69" s="9">
        <v>46118</v>
      </c>
      <c r="E69" s="17">
        <v>46082</v>
      </c>
      <c r="F69" s="8" t="s">
        <v>405</v>
      </c>
      <c r="G69" s="8" t="s">
        <v>408</v>
      </c>
      <c r="H69" s="8">
        <v>60</v>
      </c>
      <c r="I69" s="10">
        <v>27522.959999999999</v>
      </c>
      <c r="J69" s="10">
        <v>0</v>
      </c>
      <c r="K69" s="10">
        <v>0</v>
      </c>
      <c r="L69" s="10">
        <f t="shared" si="0"/>
        <v>27522.959999999999</v>
      </c>
    </row>
    <row r="70" spans="1:29" ht="13.8" thickBot="1">
      <c r="A70" s="8" t="s">
        <v>101</v>
      </c>
      <c r="B70" s="8">
        <v>30596272165</v>
      </c>
      <c r="C70" s="8" t="s">
        <v>105</v>
      </c>
      <c r="D70" s="9">
        <v>46120</v>
      </c>
      <c r="E70" s="17">
        <v>46082</v>
      </c>
      <c r="F70" s="8" t="s">
        <v>413</v>
      </c>
      <c r="G70" s="8" t="s">
        <v>406</v>
      </c>
      <c r="H70" s="8">
        <v>60</v>
      </c>
      <c r="I70" s="10">
        <v>3268032.6</v>
      </c>
      <c r="J70" s="10">
        <v>0</v>
      </c>
      <c r="K70" s="10">
        <v>826569.34</v>
      </c>
      <c r="L70" s="10">
        <f t="shared" si="0"/>
        <v>2441463.2600000002</v>
      </c>
    </row>
    <row r="71" spans="1:29" ht="13.8" thickBot="1">
      <c r="A71" s="8" t="s">
        <v>106</v>
      </c>
      <c r="B71" s="8">
        <v>30682285431</v>
      </c>
      <c r="C71" s="8" t="s">
        <v>107</v>
      </c>
      <c r="D71" s="9">
        <v>46119</v>
      </c>
      <c r="E71" s="17">
        <v>46082</v>
      </c>
      <c r="F71" s="8" t="s">
        <v>405</v>
      </c>
      <c r="G71" s="8" t="s">
        <v>408</v>
      </c>
      <c r="H71" s="8">
        <v>60</v>
      </c>
      <c r="I71" s="10">
        <v>12500</v>
      </c>
      <c r="J71" s="10">
        <v>0</v>
      </c>
      <c r="K71" s="10">
        <v>0</v>
      </c>
      <c r="L71" s="10">
        <f t="shared" si="0"/>
        <v>12500</v>
      </c>
    </row>
    <row r="72" spans="1:29" ht="13.8" thickBot="1">
      <c r="A72" s="8" t="s">
        <v>106</v>
      </c>
      <c r="B72" s="8">
        <v>30682285431</v>
      </c>
      <c r="C72" s="8" t="s">
        <v>108</v>
      </c>
      <c r="D72" s="9">
        <v>46120</v>
      </c>
      <c r="E72" s="17">
        <v>46082</v>
      </c>
      <c r="F72" s="8" t="s">
        <v>405</v>
      </c>
      <c r="G72" s="8" t="s">
        <v>406</v>
      </c>
      <c r="H72" s="8">
        <v>60</v>
      </c>
      <c r="I72" s="10">
        <v>296173.51</v>
      </c>
      <c r="J72" s="10">
        <v>0</v>
      </c>
      <c r="K72" s="10">
        <v>0</v>
      </c>
      <c r="L72" s="10">
        <f t="shared" si="0"/>
        <v>296173.51</v>
      </c>
    </row>
    <row r="73" spans="1:29" ht="13.8" thickBot="1">
      <c r="A73" s="8" t="s">
        <v>109</v>
      </c>
      <c r="B73" s="8">
        <v>30645574326</v>
      </c>
      <c r="C73" s="8" t="s">
        <v>110</v>
      </c>
      <c r="D73" s="9">
        <v>46118</v>
      </c>
      <c r="E73" s="17">
        <v>46082</v>
      </c>
      <c r="F73" s="8" t="s">
        <v>405</v>
      </c>
      <c r="G73" s="8" t="s">
        <v>408</v>
      </c>
      <c r="H73" s="8">
        <v>45</v>
      </c>
      <c r="I73" s="10">
        <v>743035.81</v>
      </c>
      <c r="J73" s="10">
        <v>5088.72</v>
      </c>
      <c r="K73" s="10">
        <v>0</v>
      </c>
      <c r="L73" s="10">
        <f t="shared" si="0"/>
        <v>737947.09000000008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3.8" thickBot="1">
      <c r="A74" s="8" t="s">
        <v>111</v>
      </c>
      <c r="B74" s="8">
        <v>30660567840</v>
      </c>
      <c r="C74" s="8" t="s">
        <v>112</v>
      </c>
      <c r="D74" s="9">
        <v>46111</v>
      </c>
      <c r="E74" s="17">
        <v>46082</v>
      </c>
      <c r="F74" s="8" t="s">
        <v>405</v>
      </c>
      <c r="G74" s="8" t="s">
        <v>410</v>
      </c>
      <c r="H74" s="8">
        <v>60</v>
      </c>
      <c r="I74" s="10">
        <v>9705.6</v>
      </c>
      <c r="J74" s="10">
        <v>0</v>
      </c>
      <c r="K74" s="10">
        <v>0</v>
      </c>
      <c r="L74" s="10">
        <f t="shared" si="0"/>
        <v>9705.6</v>
      </c>
    </row>
    <row r="75" spans="1:29" ht="13.8" thickBot="1">
      <c r="A75" s="8" t="s">
        <v>111</v>
      </c>
      <c r="B75" s="8">
        <v>30660567840</v>
      </c>
      <c r="C75" s="8" t="s">
        <v>113</v>
      </c>
      <c r="D75" s="9">
        <v>46111</v>
      </c>
      <c r="E75" s="17">
        <v>46082</v>
      </c>
      <c r="F75" s="8" t="s">
        <v>405</v>
      </c>
      <c r="G75" s="8" t="s">
        <v>406</v>
      </c>
      <c r="H75" s="8">
        <v>60</v>
      </c>
      <c r="I75" s="10">
        <v>308719.83</v>
      </c>
      <c r="J75" s="10">
        <v>0</v>
      </c>
      <c r="K75" s="10">
        <v>0</v>
      </c>
      <c r="L75" s="10">
        <f t="shared" si="0"/>
        <v>308719.83</v>
      </c>
    </row>
    <row r="76" spans="1:29" ht="13.8" thickBot="1">
      <c r="A76" s="8" t="s">
        <v>111</v>
      </c>
      <c r="B76" s="8">
        <v>30660567840</v>
      </c>
      <c r="C76" s="8" t="s">
        <v>114</v>
      </c>
      <c r="D76" s="9">
        <v>46111</v>
      </c>
      <c r="E76" s="17">
        <v>46082</v>
      </c>
      <c r="F76" s="8" t="s">
        <v>405</v>
      </c>
      <c r="G76" s="8" t="s">
        <v>412</v>
      </c>
      <c r="H76" s="8">
        <v>60</v>
      </c>
      <c r="I76" s="10">
        <v>156530.78</v>
      </c>
      <c r="J76" s="10">
        <v>0</v>
      </c>
      <c r="K76" s="10">
        <v>0</v>
      </c>
      <c r="L76" s="10">
        <f t="shared" si="0"/>
        <v>156530.78</v>
      </c>
    </row>
    <row r="77" spans="1:29" ht="13.8" thickBot="1">
      <c r="A77" s="8" t="s">
        <v>111</v>
      </c>
      <c r="B77" s="8">
        <v>30660567840</v>
      </c>
      <c r="C77" s="8" t="s">
        <v>115</v>
      </c>
      <c r="D77" s="9">
        <v>46111</v>
      </c>
      <c r="E77" s="17">
        <v>46082</v>
      </c>
      <c r="F77" s="8" t="s">
        <v>405</v>
      </c>
      <c r="G77" s="8" t="s">
        <v>408</v>
      </c>
      <c r="H77" s="8">
        <v>60</v>
      </c>
      <c r="I77" s="10">
        <v>12405.6</v>
      </c>
      <c r="J77" s="10">
        <v>0</v>
      </c>
      <c r="K77" s="10">
        <v>0</v>
      </c>
      <c r="L77" s="10">
        <f t="shared" si="0"/>
        <v>12405.6</v>
      </c>
    </row>
    <row r="78" spans="1:29" ht="13.8" thickBot="1">
      <c r="A78" s="8" t="s">
        <v>111</v>
      </c>
      <c r="B78" s="8">
        <v>30660567840</v>
      </c>
      <c r="C78" s="8" t="s">
        <v>116</v>
      </c>
      <c r="D78" s="9">
        <v>46113</v>
      </c>
      <c r="E78" s="17">
        <v>46082</v>
      </c>
      <c r="F78" s="8" t="s">
        <v>413</v>
      </c>
      <c r="G78" s="8" t="s">
        <v>406</v>
      </c>
      <c r="H78" s="8">
        <v>60</v>
      </c>
      <c r="I78" s="10">
        <v>1813315.52</v>
      </c>
      <c r="J78" s="10">
        <v>0</v>
      </c>
      <c r="K78" s="10">
        <v>868290.93</v>
      </c>
      <c r="L78" s="10">
        <f t="shared" si="0"/>
        <v>945024.59</v>
      </c>
    </row>
    <row r="79" spans="1:29" ht="13.8" thickBot="1">
      <c r="A79" s="8" t="s">
        <v>117</v>
      </c>
      <c r="B79" s="8">
        <v>30615571454</v>
      </c>
      <c r="C79" s="8" t="s">
        <v>118</v>
      </c>
      <c r="D79" s="9">
        <v>46121</v>
      </c>
      <c r="E79" s="17">
        <v>46082</v>
      </c>
      <c r="F79" s="8" t="s">
        <v>413</v>
      </c>
      <c r="G79" s="8" t="s">
        <v>408</v>
      </c>
      <c r="H79" s="8">
        <v>45</v>
      </c>
      <c r="I79" s="10">
        <v>866323.27</v>
      </c>
      <c r="J79" s="10">
        <v>18162</v>
      </c>
      <c r="K79" s="10">
        <v>31786.27</v>
      </c>
      <c r="L79" s="10">
        <f t="shared" si="0"/>
        <v>816375</v>
      </c>
    </row>
    <row r="80" spans="1:29" ht="13.8" thickBot="1">
      <c r="A80" s="8" t="s">
        <v>117</v>
      </c>
      <c r="B80" s="8">
        <v>30615571454</v>
      </c>
      <c r="C80" s="8" t="s">
        <v>119</v>
      </c>
      <c r="D80" s="9">
        <v>46122</v>
      </c>
      <c r="E80" s="17">
        <v>46082</v>
      </c>
      <c r="F80" s="8" t="s">
        <v>405</v>
      </c>
      <c r="G80" s="8" t="s">
        <v>408</v>
      </c>
      <c r="H80" s="8">
        <v>60</v>
      </c>
      <c r="I80" s="10">
        <v>90219.78</v>
      </c>
      <c r="J80" s="10">
        <v>5518.02</v>
      </c>
      <c r="K80" s="10">
        <v>0</v>
      </c>
      <c r="L80" s="10">
        <f t="shared" si="0"/>
        <v>84701.759999999995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3.8" thickBot="1">
      <c r="A81" s="8" t="s">
        <v>117</v>
      </c>
      <c r="B81" s="8">
        <v>30615571454</v>
      </c>
      <c r="C81" s="8" t="s">
        <v>120</v>
      </c>
      <c r="D81" s="9">
        <v>46122</v>
      </c>
      <c r="E81" s="17">
        <v>46082</v>
      </c>
      <c r="F81" s="8" t="s">
        <v>405</v>
      </c>
      <c r="G81" s="8" t="s">
        <v>412</v>
      </c>
      <c r="H81" s="8">
        <v>60</v>
      </c>
      <c r="I81" s="10">
        <v>27628.880000000001</v>
      </c>
      <c r="J81" s="10">
        <v>0</v>
      </c>
      <c r="K81" s="10">
        <v>0</v>
      </c>
      <c r="L81" s="10">
        <f t="shared" si="0"/>
        <v>27628.880000000001</v>
      </c>
    </row>
    <row r="82" spans="1:29" ht="13.8" thickBot="1">
      <c r="A82" s="8" t="s">
        <v>117</v>
      </c>
      <c r="B82" s="8">
        <v>30615571454</v>
      </c>
      <c r="C82" s="8" t="s">
        <v>121</v>
      </c>
      <c r="D82" s="9">
        <v>46122</v>
      </c>
      <c r="E82" s="17">
        <v>46082</v>
      </c>
      <c r="F82" s="8" t="s">
        <v>405</v>
      </c>
      <c r="G82" s="8" t="s">
        <v>412</v>
      </c>
      <c r="H82" s="8">
        <v>60</v>
      </c>
      <c r="I82" s="10">
        <v>31826.18</v>
      </c>
      <c r="J82" s="10">
        <v>3754.02</v>
      </c>
      <c r="K82" s="10">
        <v>0</v>
      </c>
      <c r="L82" s="10">
        <f t="shared" si="0"/>
        <v>28072.16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3.8" thickBot="1">
      <c r="A83" s="8" t="s">
        <v>117</v>
      </c>
      <c r="B83" s="8">
        <v>30615571454</v>
      </c>
      <c r="C83" s="8" t="s">
        <v>122</v>
      </c>
      <c r="D83" s="9">
        <v>46122</v>
      </c>
      <c r="E83" s="17">
        <v>46082</v>
      </c>
      <c r="F83" s="8" t="s">
        <v>405</v>
      </c>
      <c r="G83" s="8" t="s">
        <v>406</v>
      </c>
      <c r="H83" s="8">
        <v>60</v>
      </c>
      <c r="I83" s="10">
        <v>103060.6</v>
      </c>
      <c r="J83" s="10">
        <v>1251.3399999999999</v>
      </c>
      <c r="K83" s="10">
        <v>0</v>
      </c>
      <c r="L83" s="10">
        <f t="shared" si="0"/>
        <v>101809.26000000001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3.8" thickBot="1">
      <c r="A84" s="8" t="s">
        <v>117</v>
      </c>
      <c r="B84" s="8">
        <v>30615571454</v>
      </c>
      <c r="C84" s="8" t="s">
        <v>123</v>
      </c>
      <c r="D84" s="9">
        <v>46122</v>
      </c>
      <c r="E84" s="17">
        <v>46082</v>
      </c>
      <c r="F84" s="8" t="s">
        <v>405</v>
      </c>
      <c r="G84" s="8" t="s">
        <v>406</v>
      </c>
      <c r="H84" s="8">
        <v>60</v>
      </c>
      <c r="I84" s="10">
        <v>512372.76</v>
      </c>
      <c r="J84" s="10">
        <v>6082.5</v>
      </c>
      <c r="K84" s="10">
        <v>0</v>
      </c>
      <c r="L84" s="10">
        <f t="shared" si="0"/>
        <v>506290.26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3.8" thickBot="1">
      <c r="A85" s="8" t="s">
        <v>117</v>
      </c>
      <c r="B85" s="8">
        <v>30615571454</v>
      </c>
      <c r="C85" s="8" t="s">
        <v>124</v>
      </c>
      <c r="D85" s="9">
        <v>46122</v>
      </c>
      <c r="E85" s="17">
        <v>46082</v>
      </c>
      <c r="F85" s="8" t="s">
        <v>417</v>
      </c>
      <c r="G85" s="8" t="s">
        <v>408</v>
      </c>
      <c r="H85" s="8">
        <v>60</v>
      </c>
      <c r="I85" s="10">
        <v>823279.94</v>
      </c>
      <c r="J85" s="10">
        <v>802429.46</v>
      </c>
      <c r="K85" s="10">
        <v>0</v>
      </c>
      <c r="L85" s="10">
        <f t="shared" si="0"/>
        <v>20850.479999999981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3.8" thickBot="1">
      <c r="A86" s="8" t="s">
        <v>125</v>
      </c>
      <c r="B86" s="8">
        <v>30608875227</v>
      </c>
      <c r="C86" s="8" t="s">
        <v>126</v>
      </c>
      <c r="D86" s="9">
        <v>46115</v>
      </c>
      <c r="E86" s="17">
        <v>46082</v>
      </c>
      <c r="F86" s="8" t="s">
        <v>413</v>
      </c>
      <c r="G86" s="8" t="s">
        <v>406</v>
      </c>
      <c r="H86" s="8">
        <v>60</v>
      </c>
      <c r="I86" s="10">
        <v>3920000</v>
      </c>
      <c r="J86" s="10">
        <v>0</v>
      </c>
      <c r="K86" s="10">
        <v>112000</v>
      </c>
      <c r="L86" s="10">
        <f t="shared" si="0"/>
        <v>3808000</v>
      </c>
      <c r="M86" s="12" t="s">
        <v>127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3.8" thickBot="1">
      <c r="A87" s="8" t="s">
        <v>125</v>
      </c>
      <c r="B87" s="8">
        <v>30608875227</v>
      </c>
      <c r="C87" s="8" t="s">
        <v>128</v>
      </c>
      <c r="D87" s="9">
        <v>46115</v>
      </c>
      <c r="E87" s="17">
        <v>46082</v>
      </c>
      <c r="F87" s="8" t="s">
        <v>413</v>
      </c>
      <c r="G87" s="8" t="s">
        <v>406</v>
      </c>
      <c r="H87" s="8">
        <v>60</v>
      </c>
      <c r="I87" s="10">
        <v>2128000</v>
      </c>
      <c r="J87" s="10">
        <v>0</v>
      </c>
      <c r="K87" s="10">
        <v>112000</v>
      </c>
      <c r="L87" s="10">
        <f t="shared" si="0"/>
        <v>2016000</v>
      </c>
    </row>
    <row r="88" spans="1:29" ht="13.8" thickBot="1">
      <c r="A88" s="8" t="s">
        <v>125</v>
      </c>
      <c r="B88" s="8">
        <v>30608875227</v>
      </c>
      <c r="C88" s="8" t="s">
        <v>129</v>
      </c>
      <c r="D88" s="9">
        <v>46115</v>
      </c>
      <c r="E88" s="17">
        <v>46082</v>
      </c>
      <c r="F88" s="8" t="s">
        <v>413</v>
      </c>
      <c r="G88" s="8" t="s">
        <v>416</v>
      </c>
      <c r="H88" s="8">
        <v>60</v>
      </c>
      <c r="I88" s="10">
        <v>1320000</v>
      </c>
      <c r="J88" s="10">
        <v>0</v>
      </c>
      <c r="K88" s="10">
        <v>0</v>
      </c>
      <c r="L88" s="10">
        <f t="shared" si="0"/>
        <v>1320000</v>
      </c>
    </row>
    <row r="89" spans="1:29" ht="13.8" thickBot="1">
      <c r="A89" s="8" t="s">
        <v>125</v>
      </c>
      <c r="B89" s="8">
        <v>30608875227</v>
      </c>
      <c r="C89" s="8" t="s">
        <v>130</v>
      </c>
      <c r="D89" s="9">
        <v>46115</v>
      </c>
      <c r="E89" s="17">
        <v>46082</v>
      </c>
      <c r="F89" s="8" t="s">
        <v>413</v>
      </c>
      <c r="G89" s="8" t="s">
        <v>410</v>
      </c>
      <c r="H89" s="8">
        <v>60</v>
      </c>
      <c r="I89" s="10">
        <v>2240000</v>
      </c>
      <c r="J89" s="10">
        <v>0</v>
      </c>
      <c r="K89" s="10">
        <v>0</v>
      </c>
      <c r="L89" s="10">
        <f t="shared" si="0"/>
        <v>2240000</v>
      </c>
    </row>
    <row r="90" spans="1:29" ht="13.8" thickBot="1">
      <c r="A90" s="8" t="s">
        <v>125</v>
      </c>
      <c r="B90" s="8">
        <v>30608875227</v>
      </c>
      <c r="C90" s="8" t="s">
        <v>131</v>
      </c>
      <c r="D90" s="9">
        <v>46118</v>
      </c>
      <c r="E90" s="17">
        <v>46082</v>
      </c>
      <c r="F90" s="8" t="s">
        <v>405</v>
      </c>
      <c r="G90" s="8" t="s">
        <v>406</v>
      </c>
      <c r="H90" s="8">
        <v>60</v>
      </c>
      <c r="I90" s="10">
        <v>1020500</v>
      </c>
      <c r="J90" s="10">
        <v>106800</v>
      </c>
      <c r="K90" s="10">
        <v>0</v>
      </c>
      <c r="L90" s="10">
        <f t="shared" si="0"/>
        <v>913700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3.8" thickBot="1">
      <c r="A91" s="8" t="s">
        <v>125</v>
      </c>
      <c r="B91" s="8">
        <v>30608875227</v>
      </c>
      <c r="C91" s="8" t="s">
        <v>132</v>
      </c>
      <c r="D91" s="9">
        <v>46118</v>
      </c>
      <c r="E91" s="17">
        <v>46082</v>
      </c>
      <c r="F91" s="8" t="s">
        <v>405</v>
      </c>
      <c r="G91" s="8" t="s">
        <v>410</v>
      </c>
      <c r="H91" s="8">
        <v>60</v>
      </c>
      <c r="I91" s="10">
        <v>31400</v>
      </c>
      <c r="J91" s="10">
        <v>0</v>
      </c>
      <c r="K91" s="10">
        <v>0</v>
      </c>
      <c r="L91" s="10">
        <f t="shared" si="0"/>
        <v>31400</v>
      </c>
    </row>
    <row r="92" spans="1:29" ht="13.8" thickBot="1">
      <c r="A92" s="8" t="s">
        <v>125</v>
      </c>
      <c r="B92" s="8">
        <v>30608875227</v>
      </c>
      <c r="C92" s="8" t="s">
        <v>133</v>
      </c>
      <c r="D92" s="9">
        <v>46118</v>
      </c>
      <c r="E92" s="17">
        <v>46082</v>
      </c>
      <c r="F92" s="8" t="s">
        <v>405</v>
      </c>
      <c r="G92" s="8" t="s">
        <v>412</v>
      </c>
      <c r="H92" s="8">
        <v>60</v>
      </c>
      <c r="I92" s="10">
        <v>108200</v>
      </c>
      <c r="J92" s="10">
        <v>0</v>
      </c>
      <c r="K92" s="10">
        <v>0</v>
      </c>
      <c r="L92" s="10">
        <f t="shared" si="0"/>
        <v>108200</v>
      </c>
    </row>
    <row r="93" spans="1:29" ht="13.8" thickBot="1">
      <c r="A93" s="8" t="s">
        <v>125</v>
      </c>
      <c r="B93" s="8">
        <v>30608875227</v>
      </c>
      <c r="C93" s="8" t="s">
        <v>134</v>
      </c>
      <c r="D93" s="9">
        <v>46119</v>
      </c>
      <c r="E93" s="17">
        <v>46082</v>
      </c>
      <c r="F93" s="8" t="s">
        <v>413</v>
      </c>
      <c r="G93" s="8" t="s">
        <v>406</v>
      </c>
      <c r="H93" s="8">
        <v>60</v>
      </c>
      <c r="I93" s="10">
        <v>1792000</v>
      </c>
      <c r="J93" s="10">
        <v>0</v>
      </c>
      <c r="K93" s="10">
        <v>112000</v>
      </c>
      <c r="L93" s="10">
        <f t="shared" si="0"/>
        <v>1680000</v>
      </c>
    </row>
    <row r="94" spans="1:29" ht="13.8" thickBot="1">
      <c r="A94" s="8" t="s">
        <v>125</v>
      </c>
      <c r="B94" s="8">
        <v>30608875227</v>
      </c>
      <c r="C94" s="8" t="s">
        <v>135</v>
      </c>
      <c r="D94" s="9">
        <v>46119</v>
      </c>
      <c r="E94" s="17">
        <v>46082</v>
      </c>
      <c r="F94" s="8" t="s">
        <v>405</v>
      </c>
      <c r="G94" s="8" t="s">
        <v>416</v>
      </c>
      <c r="H94" s="8">
        <v>60</v>
      </c>
      <c r="I94" s="10">
        <v>106400</v>
      </c>
      <c r="J94" s="10">
        <v>0</v>
      </c>
      <c r="K94" s="10">
        <v>0</v>
      </c>
      <c r="L94" s="10">
        <f t="shared" si="0"/>
        <v>106400</v>
      </c>
    </row>
    <row r="95" spans="1:29" ht="13.8" thickBot="1">
      <c r="A95" s="8" t="s">
        <v>136</v>
      </c>
      <c r="B95" s="8">
        <v>30546133865</v>
      </c>
      <c r="C95" s="8" t="s">
        <v>137</v>
      </c>
      <c r="D95" s="9">
        <v>46120</v>
      </c>
      <c r="E95" s="17">
        <v>46082</v>
      </c>
      <c r="F95" s="8" t="s">
        <v>405</v>
      </c>
      <c r="G95" s="8" t="s">
        <v>406</v>
      </c>
      <c r="H95" s="8">
        <v>60</v>
      </c>
      <c r="I95" s="10">
        <v>527775.71</v>
      </c>
      <c r="J95" s="10">
        <v>36168</v>
      </c>
      <c r="K95" s="10">
        <v>0</v>
      </c>
      <c r="L95" s="10">
        <f t="shared" si="0"/>
        <v>491607.70999999996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3.8" thickBot="1">
      <c r="A96" s="8" t="s">
        <v>136</v>
      </c>
      <c r="B96" s="8">
        <v>30546133865</v>
      </c>
      <c r="C96" s="8" t="s">
        <v>138</v>
      </c>
      <c r="D96" s="9">
        <v>46120</v>
      </c>
      <c r="E96" s="17">
        <v>46082</v>
      </c>
      <c r="F96" s="8" t="s">
        <v>405</v>
      </c>
      <c r="G96" s="8" t="s">
        <v>408</v>
      </c>
      <c r="H96" s="8">
        <v>60</v>
      </c>
      <c r="I96" s="10">
        <v>46802.15</v>
      </c>
      <c r="J96" s="10">
        <v>9550</v>
      </c>
      <c r="K96" s="10">
        <v>0</v>
      </c>
      <c r="L96" s="10">
        <f t="shared" si="0"/>
        <v>37252.15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3.8" thickBot="1">
      <c r="A97" s="8" t="s">
        <v>139</v>
      </c>
      <c r="B97" s="8">
        <v>30680944691</v>
      </c>
      <c r="C97" s="8" t="s">
        <v>140</v>
      </c>
      <c r="D97" s="9">
        <v>46120</v>
      </c>
      <c r="E97" s="17">
        <v>46082</v>
      </c>
      <c r="F97" s="8" t="s">
        <v>405</v>
      </c>
      <c r="G97" s="8" t="s">
        <v>408</v>
      </c>
      <c r="H97" s="8">
        <v>45</v>
      </c>
      <c r="I97" s="10">
        <v>85565.18</v>
      </c>
      <c r="J97" s="10">
        <v>39400</v>
      </c>
      <c r="K97" s="10">
        <v>0</v>
      </c>
      <c r="L97" s="10">
        <f t="shared" si="0"/>
        <v>46165.179999999993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3.8" thickBot="1">
      <c r="A98" s="8" t="s">
        <v>141</v>
      </c>
      <c r="B98" s="8">
        <v>33711273129</v>
      </c>
      <c r="C98" s="8" t="s">
        <v>142</v>
      </c>
      <c r="D98" s="9">
        <v>46112</v>
      </c>
      <c r="E98" s="17">
        <v>46082</v>
      </c>
      <c r="F98" s="8" t="s">
        <v>405</v>
      </c>
      <c r="G98" s="8" t="s">
        <v>406</v>
      </c>
      <c r="H98" s="8">
        <v>60</v>
      </c>
      <c r="I98" s="10">
        <v>259633.22</v>
      </c>
      <c r="J98" s="10">
        <v>0</v>
      </c>
      <c r="K98" s="10">
        <v>0</v>
      </c>
      <c r="L98" s="10">
        <f t="shared" si="0"/>
        <v>259633.22</v>
      </c>
    </row>
    <row r="99" spans="1:29" ht="13.8" thickBot="1">
      <c r="A99" s="8" t="s">
        <v>141</v>
      </c>
      <c r="B99" s="8">
        <v>33711273129</v>
      </c>
      <c r="C99" s="8" t="s">
        <v>143</v>
      </c>
      <c r="D99" s="9">
        <v>46112</v>
      </c>
      <c r="E99" s="17">
        <v>46082</v>
      </c>
      <c r="F99" s="8" t="s">
        <v>405</v>
      </c>
      <c r="G99" s="8" t="s">
        <v>412</v>
      </c>
      <c r="H99" s="8">
        <v>60</v>
      </c>
      <c r="I99" s="10">
        <v>79129.960000000006</v>
      </c>
      <c r="J99" s="10">
        <v>0</v>
      </c>
      <c r="K99" s="10">
        <v>0</v>
      </c>
      <c r="L99" s="10">
        <f t="shared" si="0"/>
        <v>79129.960000000006</v>
      </c>
    </row>
    <row r="100" spans="1:29" ht="13.8" thickBot="1">
      <c r="A100" s="8" t="s">
        <v>141</v>
      </c>
      <c r="B100" s="8">
        <v>33711273129</v>
      </c>
      <c r="C100" s="8" t="s">
        <v>144</v>
      </c>
      <c r="D100" s="9">
        <v>46112</v>
      </c>
      <c r="E100" s="17">
        <v>46082</v>
      </c>
      <c r="F100" s="8" t="s">
        <v>405</v>
      </c>
      <c r="G100" s="8" t="s">
        <v>406</v>
      </c>
      <c r="H100" s="8">
        <v>60</v>
      </c>
      <c r="I100" s="10">
        <v>45602.21</v>
      </c>
      <c r="J100" s="10">
        <v>0</v>
      </c>
      <c r="K100" s="10">
        <v>0</v>
      </c>
      <c r="L100" s="10">
        <f t="shared" si="0"/>
        <v>45602.21</v>
      </c>
    </row>
    <row r="101" spans="1:29" ht="13.8" thickBot="1">
      <c r="A101" s="8" t="s">
        <v>145</v>
      </c>
      <c r="B101" s="8">
        <v>27405059202</v>
      </c>
      <c r="C101" s="8" t="s">
        <v>146</v>
      </c>
      <c r="D101" s="9">
        <v>46111</v>
      </c>
      <c r="E101" s="17">
        <v>46082</v>
      </c>
      <c r="F101" s="8" t="s">
        <v>405</v>
      </c>
      <c r="G101" s="8" t="s">
        <v>406</v>
      </c>
      <c r="H101" s="8">
        <v>45</v>
      </c>
      <c r="I101" s="10">
        <v>288299.94</v>
      </c>
      <c r="J101" s="10">
        <v>0</v>
      </c>
      <c r="K101" s="10">
        <v>0</v>
      </c>
      <c r="L101" s="10">
        <f t="shared" si="0"/>
        <v>288299.94</v>
      </c>
    </row>
    <row r="102" spans="1:29" ht="13.8" thickBot="1">
      <c r="A102" s="8" t="s">
        <v>147</v>
      </c>
      <c r="B102" s="8">
        <v>30680948891</v>
      </c>
      <c r="C102" s="8" t="s">
        <v>148</v>
      </c>
      <c r="D102" s="9">
        <v>46121</v>
      </c>
      <c r="E102" s="17">
        <v>46082</v>
      </c>
      <c r="F102" s="8" t="s">
        <v>405</v>
      </c>
      <c r="G102" s="8" t="s">
        <v>406</v>
      </c>
      <c r="H102" s="8">
        <v>45</v>
      </c>
      <c r="I102" s="10">
        <v>96000</v>
      </c>
      <c r="J102" s="10">
        <v>0</v>
      </c>
      <c r="K102" s="10">
        <v>0</v>
      </c>
      <c r="L102" s="10">
        <f t="shared" si="0"/>
        <v>96000</v>
      </c>
    </row>
    <row r="103" spans="1:29" ht="13.8" thickBot="1">
      <c r="A103" s="8" t="s">
        <v>147</v>
      </c>
      <c r="B103" s="8">
        <v>30680948891</v>
      </c>
      <c r="C103" s="8" t="s">
        <v>149</v>
      </c>
      <c r="D103" s="9">
        <v>46154</v>
      </c>
      <c r="E103" s="17">
        <v>46113</v>
      </c>
      <c r="F103" s="8" t="s">
        <v>418</v>
      </c>
      <c r="G103" s="8" t="s">
        <v>406</v>
      </c>
      <c r="H103" s="8">
        <v>45</v>
      </c>
      <c r="I103" s="10">
        <v>716</v>
      </c>
      <c r="J103" s="10">
        <v>0</v>
      </c>
      <c r="K103" s="10">
        <v>0</v>
      </c>
      <c r="L103" s="10">
        <f t="shared" si="0"/>
        <v>716</v>
      </c>
    </row>
    <row r="104" spans="1:29" ht="13.8" thickBot="1">
      <c r="A104" s="8" t="s">
        <v>150</v>
      </c>
      <c r="B104" s="8">
        <v>30553588266</v>
      </c>
      <c r="C104" s="8" t="s">
        <v>151</v>
      </c>
      <c r="D104" s="9">
        <v>46121</v>
      </c>
      <c r="E104" s="17">
        <v>46082</v>
      </c>
      <c r="F104" s="8" t="s">
        <v>413</v>
      </c>
      <c r="G104" s="8" t="s">
        <v>408</v>
      </c>
      <c r="H104" s="8">
        <v>45</v>
      </c>
      <c r="I104" s="10">
        <v>1333015.48</v>
      </c>
      <c r="J104" s="10">
        <v>19624.5</v>
      </c>
      <c r="K104" s="10">
        <v>0</v>
      </c>
      <c r="L104" s="10">
        <f t="shared" si="0"/>
        <v>1313390.98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3.8" thickBot="1">
      <c r="A105" s="8" t="s">
        <v>152</v>
      </c>
      <c r="B105" s="8">
        <v>30552575292</v>
      </c>
      <c r="C105" s="8" t="s">
        <v>153</v>
      </c>
      <c r="D105" s="9">
        <v>46100</v>
      </c>
      <c r="E105" s="17">
        <v>46054</v>
      </c>
      <c r="F105" s="8" t="s">
        <v>405</v>
      </c>
      <c r="G105" s="8" t="s">
        <v>408</v>
      </c>
      <c r="H105" s="8">
        <v>60</v>
      </c>
      <c r="I105" s="10">
        <v>571776.15</v>
      </c>
      <c r="J105" s="10">
        <v>497250</v>
      </c>
      <c r="K105" s="10">
        <v>0</v>
      </c>
      <c r="L105" s="10">
        <f t="shared" si="0"/>
        <v>74526.150000000023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3.8" thickBot="1">
      <c r="A106" s="8" t="s">
        <v>154</v>
      </c>
      <c r="B106" s="8">
        <v>30555217419</v>
      </c>
      <c r="C106" s="8" t="s">
        <v>155</v>
      </c>
      <c r="D106" s="9">
        <v>46121</v>
      </c>
      <c r="E106" s="17">
        <v>46082</v>
      </c>
      <c r="F106" s="8" t="s">
        <v>405</v>
      </c>
      <c r="G106" s="8" t="s">
        <v>408</v>
      </c>
      <c r="H106" s="8">
        <v>45</v>
      </c>
      <c r="I106" s="10">
        <v>316055.19</v>
      </c>
      <c r="J106" s="10">
        <v>0</v>
      </c>
      <c r="K106" s="10">
        <v>0</v>
      </c>
      <c r="L106" s="10">
        <f t="shared" si="0"/>
        <v>316055.19</v>
      </c>
    </row>
    <row r="107" spans="1:29" ht="13.8" thickBot="1">
      <c r="A107" s="8" t="s">
        <v>156</v>
      </c>
      <c r="B107" s="8">
        <v>30623578743</v>
      </c>
      <c r="C107" s="8" t="s">
        <v>157</v>
      </c>
      <c r="D107" s="9">
        <v>46120</v>
      </c>
      <c r="E107" s="17">
        <v>46082</v>
      </c>
      <c r="F107" s="8" t="s">
        <v>405</v>
      </c>
      <c r="G107" s="8" t="s">
        <v>408</v>
      </c>
      <c r="H107" s="8">
        <v>45</v>
      </c>
      <c r="I107" s="10">
        <v>350000</v>
      </c>
      <c r="J107" s="10">
        <v>177500</v>
      </c>
      <c r="K107" s="10">
        <v>0</v>
      </c>
      <c r="L107" s="10">
        <f t="shared" si="0"/>
        <v>172500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3.8" thickBot="1">
      <c r="A108" s="8" t="s">
        <v>158</v>
      </c>
      <c r="B108" s="8">
        <v>30680565224</v>
      </c>
      <c r="C108" s="8" t="s">
        <v>159</v>
      </c>
      <c r="D108" s="9">
        <v>46119</v>
      </c>
      <c r="E108" s="17">
        <v>46082</v>
      </c>
      <c r="F108" s="8" t="s">
        <v>405</v>
      </c>
      <c r="G108" s="8" t="s">
        <v>406</v>
      </c>
      <c r="H108" s="8">
        <v>60</v>
      </c>
      <c r="I108" s="10">
        <v>63753.17</v>
      </c>
      <c r="J108" s="10">
        <v>4795.88</v>
      </c>
      <c r="K108" s="10">
        <v>0</v>
      </c>
      <c r="L108" s="10">
        <f t="shared" si="0"/>
        <v>58957.29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3.8" thickBot="1">
      <c r="A109" s="8" t="s">
        <v>158</v>
      </c>
      <c r="B109" s="8">
        <v>30680565224</v>
      </c>
      <c r="C109" s="8" t="s">
        <v>160</v>
      </c>
      <c r="D109" s="9">
        <v>46120</v>
      </c>
      <c r="E109" s="17">
        <v>46082</v>
      </c>
      <c r="F109" s="8" t="s">
        <v>405</v>
      </c>
      <c r="G109" s="8" t="s">
        <v>408</v>
      </c>
      <c r="H109" s="8">
        <v>60</v>
      </c>
      <c r="I109" s="10">
        <v>30490.66</v>
      </c>
      <c r="J109" s="10">
        <v>1994.8</v>
      </c>
      <c r="K109" s="10">
        <v>0</v>
      </c>
      <c r="L109" s="10">
        <f t="shared" si="0"/>
        <v>28495.86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3.8" thickBot="1">
      <c r="A110" s="8" t="s">
        <v>158</v>
      </c>
      <c r="B110" s="8">
        <v>30680565224</v>
      </c>
      <c r="C110" s="8" t="s">
        <v>161</v>
      </c>
      <c r="D110" s="9">
        <v>46120</v>
      </c>
      <c r="E110" s="17">
        <v>46082</v>
      </c>
      <c r="F110" s="8" t="s">
        <v>413</v>
      </c>
      <c r="G110" s="8" t="s">
        <v>408</v>
      </c>
      <c r="H110" s="8">
        <v>60</v>
      </c>
      <c r="I110" s="10">
        <v>6934135.4199999999</v>
      </c>
      <c r="J110" s="10">
        <v>0</v>
      </c>
      <c r="K110" s="10">
        <v>42001.46</v>
      </c>
      <c r="L110" s="10">
        <f t="shared" si="0"/>
        <v>6892133.96</v>
      </c>
    </row>
    <row r="111" spans="1:29" ht="13.8" thickBot="1">
      <c r="A111" s="8" t="s">
        <v>158</v>
      </c>
      <c r="B111" s="8">
        <v>30680565224</v>
      </c>
      <c r="C111" s="8" t="s">
        <v>162</v>
      </c>
      <c r="D111" s="9">
        <v>46120</v>
      </c>
      <c r="E111" s="17">
        <v>46082</v>
      </c>
      <c r="F111" s="8" t="s">
        <v>413</v>
      </c>
      <c r="G111" s="8" t="s">
        <v>406</v>
      </c>
      <c r="H111" s="8">
        <v>60</v>
      </c>
      <c r="I111" s="10">
        <v>148747.01</v>
      </c>
      <c r="J111" s="10">
        <v>0</v>
      </c>
      <c r="K111" s="10">
        <v>0</v>
      </c>
      <c r="L111" s="10">
        <f t="shared" si="0"/>
        <v>148747.01</v>
      </c>
    </row>
    <row r="112" spans="1:29" ht="13.8" thickBot="1">
      <c r="A112" s="8" t="s">
        <v>163</v>
      </c>
      <c r="B112" s="8">
        <v>30623442566</v>
      </c>
      <c r="C112" s="8" t="s">
        <v>164</v>
      </c>
      <c r="D112" s="9">
        <v>46119</v>
      </c>
      <c r="E112" s="17">
        <v>46082</v>
      </c>
      <c r="F112" s="8" t="s">
        <v>405</v>
      </c>
      <c r="G112" s="8" t="s">
        <v>408</v>
      </c>
      <c r="H112" s="8">
        <v>60</v>
      </c>
      <c r="I112" s="10">
        <v>1528763.8</v>
      </c>
      <c r="J112" s="10">
        <v>126031.59</v>
      </c>
      <c r="K112" s="10">
        <v>0</v>
      </c>
      <c r="L112" s="10">
        <f t="shared" si="0"/>
        <v>1402732.21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3.8" thickBot="1">
      <c r="A113" s="8" t="s">
        <v>163</v>
      </c>
      <c r="B113" s="8">
        <v>30623442566</v>
      </c>
      <c r="C113" s="8" t="s">
        <v>165</v>
      </c>
      <c r="D113" s="9">
        <v>46119</v>
      </c>
      <c r="E113" s="17">
        <v>46082</v>
      </c>
      <c r="F113" s="8" t="s">
        <v>405</v>
      </c>
      <c r="G113" s="8" t="s">
        <v>412</v>
      </c>
      <c r="H113" s="8">
        <v>60</v>
      </c>
      <c r="I113" s="10">
        <v>101343.48</v>
      </c>
      <c r="J113" s="10">
        <v>12000</v>
      </c>
      <c r="K113" s="10">
        <v>0</v>
      </c>
      <c r="L113" s="10">
        <f t="shared" si="0"/>
        <v>89343.48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3.8" thickBot="1">
      <c r="A114" s="8" t="s">
        <v>163</v>
      </c>
      <c r="B114" s="8">
        <v>30623442566</v>
      </c>
      <c r="C114" s="8" t="s">
        <v>166</v>
      </c>
      <c r="D114" s="9">
        <v>46119</v>
      </c>
      <c r="E114" s="17">
        <v>46082</v>
      </c>
      <c r="F114" s="8" t="s">
        <v>405</v>
      </c>
      <c r="G114" s="8" t="s">
        <v>410</v>
      </c>
      <c r="H114" s="8">
        <v>60</v>
      </c>
      <c r="I114" s="10">
        <v>50889.21</v>
      </c>
      <c r="J114" s="10">
        <v>0</v>
      </c>
      <c r="K114" s="10">
        <v>0</v>
      </c>
      <c r="L114" s="10">
        <f t="shared" si="0"/>
        <v>50889.21</v>
      </c>
    </row>
    <row r="115" spans="1:29" ht="13.8" thickBot="1">
      <c r="A115" s="8" t="s">
        <v>163</v>
      </c>
      <c r="B115" s="8">
        <v>30623442566</v>
      </c>
      <c r="C115" s="8" t="s">
        <v>167</v>
      </c>
      <c r="D115" s="9">
        <v>46119</v>
      </c>
      <c r="E115" s="17">
        <v>46082</v>
      </c>
      <c r="F115" s="8" t="s">
        <v>405</v>
      </c>
      <c r="G115" s="8" t="s">
        <v>410</v>
      </c>
      <c r="H115" s="8">
        <v>60</v>
      </c>
      <c r="I115" s="10">
        <v>52704.92</v>
      </c>
      <c r="J115" s="10">
        <v>0</v>
      </c>
      <c r="K115" s="10">
        <v>0</v>
      </c>
      <c r="L115" s="10">
        <f t="shared" si="0"/>
        <v>52704.92</v>
      </c>
    </row>
    <row r="116" spans="1:29" ht="13.8" thickBot="1">
      <c r="A116" s="8" t="s">
        <v>163</v>
      </c>
      <c r="B116" s="8">
        <v>30623442566</v>
      </c>
      <c r="C116" s="8" t="s">
        <v>168</v>
      </c>
      <c r="D116" s="9">
        <v>46119</v>
      </c>
      <c r="E116" s="17">
        <v>46082</v>
      </c>
      <c r="F116" s="8" t="s">
        <v>405</v>
      </c>
      <c r="G116" s="8" t="s">
        <v>410</v>
      </c>
      <c r="H116" s="8">
        <v>60</v>
      </c>
      <c r="I116" s="10">
        <v>37917.129999999997</v>
      </c>
      <c r="J116" s="10">
        <v>0</v>
      </c>
      <c r="K116" s="10">
        <v>0</v>
      </c>
      <c r="L116" s="10">
        <f t="shared" si="0"/>
        <v>37917.129999999997</v>
      </c>
    </row>
    <row r="117" spans="1:29" ht="13.8" thickBot="1">
      <c r="A117" s="8" t="s">
        <v>163</v>
      </c>
      <c r="B117" s="8">
        <v>30623442566</v>
      </c>
      <c r="C117" s="8" t="s">
        <v>169</v>
      </c>
      <c r="D117" s="9">
        <v>46119</v>
      </c>
      <c r="E117" s="17">
        <v>46082</v>
      </c>
      <c r="F117" s="8" t="s">
        <v>405</v>
      </c>
      <c r="G117" s="8" t="s">
        <v>406</v>
      </c>
      <c r="H117" s="8">
        <v>60</v>
      </c>
      <c r="I117" s="10">
        <v>50081.66</v>
      </c>
      <c r="J117" s="10">
        <v>0</v>
      </c>
      <c r="K117" s="10">
        <v>0</v>
      </c>
      <c r="L117" s="10">
        <f t="shared" si="0"/>
        <v>50081.66</v>
      </c>
    </row>
    <row r="118" spans="1:29" ht="13.8" thickBot="1">
      <c r="A118" s="8" t="s">
        <v>163</v>
      </c>
      <c r="B118" s="8">
        <v>30623442566</v>
      </c>
      <c r="C118" s="8" t="s">
        <v>170</v>
      </c>
      <c r="D118" s="9">
        <v>46119</v>
      </c>
      <c r="E118" s="17">
        <v>46082</v>
      </c>
      <c r="F118" s="8" t="s">
        <v>405</v>
      </c>
      <c r="G118" s="8" t="s">
        <v>412</v>
      </c>
      <c r="H118" s="8">
        <v>60</v>
      </c>
      <c r="I118" s="10">
        <v>111158.15</v>
      </c>
      <c r="J118" s="10">
        <v>0</v>
      </c>
      <c r="K118" s="10">
        <v>0</v>
      </c>
      <c r="L118" s="10">
        <f t="shared" si="0"/>
        <v>111158.15</v>
      </c>
    </row>
    <row r="119" spans="1:29" ht="13.8" thickBot="1">
      <c r="A119" s="8" t="s">
        <v>163</v>
      </c>
      <c r="B119" s="8">
        <v>30623442566</v>
      </c>
      <c r="C119" s="8" t="s">
        <v>171</v>
      </c>
      <c r="D119" s="9">
        <v>46119</v>
      </c>
      <c r="E119" s="17">
        <v>46082</v>
      </c>
      <c r="F119" s="8" t="s">
        <v>405</v>
      </c>
      <c r="G119" s="8" t="s">
        <v>406</v>
      </c>
      <c r="H119" s="8">
        <v>60</v>
      </c>
      <c r="I119" s="10">
        <v>25083.32</v>
      </c>
      <c r="J119" s="10">
        <v>0</v>
      </c>
      <c r="K119" s="10">
        <v>0</v>
      </c>
      <c r="L119" s="10">
        <f t="shared" si="0"/>
        <v>25083.32</v>
      </c>
    </row>
    <row r="120" spans="1:29" ht="13.8" thickBot="1">
      <c r="A120" s="8" t="s">
        <v>163</v>
      </c>
      <c r="B120" s="8">
        <v>30623442566</v>
      </c>
      <c r="C120" s="8" t="s">
        <v>172</v>
      </c>
      <c r="D120" s="9">
        <v>46119</v>
      </c>
      <c r="E120" s="17">
        <v>46082</v>
      </c>
      <c r="F120" s="8" t="s">
        <v>405</v>
      </c>
      <c r="G120" s="8" t="s">
        <v>406</v>
      </c>
      <c r="H120" s="8">
        <v>60</v>
      </c>
      <c r="I120" s="10">
        <v>29190.18</v>
      </c>
      <c r="J120" s="10">
        <v>0</v>
      </c>
      <c r="K120" s="10">
        <v>0</v>
      </c>
      <c r="L120" s="10">
        <f t="shared" si="0"/>
        <v>29190.18</v>
      </c>
    </row>
    <row r="121" spans="1:29" ht="13.8" thickBot="1">
      <c r="A121" s="8" t="s">
        <v>163</v>
      </c>
      <c r="B121" s="8">
        <v>30623442566</v>
      </c>
      <c r="C121" s="8" t="s">
        <v>173</v>
      </c>
      <c r="D121" s="9">
        <v>46119</v>
      </c>
      <c r="E121" s="17">
        <v>46082</v>
      </c>
      <c r="F121" s="8" t="s">
        <v>405</v>
      </c>
      <c r="G121" s="8" t="s">
        <v>408</v>
      </c>
      <c r="H121" s="8">
        <v>60</v>
      </c>
      <c r="I121" s="10">
        <v>15962.11</v>
      </c>
      <c r="J121" s="10">
        <v>0</v>
      </c>
      <c r="K121" s="10">
        <v>0</v>
      </c>
      <c r="L121" s="10">
        <f t="shared" si="0"/>
        <v>15962.11</v>
      </c>
    </row>
    <row r="122" spans="1:29" ht="13.8" thickBot="1">
      <c r="A122" s="8" t="s">
        <v>174</v>
      </c>
      <c r="B122" s="8">
        <v>27235506276</v>
      </c>
      <c r="C122" s="8" t="s">
        <v>175</v>
      </c>
      <c r="D122" s="9">
        <v>46117</v>
      </c>
      <c r="E122" s="17">
        <v>46082</v>
      </c>
      <c r="F122" s="8" t="s">
        <v>405</v>
      </c>
      <c r="G122" s="8" t="s">
        <v>406</v>
      </c>
      <c r="H122" s="8">
        <v>45</v>
      </c>
      <c r="I122" s="10">
        <v>276000</v>
      </c>
      <c r="J122" s="10">
        <v>0</v>
      </c>
      <c r="K122" s="10">
        <v>0</v>
      </c>
      <c r="L122" s="10">
        <f t="shared" si="0"/>
        <v>276000</v>
      </c>
    </row>
    <row r="123" spans="1:29" ht="13.8" thickBot="1">
      <c r="A123" s="8" t="s">
        <v>176</v>
      </c>
      <c r="B123" s="8">
        <v>30602764032</v>
      </c>
      <c r="C123" s="8" t="s">
        <v>177</v>
      </c>
      <c r="D123" s="9">
        <v>46101</v>
      </c>
      <c r="E123" s="17">
        <v>46082</v>
      </c>
      <c r="F123" s="8" t="s">
        <v>407</v>
      </c>
      <c r="G123" s="8" t="s">
        <v>406</v>
      </c>
      <c r="H123" s="8">
        <v>30</v>
      </c>
      <c r="I123" s="10">
        <v>2854486.17</v>
      </c>
      <c r="J123" s="10">
        <v>0</v>
      </c>
      <c r="K123" s="10">
        <v>0</v>
      </c>
      <c r="L123" s="10">
        <f t="shared" si="0"/>
        <v>2854486.17</v>
      </c>
    </row>
    <row r="124" spans="1:29" ht="13.8" thickBot="1">
      <c r="A124" s="8" t="s">
        <v>176</v>
      </c>
      <c r="B124" s="8">
        <v>30602764032</v>
      </c>
      <c r="C124" s="8" t="s">
        <v>178</v>
      </c>
      <c r="D124" s="9">
        <v>46101</v>
      </c>
      <c r="E124" s="17">
        <v>46082</v>
      </c>
      <c r="F124" s="8" t="s">
        <v>407</v>
      </c>
      <c r="G124" s="8" t="s">
        <v>406</v>
      </c>
      <c r="H124" s="8">
        <v>30</v>
      </c>
      <c r="I124" s="10">
        <v>4094375.04</v>
      </c>
      <c r="J124" s="10">
        <v>0</v>
      </c>
      <c r="K124" s="10">
        <v>0</v>
      </c>
      <c r="L124" s="10">
        <f t="shared" si="0"/>
        <v>4094375.04</v>
      </c>
    </row>
    <row r="125" spans="1:29" ht="13.8" thickBot="1">
      <c r="A125" s="8" t="s">
        <v>176</v>
      </c>
      <c r="B125" s="8">
        <v>30602764032</v>
      </c>
      <c r="C125" s="8" t="s">
        <v>179</v>
      </c>
      <c r="D125" s="9">
        <v>46119</v>
      </c>
      <c r="E125" s="9">
        <v>46082</v>
      </c>
      <c r="F125" s="8" t="s">
        <v>414</v>
      </c>
      <c r="G125" s="8" t="s">
        <v>406</v>
      </c>
      <c r="H125" s="8">
        <v>30</v>
      </c>
      <c r="I125" s="10">
        <v>187594.9</v>
      </c>
      <c r="J125" s="10">
        <v>0</v>
      </c>
      <c r="K125" s="10">
        <v>0</v>
      </c>
      <c r="L125" s="10">
        <f t="shared" si="0"/>
        <v>187594.9</v>
      </c>
    </row>
    <row r="126" spans="1:29" ht="13.8" thickBot="1">
      <c r="A126" s="8" t="s">
        <v>176</v>
      </c>
      <c r="B126" s="8">
        <v>30602764032</v>
      </c>
      <c r="C126" s="8" t="s">
        <v>180</v>
      </c>
      <c r="D126" s="9">
        <v>46121</v>
      </c>
      <c r="E126" s="17">
        <v>46082</v>
      </c>
      <c r="F126" s="8" t="s">
        <v>407</v>
      </c>
      <c r="G126" s="8" t="s">
        <v>406</v>
      </c>
      <c r="H126" s="7">
        <v>30</v>
      </c>
      <c r="I126" s="10">
        <v>1953740.87</v>
      </c>
      <c r="J126" s="10">
        <v>0</v>
      </c>
      <c r="K126" s="10">
        <v>0</v>
      </c>
      <c r="L126" s="10">
        <f t="shared" si="0"/>
        <v>1953740.87</v>
      </c>
    </row>
    <row r="127" spans="1:29" ht="13.8" thickBot="1">
      <c r="A127" s="8" t="s">
        <v>176</v>
      </c>
      <c r="B127" s="8">
        <v>30602764032</v>
      </c>
      <c r="C127" s="8" t="s">
        <v>181</v>
      </c>
      <c r="D127" s="9">
        <v>46073</v>
      </c>
      <c r="E127" s="17">
        <v>46054</v>
      </c>
      <c r="F127" s="7" t="s">
        <v>407</v>
      </c>
      <c r="G127" s="8" t="s">
        <v>406</v>
      </c>
      <c r="H127" s="8">
        <v>30</v>
      </c>
      <c r="I127" s="10">
        <v>4178320.56</v>
      </c>
      <c r="J127" s="10">
        <v>0</v>
      </c>
      <c r="K127" s="10">
        <v>0</v>
      </c>
      <c r="L127" s="10">
        <f t="shared" si="0"/>
        <v>4178320.56</v>
      </c>
    </row>
    <row r="128" spans="1:29" ht="13.8" thickBot="1">
      <c r="A128" s="8" t="s">
        <v>176</v>
      </c>
      <c r="B128" s="8">
        <v>30602764032</v>
      </c>
      <c r="C128" s="8" t="s">
        <v>182</v>
      </c>
      <c r="D128" s="9">
        <v>46073</v>
      </c>
      <c r="E128" s="17">
        <v>46054</v>
      </c>
      <c r="F128" s="7" t="s">
        <v>407</v>
      </c>
      <c r="G128" s="8" t="s">
        <v>406</v>
      </c>
      <c r="H128" s="8">
        <v>30</v>
      </c>
      <c r="I128" s="10">
        <v>2929630.95</v>
      </c>
      <c r="J128" s="10">
        <v>0</v>
      </c>
      <c r="K128" s="10">
        <v>0</v>
      </c>
      <c r="L128" s="10">
        <f t="shared" si="0"/>
        <v>2929630.95</v>
      </c>
    </row>
    <row r="129" spans="1:29" ht="13.8" thickBot="1">
      <c r="A129" s="8" t="s">
        <v>176</v>
      </c>
      <c r="B129" s="8">
        <v>30602764032</v>
      </c>
      <c r="C129" s="8" t="s">
        <v>183</v>
      </c>
      <c r="D129" s="9">
        <v>46031</v>
      </c>
      <c r="E129" s="17">
        <v>46357</v>
      </c>
      <c r="F129" s="8" t="s">
        <v>407</v>
      </c>
      <c r="G129" s="8" t="s">
        <v>406</v>
      </c>
      <c r="H129" s="7">
        <v>30</v>
      </c>
      <c r="I129" s="10">
        <v>1530787.77</v>
      </c>
      <c r="J129" s="10">
        <v>0</v>
      </c>
      <c r="K129" s="10">
        <v>0</v>
      </c>
      <c r="L129" s="10">
        <f t="shared" si="0"/>
        <v>1530787.77</v>
      </c>
    </row>
    <row r="130" spans="1:29" ht="13.8" thickBot="1">
      <c r="A130" s="8" t="s">
        <v>176</v>
      </c>
      <c r="B130" s="8">
        <v>30602764032</v>
      </c>
      <c r="C130" s="8" t="s">
        <v>184</v>
      </c>
      <c r="D130" s="9">
        <v>46119</v>
      </c>
      <c r="E130" s="9">
        <v>46082</v>
      </c>
      <c r="F130" s="8" t="s">
        <v>414</v>
      </c>
      <c r="G130" s="8" t="s">
        <v>406</v>
      </c>
      <c r="H130" s="7">
        <v>30</v>
      </c>
      <c r="I130" s="10">
        <v>131209.76</v>
      </c>
      <c r="J130" s="10"/>
      <c r="K130" s="10"/>
      <c r="L130" s="10">
        <f t="shared" si="0"/>
        <v>131209.76</v>
      </c>
    </row>
    <row r="131" spans="1:29" ht="13.8" thickBot="1">
      <c r="A131" s="8" t="s">
        <v>185</v>
      </c>
      <c r="B131" s="8">
        <v>30708910208</v>
      </c>
      <c r="C131" s="8" t="s">
        <v>186</v>
      </c>
      <c r="D131" s="9">
        <v>46119</v>
      </c>
      <c r="E131" s="17">
        <v>46082</v>
      </c>
      <c r="F131" s="8" t="s">
        <v>405</v>
      </c>
      <c r="G131" s="8" t="s">
        <v>410</v>
      </c>
      <c r="H131" s="8">
        <v>60</v>
      </c>
      <c r="I131" s="10">
        <v>17800</v>
      </c>
      <c r="J131" s="10">
        <v>0</v>
      </c>
      <c r="K131" s="10">
        <v>0</v>
      </c>
      <c r="L131" s="10">
        <f t="shared" si="0"/>
        <v>17800</v>
      </c>
    </row>
    <row r="132" spans="1:29" ht="13.8" thickBot="1">
      <c r="A132" s="8" t="s">
        <v>185</v>
      </c>
      <c r="B132" s="8">
        <v>30708910208</v>
      </c>
      <c r="C132" s="8" t="s">
        <v>187</v>
      </c>
      <c r="D132" s="9">
        <v>46119</v>
      </c>
      <c r="E132" s="17">
        <v>46082</v>
      </c>
      <c r="F132" s="8" t="s">
        <v>405</v>
      </c>
      <c r="G132" s="8" t="s">
        <v>408</v>
      </c>
      <c r="H132" s="8">
        <v>60</v>
      </c>
      <c r="I132" s="10">
        <v>109810</v>
      </c>
      <c r="J132" s="10">
        <v>0</v>
      </c>
      <c r="K132" s="10">
        <v>0</v>
      </c>
      <c r="L132" s="10">
        <f t="shared" si="0"/>
        <v>109810</v>
      </c>
    </row>
    <row r="133" spans="1:29" ht="13.8" thickBot="1">
      <c r="A133" s="8" t="s">
        <v>185</v>
      </c>
      <c r="B133" s="8">
        <v>30708910208</v>
      </c>
      <c r="C133" s="8" t="s">
        <v>188</v>
      </c>
      <c r="D133" s="9">
        <v>46119</v>
      </c>
      <c r="E133" s="17">
        <v>46082</v>
      </c>
      <c r="F133" s="8" t="s">
        <v>405</v>
      </c>
      <c r="G133" s="8" t="s">
        <v>406</v>
      </c>
      <c r="H133" s="8">
        <v>60</v>
      </c>
      <c r="I133" s="10">
        <v>319648</v>
      </c>
      <c r="J133" s="10">
        <v>4620</v>
      </c>
      <c r="K133" s="10">
        <v>0</v>
      </c>
      <c r="L133" s="10">
        <f t="shared" si="0"/>
        <v>315028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spans="1:29" ht="13.8" thickBot="1">
      <c r="A134" s="8" t="s">
        <v>185</v>
      </c>
      <c r="B134" s="8">
        <v>30708910208</v>
      </c>
      <c r="C134" s="8" t="s">
        <v>189</v>
      </c>
      <c r="D134" s="9">
        <v>46119</v>
      </c>
      <c r="E134" s="17">
        <v>46082</v>
      </c>
      <c r="F134" s="8" t="s">
        <v>405</v>
      </c>
      <c r="G134" s="8" t="s">
        <v>412</v>
      </c>
      <c r="H134" s="8">
        <v>60</v>
      </c>
      <c r="I134" s="10">
        <v>97280</v>
      </c>
      <c r="J134" s="10">
        <v>0</v>
      </c>
      <c r="K134" s="10">
        <v>0</v>
      </c>
      <c r="L134" s="10">
        <f t="shared" si="0"/>
        <v>97280</v>
      </c>
    </row>
    <row r="135" spans="1:29" ht="13.8" thickBot="1">
      <c r="A135" s="8" t="s">
        <v>190</v>
      </c>
      <c r="B135" s="8">
        <v>33716532629</v>
      </c>
      <c r="C135" s="8" t="s">
        <v>191</v>
      </c>
      <c r="D135" s="9">
        <v>46114</v>
      </c>
      <c r="E135" s="17">
        <v>46082</v>
      </c>
      <c r="F135" s="8" t="s">
        <v>405</v>
      </c>
      <c r="G135" s="8" t="s">
        <v>406</v>
      </c>
      <c r="H135" s="8">
        <v>45</v>
      </c>
      <c r="I135" s="10">
        <v>113193</v>
      </c>
      <c r="J135" s="10">
        <v>0</v>
      </c>
      <c r="K135" s="10">
        <v>0</v>
      </c>
      <c r="L135" s="10">
        <f t="shared" si="0"/>
        <v>113193</v>
      </c>
    </row>
    <row r="136" spans="1:29" ht="13.8" thickBot="1">
      <c r="A136" s="8" t="s">
        <v>192</v>
      </c>
      <c r="B136" s="8">
        <v>30717147835</v>
      </c>
      <c r="C136" s="8" t="s">
        <v>193</v>
      </c>
      <c r="D136" s="9">
        <v>46122</v>
      </c>
      <c r="E136" s="17">
        <v>46082</v>
      </c>
      <c r="F136" s="8" t="s">
        <v>405</v>
      </c>
      <c r="G136" s="8" t="s">
        <v>412</v>
      </c>
      <c r="H136" s="8">
        <v>60</v>
      </c>
      <c r="I136" s="10">
        <v>226376.14</v>
      </c>
      <c r="J136" s="10">
        <v>0</v>
      </c>
      <c r="K136" s="10">
        <v>0</v>
      </c>
      <c r="L136" s="10">
        <f t="shared" si="0"/>
        <v>226376.14</v>
      </c>
    </row>
    <row r="137" spans="1:29" ht="13.8" thickBot="1">
      <c r="A137" s="8" t="s">
        <v>194</v>
      </c>
      <c r="B137" s="8">
        <v>33577427009</v>
      </c>
      <c r="C137" s="8" t="s">
        <v>195</v>
      </c>
      <c r="D137" s="9">
        <v>46122</v>
      </c>
      <c r="E137" s="17">
        <v>46082</v>
      </c>
      <c r="F137" s="8" t="s">
        <v>405</v>
      </c>
      <c r="G137" s="8" t="s">
        <v>406</v>
      </c>
      <c r="H137" s="8">
        <v>45</v>
      </c>
      <c r="I137" s="10">
        <v>1714206.5</v>
      </c>
      <c r="J137" s="10">
        <v>231959</v>
      </c>
      <c r="K137" s="10">
        <v>0</v>
      </c>
      <c r="L137" s="10">
        <f t="shared" si="0"/>
        <v>1482247.5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3.8" thickBot="1">
      <c r="A138" s="8" t="s">
        <v>194</v>
      </c>
      <c r="B138" s="8">
        <v>33577427009</v>
      </c>
      <c r="C138" s="8" t="s">
        <v>196</v>
      </c>
      <c r="D138" s="9">
        <v>46122</v>
      </c>
      <c r="E138" s="17">
        <v>46082</v>
      </c>
      <c r="F138" s="8" t="s">
        <v>405</v>
      </c>
      <c r="G138" s="8" t="s">
        <v>408</v>
      </c>
      <c r="H138" s="8">
        <v>45</v>
      </c>
      <c r="I138" s="10">
        <v>733000.5</v>
      </c>
      <c r="J138" s="10">
        <v>109712</v>
      </c>
      <c r="K138" s="10">
        <v>0</v>
      </c>
      <c r="L138" s="10">
        <f t="shared" si="0"/>
        <v>623288.5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3.8" thickBot="1">
      <c r="A139" s="8" t="s">
        <v>197</v>
      </c>
      <c r="B139" s="8">
        <v>23202343104</v>
      </c>
      <c r="C139" s="8" t="s">
        <v>198</v>
      </c>
      <c r="D139" s="9">
        <v>46120</v>
      </c>
      <c r="E139" s="17">
        <v>46082</v>
      </c>
      <c r="F139" s="8" t="s">
        <v>405</v>
      </c>
      <c r="G139" s="8" t="s">
        <v>406</v>
      </c>
      <c r="H139" s="8">
        <v>45</v>
      </c>
      <c r="I139" s="10">
        <v>44512.58</v>
      </c>
      <c r="J139" s="10">
        <v>0</v>
      </c>
      <c r="K139" s="10">
        <v>0</v>
      </c>
      <c r="L139" s="10">
        <f t="shared" si="0"/>
        <v>44512.58</v>
      </c>
    </row>
    <row r="140" spans="1:29" ht="13.8" thickBot="1">
      <c r="A140" s="8" t="s">
        <v>197</v>
      </c>
      <c r="B140" s="8">
        <v>23202343104</v>
      </c>
      <c r="C140" s="8" t="s">
        <v>199</v>
      </c>
      <c r="D140" s="9">
        <v>46120</v>
      </c>
      <c r="E140" s="17">
        <v>46082</v>
      </c>
      <c r="F140" s="8" t="s">
        <v>405</v>
      </c>
      <c r="G140" s="8" t="s">
        <v>406</v>
      </c>
      <c r="H140" s="8">
        <v>45</v>
      </c>
      <c r="I140" s="10">
        <v>25435.759999999998</v>
      </c>
      <c r="J140" s="10">
        <v>0</v>
      </c>
      <c r="K140" s="10">
        <v>0</v>
      </c>
      <c r="L140" s="10">
        <f t="shared" si="0"/>
        <v>25435.759999999998</v>
      </c>
    </row>
    <row r="141" spans="1:29" ht="13.8" thickBot="1">
      <c r="A141" s="8" t="s">
        <v>200</v>
      </c>
      <c r="B141" s="8">
        <v>27256682104</v>
      </c>
      <c r="C141" s="8" t="s">
        <v>201</v>
      </c>
      <c r="D141" s="9">
        <v>46118</v>
      </c>
      <c r="E141" s="17">
        <v>46082</v>
      </c>
      <c r="F141" s="8" t="s">
        <v>405</v>
      </c>
      <c r="G141" s="8" t="s">
        <v>410</v>
      </c>
      <c r="H141" s="8">
        <v>45</v>
      </c>
      <c r="I141" s="10">
        <v>34650</v>
      </c>
      <c r="J141" s="10">
        <v>3150</v>
      </c>
      <c r="K141" s="10">
        <v>0</v>
      </c>
      <c r="L141" s="10">
        <f t="shared" si="0"/>
        <v>31500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3.8" thickBot="1">
      <c r="A142" s="8" t="s">
        <v>202</v>
      </c>
      <c r="B142" s="8">
        <v>27208730768</v>
      </c>
      <c r="C142" s="8" t="s">
        <v>203</v>
      </c>
      <c r="D142" s="9">
        <v>46122</v>
      </c>
      <c r="E142" s="17">
        <v>46082</v>
      </c>
      <c r="F142" s="8" t="s">
        <v>405</v>
      </c>
      <c r="G142" s="8" t="s">
        <v>406</v>
      </c>
      <c r="H142" s="8">
        <v>45</v>
      </c>
      <c r="I142" s="10">
        <v>666000</v>
      </c>
      <c r="J142" s="10">
        <v>0</v>
      </c>
      <c r="K142" s="10">
        <v>0</v>
      </c>
      <c r="L142" s="10">
        <f t="shared" si="0"/>
        <v>666000</v>
      </c>
    </row>
    <row r="143" spans="1:29" ht="13.8" thickBot="1">
      <c r="A143" s="8" t="s">
        <v>204</v>
      </c>
      <c r="B143" s="8">
        <v>30716142015</v>
      </c>
      <c r="C143" s="8" t="s">
        <v>205</v>
      </c>
      <c r="D143" s="9">
        <v>46121</v>
      </c>
      <c r="E143" s="17">
        <v>46082</v>
      </c>
      <c r="F143" s="8" t="s">
        <v>405</v>
      </c>
      <c r="G143" s="8" t="s">
        <v>410</v>
      </c>
      <c r="H143" s="8">
        <v>60</v>
      </c>
      <c r="I143" s="10">
        <v>46750</v>
      </c>
      <c r="J143" s="10">
        <v>11196</v>
      </c>
      <c r="K143" s="10">
        <v>0</v>
      </c>
      <c r="L143" s="10">
        <f t="shared" si="0"/>
        <v>35554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3.8" thickBot="1">
      <c r="A144" s="8" t="s">
        <v>204</v>
      </c>
      <c r="B144" s="8">
        <v>30716142015</v>
      </c>
      <c r="C144" s="8" t="s">
        <v>206</v>
      </c>
      <c r="D144" s="9">
        <v>46121</v>
      </c>
      <c r="E144" s="17">
        <v>46082</v>
      </c>
      <c r="F144" s="8" t="s">
        <v>405</v>
      </c>
      <c r="G144" s="8" t="s">
        <v>408</v>
      </c>
      <c r="H144" s="8">
        <v>60</v>
      </c>
      <c r="I144" s="10">
        <v>490450</v>
      </c>
      <c r="J144" s="10">
        <v>19410</v>
      </c>
      <c r="K144" s="10">
        <v>0</v>
      </c>
      <c r="L144" s="10">
        <f t="shared" si="0"/>
        <v>471040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3.8" thickBot="1">
      <c r="A145" s="8" t="s">
        <v>204</v>
      </c>
      <c r="B145" s="8">
        <v>30716142015</v>
      </c>
      <c r="C145" s="8" t="s">
        <v>207</v>
      </c>
      <c r="D145" s="9">
        <v>46121</v>
      </c>
      <c r="E145" s="17">
        <v>46082</v>
      </c>
      <c r="F145" s="8" t="s">
        <v>405</v>
      </c>
      <c r="G145" s="8" t="s">
        <v>412</v>
      </c>
      <c r="H145" s="8">
        <v>60</v>
      </c>
      <c r="I145" s="10">
        <v>129625</v>
      </c>
      <c r="J145" s="10">
        <v>21554</v>
      </c>
      <c r="K145" s="10">
        <v>0</v>
      </c>
      <c r="L145" s="10">
        <f t="shared" si="0"/>
        <v>108071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3.8" thickBot="1">
      <c r="A146" s="8" t="s">
        <v>204</v>
      </c>
      <c r="B146" s="8">
        <v>30716142015</v>
      </c>
      <c r="C146" s="8" t="s">
        <v>208</v>
      </c>
      <c r="D146" s="9">
        <v>46122</v>
      </c>
      <c r="E146" s="17">
        <v>46082</v>
      </c>
      <c r="F146" s="8" t="s">
        <v>405</v>
      </c>
      <c r="G146" s="8" t="s">
        <v>406</v>
      </c>
      <c r="H146" s="8">
        <v>60</v>
      </c>
      <c r="I146" s="10">
        <v>149175</v>
      </c>
      <c r="J146" s="10">
        <v>0</v>
      </c>
      <c r="K146" s="10">
        <v>0</v>
      </c>
      <c r="L146" s="10">
        <f t="shared" si="0"/>
        <v>149175</v>
      </c>
    </row>
    <row r="147" spans="1:29" ht="13.8" thickBot="1">
      <c r="A147" s="8" t="s">
        <v>209</v>
      </c>
      <c r="B147" s="8">
        <v>30709290866</v>
      </c>
      <c r="C147" s="8" t="s">
        <v>210</v>
      </c>
      <c r="D147" s="9">
        <v>46121</v>
      </c>
      <c r="E147" s="17">
        <v>46113</v>
      </c>
      <c r="F147" s="8" t="s">
        <v>407</v>
      </c>
      <c r="G147" s="8" t="s">
        <v>412</v>
      </c>
      <c r="H147" s="8">
        <v>30</v>
      </c>
      <c r="I147" s="10">
        <v>22680</v>
      </c>
      <c r="J147" s="10">
        <v>0</v>
      </c>
      <c r="K147" s="10">
        <v>0</v>
      </c>
      <c r="L147" s="10">
        <f t="shared" si="0"/>
        <v>22680</v>
      </c>
    </row>
    <row r="148" spans="1:29" ht="13.8" thickBot="1">
      <c r="A148" s="8" t="s">
        <v>209</v>
      </c>
      <c r="B148" s="8">
        <v>30709290866</v>
      </c>
      <c r="C148" s="8" t="s">
        <v>211</v>
      </c>
      <c r="D148" s="9">
        <v>46121</v>
      </c>
      <c r="E148" s="17">
        <v>46113</v>
      </c>
      <c r="F148" s="8" t="s">
        <v>407</v>
      </c>
      <c r="G148" s="8" t="s">
        <v>406</v>
      </c>
      <c r="H148" s="8">
        <v>30</v>
      </c>
      <c r="I148" s="10">
        <v>214488</v>
      </c>
      <c r="J148" s="10">
        <v>0</v>
      </c>
      <c r="K148" s="10">
        <v>0</v>
      </c>
      <c r="L148" s="10">
        <f t="shared" si="0"/>
        <v>214488</v>
      </c>
    </row>
    <row r="149" spans="1:29" ht="13.8" thickBot="1">
      <c r="A149" s="8" t="s">
        <v>209</v>
      </c>
      <c r="B149" s="8">
        <v>30709290866</v>
      </c>
      <c r="C149" s="8" t="s">
        <v>212</v>
      </c>
      <c r="D149" s="9">
        <v>46121</v>
      </c>
      <c r="E149" s="17">
        <v>46113</v>
      </c>
      <c r="F149" s="8" t="s">
        <v>407</v>
      </c>
      <c r="G149" s="8" t="s">
        <v>408</v>
      </c>
      <c r="H149" s="8">
        <v>30</v>
      </c>
      <c r="I149" s="10">
        <v>16128</v>
      </c>
      <c r="J149" s="10">
        <v>0</v>
      </c>
      <c r="K149" s="10">
        <v>0</v>
      </c>
      <c r="L149" s="10">
        <f t="shared" si="0"/>
        <v>16128</v>
      </c>
    </row>
    <row r="150" spans="1:29" ht="13.8" thickBot="1">
      <c r="A150" s="8" t="s">
        <v>213</v>
      </c>
      <c r="B150" s="8">
        <v>23402492074</v>
      </c>
      <c r="C150" s="8" t="s">
        <v>214</v>
      </c>
      <c r="D150" s="9">
        <v>46104</v>
      </c>
      <c r="E150" s="17">
        <v>46082</v>
      </c>
      <c r="F150" s="8" t="s">
        <v>405</v>
      </c>
      <c r="G150" s="8" t="s">
        <v>406</v>
      </c>
      <c r="H150" s="8">
        <v>45</v>
      </c>
      <c r="I150" s="10">
        <v>37310.400000000001</v>
      </c>
      <c r="J150" s="10">
        <v>0</v>
      </c>
      <c r="K150" s="10">
        <v>0</v>
      </c>
      <c r="L150" s="10">
        <f t="shared" si="0"/>
        <v>37310.400000000001</v>
      </c>
    </row>
    <row r="151" spans="1:29" ht="13.8" thickBot="1">
      <c r="A151" s="8" t="s">
        <v>213</v>
      </c>
      <c r="B151" s="8">
        <v>23402492074</v>
      </c>
      <c r="C151" s="8" t="s">
        <v>215</v>
      </c>
      <c r="D151" s="9">
        <v>46119</v>
      </c>
      <c r="E151" s="17">
        <v>46082</v>
      </c>
      <c r="F151" s="8" t="s">
        <v>405</v>
      </c>
      <c r="G151" s="8" t="s">
        <v>406</v>
      </c>
      <c r="H151" s="8">
        <v>45</v>
      </c>
      <c r="I151" s="10">
        <v>198419.19</v>
      </c>
      <c r="J151" s="10">
        <v>0</v>
      </c>
      <c r="K151" s="10">
        <v>0</v>
      </c>
      <c r="L151" s="10">
        <f t="shared" si="0"/>
        <v>198419.19</v>
      </c>
    </row>
    <row r="152" spans="1:29" ht="13.8" thickBot="1">
      <c r="A152" s="8" t="s">
        <v>216</v>
      </c>
      <c r="B152" s="8">
        <v>30689768861</v>
      </c>
      <c r="C152" s="8" t="s">
        <v>217</v>
      </c>
      <c r="D152" s="9">
        <v>46119</v>
      </c>
      <c r="E152" s="17">
        <v>46082</v>
      </c>
      <c r="F152" s="8" t="s">
        <v>405</v>
      </c>
      <c r="G152" s="8" t="s">
        <v>410</v>
      </c>
      <c r="H152" s="8">
        <v>60</v>
      </c>
      <c r="I152" s="10">
        <v>29160.05</v>
      </c>
      <c r="J152" s="10">
        <v>0</v>
      </c>
      <c r="K152" s="10">
        <v>0</v>
      </c>
      <c r="L152" s="10">
        <f t="shared" si="0"/>
        <v>29160.05</v>
      </c>
    </row>
    <row r="153" spans="1:29" ht="13.8" thickBot="1">
      <c r="A153" s="8" t="s">
        <v>216</v>
      </c>
      <c r="B153" s="8">
        <v>30689768861</v>
      </c>
      <c r="C153" s="8" t="s">
        <v>218</v>
      </c>
      <c r="D153" s="9">
        <v>46119</v>
      </c>
      <c r="E153" s="17">
        <v>46082</v>
      </c>
      <c r="F153" s="8" t="s">
        <v>405</v>
      </c>
      <c r="G153" s="8" t="s">
        <v>406</v>
      </c>
      <c r="H153" s="8">
        <v>60</v>
      </c>
      <c r="I153" s="10">
        <v>518960.44</v>
      </c>
      <c r="J153" s="10">
        <v>0</v>
      </c>
      <c r="K153" s="10">
        <v>0</v>
      </c>
      <c r="L153" s="10">
        <f t="shared" si="0"/>
        <v>518960.44</v>
      </c>
    </row>
    <row r="154" spans="1:29" ht="13.8" thickBot="1">
      <c r="A154" s="8" t="s">
        <v>219</v>
      </c>
      <c r="B154" s="8">
        <v>30589770842</v>
      </c>
      <c r="C154" s="8" t="s">
        <v>220</v>
      </c>
      <c r="D154" s="9">
        <v>46112</v>
      </c>
      <c r="E154" s="17">
        <v>46082</v>
      </c>
      <c r="F154" s="8" t="s">
        <v>405</v>
      </c>
      <c r="G154" s="8" t="s">
        <v>406</v>
      </c>
      <c r="H154" s="8">
        <v>60</v>
      </c>
      <c r="I154" s="10">
        <v>736200.99</v>
      </c>
      <c r="J154" s="10">
        <v>0</v>
      </c>
      <c r="K154" s="10">
        <v>0</v>
      </c>
      <c r="L154" s="10">
        <f t="shared" si="0"/>
        <v>736200.99</v>
      </c>
    </row>
    <row r="155" spans="1:29" ht="13.8" thickBot="1">
      <c r="A155" s="8" t="s">
        <v>219</v>
      </c>
      <c r="B155" s="8">
        <v>30589770842</v>
      </c>
      <c r="C155" s="8" t="s">
        <v>221</v>
      </c>
      <c r="D155" s="9">
        <v>46112</v>
      </c>
      <c r="E155" s="17">
        <v>46082</v>
      </c>
      <c r="F155" s="8" t="s">
        <v>405</v>
      </c>
      <c r="G155" s="8" t="s">
        <v>408</v>
      </c>
      <c r="H155" s="8">
        <v>60</v>
      </c>
      <c r="I155" s="10">
        <v>29372.560000000001</v>
      </c>
      <c r="J155" s="10">
        <v>0</v>
      </c>
      <c r="K155" s="10">
        <v>0</v>
      </c>
      <c r="L155" s="10">
        <f t="shared" si="0"/>
        <v>29372.560000000001</v>
      </c>
    </row>
    <row r="156" spans="1:29" ht="13.8" thickBot="1">
      <c r="A156" s="8" t="s">
        <v>219</v>
      </c>
      <c r="B156" s="8">
        <v>30589770842</v>
      </c>
      <c r="C156" s="8" t="s">
        <v>222</v>
      </c>
      <c r="D156" s="9">
        <v>46112</v>
      </c>
      <c r="E156" s="17">
        <v>46082</v>
      </c>
      <c r="F156" s="8" t="s">
        <v>405</v>
      </c>
      <c r="G156" s="8" t="s">
        <v>412</v>
      </c>
      <c r="H156" s="8">
        <v>60</v>
      </c>
      <c r="I156" s="10">
        <v>1136205.02</v>
      </c>
      <c r="J156" s="10">
        <v>0</v>
      </c>
      <c r="K156" s="10">
        <v>0</v>
      </c>
      <c r="L156" s="10">
        <f t="shared" si="0"/>
        <v>1136205.02</v>
      </c>
    </row>
    <row r="157" spans="1:29" ht="13.8" thickBot="1">
      <c r="A157" s="8" t="s">
        <v>219</v>
      </c>
      <c r="B157" s="8">
        <v>30589770842</v>
      </c>
      <c r="C157" s="8" t="s">
        <v>223</v>
      </c>
      <c r="D157" s="9">
        <v>46112</v>
      </c>
      <c r="E157" s="17">
        <v>46082</v>
      </c>
      <c r="F157" s="8" t="s">
        <v>405</v>
      </c>
      <c r="G157" s="8" t="s">
        <v>412</v>
      </c>
      <c r="H157" s="8">
        <v>60</v>
      </c>
      <c r="I157" s="10">
        <v>51290</v>
      </c>
      <c r="J157" s="10">
        <v>0</v>
      </c>
      <c r="K157" s="10">
        <v>0</v>
      </c>
      <c r="L157" s="10">
        <f t="shared" si="0"/>
        <v>51290</v>
      </c>
    </row>
    <row r="158" spans="1:29" ht="13.8" thickBot="1">
      <c r="A158" s="8" t="s">
        <v>219</v>
      </c>
      <c r="B158" s="8">
        <v>30589770842</v>
      </c>
      <c r="C158" s="8" t="s">
        <v>224</v>
      </c>
      <c r="D158" s="9">
        <v>46112</v>
      </c>
      <c r="E158" s="17">
        <v>46082</v>
      </c>
      <c r="F158" s="8" t="s">
        <v>405</v>
      </c>
      <c r="G158" s="8" t="s">
        <v>408</v>
      </c>
      <c r="H158" s="8">
        <v>60</v>
      </c>
      <c r="I158" s="10">
        <v>922775.55</v>
      </c>
      <c r="J158" s="10">
        <v>0</v>
      </c>
      <c r="K158" s="10">
        <v>0</v>
      </c>
      <c r="L158" s="10">
        <f t="shared" si="0"/>
        <v>922775.55</v>
      </c>
    </row>
    <row r="159" spans="1:29" ht="13.8" thickBot="1">
      <c r="A159" s="8" t="s">
        <v>219</v>
      </c>
      <c r="B159" s="8">
        <v>30589770842</v>
      </c>
      <c r="C159" s="8" t="s">
        <v>225</v>
      </c>
      <c r="D159" s="9">
        <v>46112</v>
      </c>
      <c r="E159" s="17">
        <v>46082</v>
      </c>
      <c r="F159" s="8" t="s">
        <v>405</v>
      </c>
      <c r="G159" s="8" t="s">
        <v>412</v>
      </c>
      <c r="H159" s="8">
        <v>60</v>
      </c>
      <c r="I159" s="10">
        <v>344179.55</v>
      </c>
      <c r="J159" s="10">
        <v>0</v>
      </c>
      <c r="K159" s="10">
        <v>0</v>
      </c>
      <c r="L159" s="10">
        <f t="shared" si="0"/>
        <v>344179.55</v>
      </c>
    </row>
    <row r="160" spans="1:29" ht="13.8" thickBot="1">
      <c r="A160" s="8" t="s">
        <v>219</v>
      </c>
      <c r="B160" s="8">
        <v>30589770842</v>
      </c>
      <c r="C160" s="8" t="s">
        <v>226</v>
      </c>
      <c r="D160" s="9">
        <v>46112</v>
      </c>
      <c r="E160" s="17">
        <v>46082</v>
      </c>
      <c r="F160" s="8" t="s">
        <v>405</v>
      </c>
      <c r="G160" s="8" t="s">
        <v>406</v>
      </c>
      <c r="H160" s="8">
        <v>60</v>
      </c>
      <c r="I160" s="10">
        <v>715774.52</v>
      </c>
      <c r="J160" s="10">
        <v>0</v>
      </c>
      <c r="K160" s="10">
        <v>0</v>
      </c>
      <c r="L160" s="10">
        <f t="shared" si="0"/>
        <v>715774.52</v>
      </c>
    </row>
    <row r="161" spans="1:29" ht="13.8" thickBot="1">
      <c r="A161" s="8" t="s">
        <v>219</v>
      </c>
      <c r="B161" s="8">
        <v>30589770842</v>
      </c>
      <c r="C161" s="8" t="s">
        <v>227</v>
      </c>
      <c r="D161" s="9">
        <v>46112</v>
      </c>
      <c r="E161" s="17">
        <v>46082</v>
      </c>
      <c r="F161" s="8" t="s">
        <v>405</v>
      </c>
      <c r="G161" s="8" t="s">
        <v>408</v>
      </c>
      <c r="H161" s="8">
        <v>60</v>
      </c>
      <c r="I161" s="10">
        <v>93377.12</v>
      </c>
      <c r="J161" s="10">
        <v>0</v>
      </c>
      <c r="K161" s="10">
        <v>0</v>
      </c>
      <c r="L161" s="10">
        <f t="shared" si="0"/>
        <v>93377.12</v>
      </c>
    </row>
    <row r="162" spans="1:29" ht="13.8" thickBot="1">
      <c r="A162" s="8" t="s">
        <v>219</v>
      </c>
      <c r="B162" s="8">
        <v>30589770842</v>
      </c>
      <c r="C162" s="8" t="s">
        <v>228</v>
      </c>
      <c r="D162" s="9">
        <v>46112</v>
      </c>
      <c r="E162" s="17">
        <v>46082</v>
      </c>
      <c r="F162" s="8" t="s">
        <v>405</v>
      </c>
      <c r="G162" s="8" t="s">
        <v>408</v>
      </c>
      <c r="H162" s="8">
        <v>60</v>
      </c>
      <c r="I162" s="10">
        <v>344708.11</v>
      </c>
      <c r="J162" s="10">
        <v>0</v>
      </c>
      <c r="K162" s="10">
        <v>0</v>
      </c>
      <c r="L162" s="10">
        <f t="shared" si="0"/>
        <v>344708.11</v>
      </c>
    </row>
    <row r="163" spans="1:29" ht="13.8" thickBot="1">
      <c r="A163" s="8" t="s">
        <v>219</v>
      </c>
      <c r="B163" s="8">
        <v>30589770842</v>
      </c>
      <c r="C163" s="8" t="s">
        <v>229</v>
      </c>
      <c r="D163" s="9">
        <v>46112</v>
      </c>
      <c r="E163" s="17">
        <v>46082</v>
      </c>
      <c r="F163" s="8" t="s">
        <v>405</v>
      </c>
      <c r="G163" s="8" t="s">
        <v>406</v>
      </c>
      <c r="H163" s="8">
        <v>60</v>
      </c>
      <c r="I163" s="10">
        <v>968895.09</v>
      </c>
      <c r="J163" s="10">
        <v>0</v>
      </c>
      <c r="K163" s="10">
        <v>0</v>
      </c>
      <c r="L163" s="10">
        <f t="shared" si="0"/>
        <v>968895.09</v>
      </c>
    </row>
    <row r="164" spans="1:29" ht="13.8" thickBot="1">
      <c r="A164" s="8" t="s">
        <v>219</v>
      </c>
      <c r="B164" s="8">
        <v>30589770842</v>
      </c>
      <c r="C164" s="8" t="s">
        <v>230</v>
      </c>
      <c r="D164" s="9">
        <v>46112</v>
      </c>
      <c r="E164" s="17">
        <v>46082</v>
      </c>
      <c r="F164" s="8" t="s">
        <v>405</v>
      </c>
      <c r="G164" s="8" t="s">
        <v>410</v>
      </c>
      <c r="H164" s="8">
        <v>60</v>
      </c>
      <c r="I164" s="10">
        <v>97373.49</v>
      </c>
      <c r="J164" s="10">
        <v>0</v>
      </c>
      <c r="K164" s="10">
        <v>0</v>
      </c>
      <c r="L164" s="10">
        <f t="shared" si="0"/>
        <v>97373.49</v>
      </c>
    </row>
    <row r="165" spans="1:29" ht="13.8" thickBot="1">
      <c r="A165" s="8" t="s">
        <v>219</v>
      </c>
      <c r="B165" s="8">
        <v>30589770842</v>
      </c>
      <c r="C165" s="8" t="s">
        <v>231</v>
      </c>
      <c r="D165" s="9">
        <v>46112</v>
      </c>
      <c r="E165" s="17">
        <v>46082</v>
      </c>
      <c r="F165" s="8" t="s">
        <v>405</v>
      </c>
      <c r="G165" s="8" t="s">
        <v>410</v>
      </c>
      <c r="H165" s="8">
        <v>60</v>
      </c>
      <c r="I165" s="10">
        <v>40666.47</v>
      </c>
      <c r="J165" s="10">
        <v>0</v>
      </c>
      <c r="K165" s="10">
        <v>0</v>
      </c>
      <c r="L165" s="10">
        <f t="shared" si="0"/>
        <v>40666.47</v>
      </c>
    </row>
    <row r="166" spans="1:29" ht="13.8" thickBot="1">
      <c r="A166" s="8" t="s">
        <v>219</v>
      </c>
      <c r="B166" s="8">
        <v>30589770842</v>
      </c>
      <c r="C166" s="8" t="s">
        <v>232</v>
      </c>
      <c r="D166" s="9">
        <v>46112</v>
      </c>
      <c r="E166" s="17">
        <v>46082</v>
      </c>
      <c r="F166" s="8" t="s">
        <v>405</v>
      </c>
      <c r="G166" s="8" t="s">
        <v>412</v>
      </c>
      <c r="H166" s="8">
        <v>60</v>
      </c>
      <c r="I166" s="10">
        <v>299437.08</v>
      </c>
      <c r="J166" s="10">
        <v>0</v>
      </c>
      <c r="K166" s="10">
        <v>0</v>
      </c>
      <c r="L166" s="10">
        <f t="shared" si="0"/>
        <v>299437.08</v>
      </c>
    </row>
    <row r="167" spans="1:29" ht="13.8" thickBot="1">
      <c r="A167" s="8" t="s">
        <v>219</v>
      </c>
      <c r="B167" s="8">
        <v>30589770842</v>
      </c>
      <c r="C167" s="8" t="s">
        <v>233</v>
      </c>
      <c r="D167" s="9">
        <v>46112</v>
      </c>
      <c r="E167" s="17">
        <v>46082</v>
      </c>
      <c r="F167" s="8" t="s">
        <v>405</v>
      </c>
      <c r="G167" s="8" t="s">
        <v>408</v>
      </c>
      <c r="H167" s="8">
        <v>60</v>
      </c>
      <c r="I167" s="10">
        <v>137766.54</v>
      </c>
      <c r="J167" s="10">
        <v>0</v>
      </c>
      <c r="K167" s="10">
        <v>0</v>
      </c>
      <c r="L167" s="10">
        <f t="shared" si="0"/>
        <v>137766.54</v>
      </c>
    </row>
    <row r="168" spans="1:29" ht="13.8" thickBot="1">
      <c r="A168" s="8" t="s">
        <v>219</v>
      </c>
      <c r="B168" s="8">
        <v>30589770842</v>
      </c>
      <c r="C168" s="8" t="s">
        <v>234</v>
      </c>
      <c r="D168" s="9">
        <v>46112</v>
      </c>
      <c r="E168" s="17">
        <v>46082</v>
      </c>
      <c r="F168" s="8" t="s">
        <v>405</v>
      </c>
      <c r="G168" s="8" t="s">
        <v>412</v>
      </c>
      <c r="H168" s="8">
        <v>60</v>
      </c>
      <c r="I168" s="10">
        <v>1297790.1299999999</v>
      </c>
      <c r="J168" s="10">
        <v>0</v>
      </c>
      <c r="K168" s="10">
        <v>0</v>
      </c>
      <c r="L168" s="10">
        <f t="shared" si="0"/>
        <v>1297790.1299999999</v>
      </c>
    </row>
    <row r="169" spans="1:29" ht="13.8" thickBot="1">
      <c r="A169" s="8" t="s">
        <v>219</v>
      </c>
      <c r="B169" s="8">
        <v>30589770842</v>
      </c>
      <c r="C169" s="8" t="s">
        <v>235</v>
      </c>
      <c r="D169" s="9">
        <v>46112</v>
      </c>
      <c r="E169" s="17">
        <v>46082</v>
      </c>
      <c r="F169" s="8" t="s">
        <v>405</v>
      </c>
      <c r="G169" s="8" t="s">
        <v>408</v>
      </c>
      <c r="H169" s="8">
        <v>60</v>
      </c>
      <c r="I169" s="10">
        <v>35131.519999999997</v>
      </c>
      <c r="J169" s="10">
        <v>0</v>
      </c>
      <c r="K169" s="10">
        <v>0</v>
      </c>
      <c r="L169" s="10">
        <f t="shared" si="0"/>
        <v>35131.519999999997</v>
      </c>
    </row>
    <row r="170" spans="1:29" ht="13.8" thickBot="1">
      <c r="A170" s="8" t="s">
        <v>219</v>
      </c>
      <c r="B170" s="8">
        <v>30589770842</v>
      </c>
      <c r="C170" s="8" t="s">
        <v>236</v>
      </c>
      <c r="D170" s="9">
        <v>46112</v>
      </c>
      <c r="E170" s="17">
        <v>46082</v>
      </c>
      <c r="F170" s="8" t="s">
        <v>405</v>
      </c>
      <c r="G170" s="8" t="s">
        <v>412</v>
      </c>
      <c r="H170" s="8">
        <v>60</v>
      </c>
      <c r="I170" s="10">
        <v>224437.74</v>
      </c>
      <c r="J170" s="10">
        <v>12000</v>
      </c>
      <c r="K170" s="10">
        <v>0</v>
      </c>
      <c r="L170" s="10">
        <f t="shared" si="0"/>
        <v>212437.74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3.8" thickBot="1">
      <c r="A171" s="8" t="s">
        <v>219</v>
      </c>
      <c r="B171" s="8">
        <v>30589770842</v>
      </c>
      <c r="C171" s="8" t="s">
        <v>237</v>
      </c>
      <c r="D171" s="9">
        <v>46112</v>
      </c>
      <c r="E171" s="17">
        <v>46082</v>
      </c>
      <c r="F171" s="8" t="s">
        <v>405</v>
      </c>
      <c r="G171" s="8" t="s">
        <v>406</v>
      </c>
      <c r="H171" s="8">
        <v>60</v>
      </c>
      <c r="I171" s="10">
        <v>44098.720000000001</v>
      </c>
      <c r="J171" s="10">
        <v>0</v>
      </c>
      <c r="K171" s="10">
        <v>0</v>
      </c>
      <c r="L171" s="10">
        <f t="shared" si="0"/>
        <v>44098.720000000001</v>
      </c>
    </row>
    <row r="172" spans="1:29" ht="13.8" thickBot="1">
      <c r="A172" s="8" t="s">
        <v>219</v>
      </c>
      <c r="B172" s="8">
        <v>30589770842</v>
      </c>
      <c r="C172" s="8" t="s">
        <v>238</v>
      </c>
      <c r="D172" s="9">
        <v>46112</v>
      </c>
      <c r="E172" s="17">
        <v>46082</v>
      </c>
      <c r="F172" s="8" t="s">
        <v>405</v>
      </c>
      <c r="G172" s="8" t="s">
        <v>408</v>
      </c>
      <c r="H172" s="8">
        <v>60</v>
      </c>
      <c r="I172" s="10">
        <v>147489.10999999999</v>
      </c>
      <c r="J172" s="10">
        <v>0</v>
      </c>
      <c r="K172" s="10">
        <v>0</v>
      </c>
      <c r="L172" s="10">
        <f t="shared" si="0"/>
        <v>147489.10999999999</v>
      </c>
    </row>
    <row r="173" spans="1:29" ht="13.8" thickBot="1">
      <c r="A173" s="8" t="s">
        <v>219</v>
      </c>
      <c r="B173" s="8">
        <v>30589770842</v>
      </c>
      <c r="C173" s="8" t="s">
        <v>239</v>
      </c>
      <c r="D173" s="9">
        <v>46112</v>
      </c>
      <c r="E173" s="17">
        <v>46082</v>
      </c>
      <c r="F173" s="8" t="s">
        <v>405</v>
      </c>
      <c r="G173" s="8" t="s">
        <v>410</v>
      </c>
      <c r="H173" s="8">
        <v>60</v>
      </c>
      <c r="I173" s="10">
        <v>178321.76</v>
      </c>
      <c r="J173" s="10">
        <v>0</v>
      </c>
      <c r="K173" s="10">
        <v>0</v>
      </c>
      <c r="L173" s="10">
        <f t="shared" si="0"/>
        <v>178321.76</v>
      </c>
    </row>
    <row r="174" spans="1:29" ht="13.8" thickBot="1">
      <c r="A174" s="8" t="s">
        <v>219</v>
      </c>
      <c r="B174" s="8">
        <v>30589770842</v>
      </c>
      <c r="C174" s="8" t="s">
        <v>240</v>
      </c>
      <c r="D174" s="9">
        <v>46112</v>
      </c>
      <c r="E174" s="17">
        <v>46082</v>
      </c>
      <c r="F174" s="8" t="s">
        <v>405</v>
      </c>
      <c r="G174" s="8" t="s">
        <v>412</v>
      </c>
      <c r="H174" s="8">
        <v>60</v>
      </c>
      <c r="I174" s="10">
        <v>215253.88</v>
      </c>
      <c r="J174" s="10">
        <v>5600</v>
      </c>
      <c r="K174" s="10">
        <v>0</v>
      </c>
      <c r="L174" s="10">
        <f t="shared" si="0"/>
        <v>209653.88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13.8" thickBot="1">
      <c r="A175" s="8" t="s">
        <v>219</v>
      </c>
      <c r="B175" s="8">
        <v>30589770842</v>
      </c>
      <c r="C175" s="8" t="s">
        <v>241</v>
      </c>
      <c r="D175" s="9">
        <v>46112</v>
      </c>
      <c r="E175" s="17">
        <v>46082</v>
      </c>
      <c r="F175" s="8" t="s">
        <v>405</v>
      </c>
      <c r="G175" s="8" t="s">
        <v>406</v>
      </c>
      <c r="H175" s="8">
        <v>60</v>
      </c>
      <c r="I175" s="10">
        <v>510975.76</v>
      </c>
      <c r="J175" s="10">
        <v>0</v>
      </c>
      <c r="K175" s="10">
        <v>0</v>
      </c>
      <c r="L175" s="10">
        <f t="shared" si="0"/>
        <v>510975.76</v>
      </c>
    </row>
    <row r="176" spans="1:29" ht="13.8" thickBot="1">
      <c r="A176" s="8" t="s">
        <v>219</v>
      </c>
      <c r="B176" s="8">
        <v>30589770842</v>
      </c>
      <c r="C176" s="8" t="s">
        <v>242</v>
      </c>
      <c r="D176" s="9">
        <v>46112</v>
      </c>
      <c r="E176" s="17">
        <v>46082</v>
      </c>
      <c r="F176" s="8" t="s">
        <v>405</v>
      </c>
      <c r="G176" s="8" t="s">
        <v>406</v>
      </c>
      <c r="H176" s="8">
        <v>60</v>
      </c>
      <c r="I176" s="10">
        <v>257637.62</v>
      </c>
      <c r="J176" s="10">
        <v>26780</v>
      </c>
      <c r="K176" s="10">
        <v>0</v>
      </c>
      <c r="L176" s="10">
        <f t="shared" si="0"/>
        <v>230857.62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13.8" thickBot="1">
      <c r="A177" s="8" t="s">
        <v>219</v>
      </c>
      <c r="B177" s="8">
        <v>30589770842</v>
      </c>
      <c r="C177" s="8" t="s">
        <v>243</v>
      </c>
      <c r="D177" s="9">
        <v>46112</v>
      </c>
      <c r="E177" s="17">
        <v>46082</v>
      </c>
      <c r="F177" s="8" t="s">
        <v>405</v>
      </c>
      <c r="G177" s="8" t="s">
        <v>408</v>
      </c>
      <c r="H177" s="8">
        <v>60</v>
      </c>
      <c r="I177" s="10">
        <v>473160.46</v>
      </c>
      <c r="J177" s="10">
        <v>0</v>
      </c>
      <c r="K177" s="10">
        <v>0</v>
      </c>
      <c r="L177" s="10">
        <f t="shared" si="0"/>
        <v>473160.46</v>
      </c>
    </row>
    <row r="178" spans="1:29" ht="13.8" thickBot="1">
      <c r="A178" s="8" t="s">
        <v>244</v>
      </c>
      <c r="B178" s="8">
        <v>30659560093</v>
      </c>
      <c r="C178" s="8" t="s">
        <v>245</v>
      </c>
      <c r="D178" s="9">
        <v>46107</v>
      </c>
      <c r="E178" s="17">
        <v>46082</v>
      </c>
      <c r="F178" s="8" t="s">
        <v>413</v>
      </c>
      <c r="G178" s="8" t="s">
        <v>408</v>
      </c>
      <c r="H178" s="8">
        <v>45</v>
      </c>
      <c r="I178" s="10">
        <v>2615276.37</v>
      </c>
      <c r="J178" s="10">
        <v>0</v>
      </c>
      <c r="K178" s="10">
        <v>879869.77</v>
      </c>
      <c r="L178" s="10">
        <f t="shared" si="0"/>
        <v>1735406.6</v>
      </c>
    </row>
    <row r="179" spans="1:29" ht="13.8" thickBot="1">
      <c r="A179" s="8" t="s">
        <v>244</v>
      </c>
      <c r="B179" s="8">
        <v>30659560093</v>
      </c>
      <c r="C179" s="8" t="s">
        <v>246</v>
      </c>
      <c r="D179" s="9">
        <v>46107</v>
      </c>
      <c r="E179" s="17">
        <v>46082</v>
      </c>
      <c r="F179" s="8" t="s">
        <v>413</v>
      </c>
      <c r="G179" s="8" t="s">
        <v>406</v>
      </c>
      <c r="H179" s="8">
        <v>45</v>
      </c>
      <c r="I179" s="10">
        <v>2400000</v>
      </c>
      <c r="J179" s="10">
        <v>0</v>
      </c>
      <c r="K179" s="10">
        <v>0</v>
      </c>
      <c r="L179" s="10">
        <f t="shared" si="0"/>
        <v>2400000</v>
      </c>
    </row>
    <row r="180" spans="1:29" ht="13.8" thickBot="1">
      <c r="A180" s="8" t="s">
        <v>244</v>
      </c>
      <c r="B180" s="8">
        <v>30659560093</v>
      </c>
      <c r="C180" s="8" t="s">
        <v>247</v>
      </c>
      <c r="D180" s="9">
        <v>46112</v>
      </c>
      <c r="E180" s="17">
        <v>46082</v>
      </c>
      <c r="F180" s="8" t="s">
        <v>413</v>
      </c>
      <c r="G180" s="8" t="s">
        <v>406</v>
      </c>
      <c r="H180" s="8">
        <v>45</v>
      </c>
      <c r="I180" s="10">
        <v>845774.57</v>
      </c>
      <c r="J180" s="10">
        <v>19332.8</v>
      </c>
      <c r="K180" s="10">
        <v>218168</v>
      </c>
      <c r="L180" s="10">
        <f t="shared" si="0"/>
        <v>608273.7699999999</v>
      </c>
    </row>
    <row r="181" spans="1:29" ht="13.8" thickBot="1">
      <c r="A181" s="8" t="s">
        <v>244</v>
      </c>
      <c r="B181" s="8">
        <v>30659560093</v>
      </c>
      <c r="C181" s="8" t="s">
        <v>248</v>
      </c>
      <c r="D181" s="9">
        <v>46115</v>
      </c>
      <c r="E181" s="17">
        <v>46082</v>
      </c>
      <c r="F181" s="8" t="s">
        <v>405</v>
      </c>
      <c r="G181" s="8" t="s">
        <v>408</v>
      </c>
      <c r="H181" s="8">
        <v>45</v>
      </c>
      <c r="I181" s="10">
        <v>29080.5</v>
      </c>
      <c r="J181" s="10">
        <v>1129</v>
      </c>
      <c r="K181" s="10">
        <v>0</v>
      </c>
      <c r="L181" s="10">
        <f t="shared" si="0"/>
        <v>27951.5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3.8" thickBot="1">
      <c r="A182" s="8" t="s">
        <v>244</v>
      </c>
      <c r="B182" s="8">
        <v>30659560093</v>
      </c>
      <c r="C182" s="8" t="s">
        <v>249</v>
      </c>
      <c r="D182" s="9">
        <v>46115</v>
      </c>
      <c r="E182" s="17">
        <v>46082</v>
      </c>
      <c r="F182" s="8" t="s">
        <v>405</v>
      </c>
      <c r="G182" s="8" t="s">
        <v>406</v>
      </c>
      <c r="H182" s="8">
        <v>45</v>
      </c>
      <c r="I182" s="10">
        <v>143538</v>
      </c>
      <c r="J182" s="10">
        <v>3951.5</v>
      </c>
      <c r="K182" s="10">
        <v>0</v>
      </c>
      <c r="L182" s="10">
        <f t="shared" si="0"/>
        <v>139586.5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3.8" thickBot="1">
      <c r="A183" s="8" t="s">
        <v>244</v>
      </c>
      <c r="B183" s="8">
        <v>30659560093</v>
      </c>
      <c r="C183" s="8" t="s">
        <v>250</v>
      </c>
      <c r="D183" s="9">
        <v>46115</v>
      </c>
      <c r="E183" s="17">
        <v>46082</v>
      </c>
      <c r="F183" s="8" t="s">
        <v>405</v>
      </c>
      <c r="G183" s="8" t="s">
        <v>406</v>
      </c>
      <c r="H183" s="8">
        <v>45</v>
      </c>
      <c r="I183" s="10">
        <v>32963.5</v>
      </c>
      <c r="J183" s="10">
        <v>11290</v>
      </c>
      <c r="K183" s="10">
        <v>0</v>
      </c>
      <c r="L183" s="10">
        <f t="shared" si="0"/>
        <v>21673.5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3.8" thickBot="1">
      <c r="A184" s="8" t="s">
        <v>244</v>
      </c>
      <c r="B184" s="8">
        <v>30659560093</v>
      </c>
      <c r="C184" s="8" t="s">
        <v>251</v>
      </c>
      <c r="D184" s="9">
        <v>46118</v>
      </c>
      <c r="E184" s="17">
        <v>46082</v>
      </c>
      <c r="F184" s="8" t="s">
        <v>405</v>
      </c>
      <c r="G184" s="8" t="s">
        <v>412</v>
      </c>
      <c r="H184" s="8">
        <v>45</v>
      </c>
      <c r="I184" s="10">
        <v>25678</v>
      </c>
      <c r="J184" s="10">
        <v>0</v>
      </c>
      <c r="K184" s="10">
        <v>0</v>
      </c>
      <c r="L184" s="10">
        <f t="shared" si="0"/>
        <v>25678</v>
      </c>
    </row>
    <row r="185" spans="1:29" ht="13.8" thickBot="1">
      <c r="A185" s="8" t="s">
        <v>244</v>
      </c>
      <c r="B185" s="8">
        <v>30659560093</v>
      </c>
      <c r="C185" s="8" t="s">
        <v>252</v>
      </c>
      <c r="D185" s="9">
        <v>46118</v>
      </c>
      <c r="E185" s="17">
        <v>46082</v>
      </c>
      <c r="F185" s="8" t="s">
        <v>405</v>
      </c>
      <c r="G185" s="8" t="s">
        <v>412</v>
      </c>
      <c r="H185" s="8">
        <v>45</v>
      </c>
      <c r="I185" s="10">
        <v>35056</v>
      </c>
      <c r="J185" s="10">
        <v>0</v>
      </c>
      <c r="K185" s="10">
        <v>0</v>
      </c>
      <c r="L185" s="10">
        <f t="shared" si="0"/>
        <v>35056</v>
      </c>
    </row>
    <row r="186" spans="1:29" ht="13.8" thickBot="1">
      <c r="A186" s="8" t="s">
        <v>244</v>
      </c>
      <c r="B186" s="8">
        <v>30659560093</v>
      </c>
      <c r="C186" s="8" t="s">
        <v>253</v>
      </c>
      <c r="D186" s="9">
        <v>46118</v>
      </c>
      <c r="E186" s="17">
        <v>46082</v>
      </c>
      <c r="F186" s="8" t="s">
        <v>405</v>
      </c>
      <c r="G186" s="8" t="s">
        <v>412</v>
      </c>
      <c r="H186" s="8">
        <v>45</v>
      </c>
      <c r="I186" s="10">
        <v>15694</v>
      </c>
      <c r="J186" s="10">
        <v>0</v>
      </c>
      <c r="K186" s="10">
        <v>0</v>
      </c>
      <c r="L186" s="10">
        <f t="shared" si="0"/>
        <v>15694</v>
      </c>
    </row>
    <row r="187" spans="1:29" ht="13.8" thickBot="1">
      <c r="A187" s="8" t="s">
        <v>244</v>
      </c>
      <c r="B187" s="8">
        <v>30659560093</v>
      </c>
      <c r="C187" s="8" t="s">
        <v>254</v>
      </c>
      <c r="D187" s="9">
        <v>46118</v>
      </c>
      <c r="E187" s="17">
        <v>46082</v>
      </c>
      <c r="F187" s="8" t="s">
        <v>405</v>
      </c>
      <c r="G187" s="8" t="s">
        <v>406</v>
      </c>
      <c r="H187" s="8">
        <v>45</v>
      </c>
      <c r="I187" s="10">
        <v>346872</v>
      </c>
      <c r="J187" s="10">
        <v>0</v>
      </c>
      <c r="K187" s="10">
        <v>0</v>
      </c>
      <c r="L187" s="10">
        <f t="shared" si="0"/>
        <v>346872</v>
      </c>
    </row>
    <row r="188" spans="1:29" ht="13.8" thickBot="1">
      <c r="A188" s="8" t="s">
        <v>244</v>
      </c>
      <c r="B188" s="8">
        <v>30659560093</v>
      </c>
      <c r="C188" s="8" t="s">
        <v>255</v>
      </c>
      <c r="D188" s="9">
        <v>46118</v>
      </c>
      <c r="E188" s="17">
        <v>46082</v>
      </c>
      <c r="F188" s="8" t="s">
        <v>405</v>
      </c>
      <c r="G188" s="8" t="s">
        <v>406</v>
      </c>
      <c r="H188" s="8">
        <v>45</v>
      </c>
      <c r="I188" s="10">
        <v>103280</v>
      </c>
      <c r="J188" s="10">
        <v>38984</v>
      </c>
      <c r="K188" s="10">
        <v>0</v>
      </c>
      <c r="L188" s="10">
        <f t="shared" si="0"/>
        <v>64296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3.8" thickBot="1">
      <c r="A189" s="8" t="s">
        <v>244</v>
      </c>
      <c r="B189" s="8">
        <v>30659560093</v>
      </c>
      <c r="C189" s="8" t="s">
        <v>256</v>
      </c>
      <c r="D189" s="9">
        <v>46118</v>
      </c>
      <c r="E189" s="17">
        <v>46082</v>
      </c>
      <c r="F189" s="8" t="s">
        <v>405</v>
      </c>
      <c r="G189" s="8" t="s">
        <v>406</v>
      </c>
      <c r="H189" s="8">
        <v>45</v>
      </c>
      <c r="I189" s="10">
        <v>165740</v>
      </c>
      <c r="J189" s="10">
        <v>0</v>
      </c>
      <c r="K189" s="10">
        <v>0</v>
      </c>
      <c r="L189" s="10">
        <f t="shared" si="0"/>
        <v>165740</v>
      </c>
    </row>
    <row r="190" spans="1:29" ht="13.8" thickBot="1">
      <c r="A190" s="8" t="s">
        <v>257</v>
      </c>
      <c r="B190" s="8">
        <v>30606141579</v>
      </c>
      <c r="C190" s="8" t="s">
        <v>258</v>
      </c>
      <c r="D190" s="9">
        <v>46119</v>
      </c>
      <c r="E190" s="17">
        <v>46082</v>
      </c>
      <c r="F190" s="8" t="s">
        <v>405</v>
      </c>
      <c r="G190" s="8" t="s">
        <v>408</v>
      </c>
      <c r="H190" s="8">
        <v>45</v>
      </c>
      <c r="I190" s="10">
        <v>4542300</v>
      </c>
      <c r="J190" s="10">
        <v>0</v>
      </c>
      <c r="K190" s="10">
        <v>0</v>
      </c>
      <c r="L190" s="10">
        <f t="shared" si="0"/>
        <v>4542300</v>
      </c>
    </row>
    <row r="191" spans="1:29" ht="13.8" thickBot="1">
      <c r="A191" s="8" t="s">
        <v>259</v>
      </c>
      <c r="B191" s="8">
        <v>30698488677</v>
      </c>
      <c r="C191" s="8" t="s">
        <v>260</v>
      </c>
      <c r="D191" s="9">
        <v>46112</v>
      </c>
      <c r="E191" s="17">
        <v>46082</v>
      </c>
      <c r="F191" s="8" t="s">
        <v>405</v>
      </c>
      <c r="G191" s="8" t="s">
        <v>406</v>
      </c>
      <c r="H191" s="8">
        <v>45</v>
      </c>
      <c r="I191" s="10">
        <v>90160</v>
      </c>
      <c r="J191" s="10">
        <v>920</v>
      </c>
      <c r="K191" s="10">
        <v>0</v>
      </c>
      <c r="L191" s="10">
        <f t="shared" si="0"/>
        <v>89240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spans="1:29" ht="13.8" thickBot="1">
      <c r="A192" s="8" t="s">
        <v>261</v>
      </c>
      <c r="B192" s="8">
        <v>33717029009</v>
      </c>
      <c r="C192" s="8" t="s">
        <v>262</v>
      </c>
      <c r="D192" s="9">
        <v>46118</v>
      </c>
      <c r="E192" s="17">
        <v>46082</v>
      </c>
      <c r="F192" s="8" t="s">
        <v>405</v>
      </c>
      <c r="G192" s="8" t="s">
        <v>406</v>
      </c>
      <c r="H192" s="8">
        <v>60</v>
      </c>
      <c r="I192" s="10">
        <v>56000</v>
      </c>
      <c r="J192" s="10">
        <v>28000</v>
      </c>
      <c r="K192" s="10">
        <v>0</v>
      </c>
      <c r="L192" s="10">
        <f t="shared" si="0"/>
        <v>28000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3.8" thickBot="1">
      <c r="A193" s="8" t="s">
        <v>261</v>
      </c>
      <c r="B193" s="8">
        <v>33717029009</v>
      </c>
      <c r="C193" s="8" t="s">
        <v>263</v>
      </c>
      <c r="D193" s="9">
        <v>46118</v>
      </c>
      <c r="E193" s="17">
        <v>46082</v>
      </c>
      <c r="F193" s="8" t="s">
        <v>405</v>
      </c>
      <c r="G193" s="8" t="s">
        <v>412</v>
      </c>
      <c r="H193" s="8">
        <v>60</v>
      </c>
      <c r="I193" s="10">
        <v>66000</v>
      </c>
      <c r="J193" s="10">
        <v>8425</v>
      </c>
      <c r="K193" s="10">
        <v>0</v>
      </c>
      <c r="L193" s="10">
        <f t="shared" si="0"/>
        <v>57575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3.8" thickBot="1">
      <c r="A194" s="8" t="s">
        <v>264</v>
      </c>
      <c r="B194" s="8">
        <v>20282716101</v>
      </c>
      <c r="C194" s="8" t="s">
        <v>265</v>
      </c>
      <c r="D194" s="9">
        <v>46113</v>
      </c>
      <c r="E194" s="17">
        <v>46082</v>
      </c>
      <c r="F194" s="8" t="s">
        <v>405</v>
      </c>
      <c r="G194" s="8" t="s">
        <v>406</v>
      </c>
      <c r="H194" s="8">
        <v>45</v>
      </c>
      <c r="I194" s="10">
        <v>100000</v>
      </c>
      <c r="J194" s="10">
        <v>0</v>
      </c>
      <c r="K194" s="10">
        <v>0</v>
      </c>
      <c r="L194" s="10">
        <f t="shared" si="0"/>
        <v>100000</v>
      </c>
    </row>
    <row r="195" spans="1:29" ht="13.8" thickBot="1">
      <c r="A195" s="8" t="s">
        <v>264</v>
      </c>
      <c r="B195" s="8">
        <v>20282716101</v>
      </c>
      <c r="C195" s="8" t="s">
        <v>266</v>
      </c>
      <c r="D195" s="9">
        <v>46113</v>
      </c>
      <c r="E195" s="17">
        <v>46082</v>
      </c>
      <c r="F195" s="8" t="s">
        <v>405</v>
      </c>
      <c r="G195" s="8" t="s">
        <v>406</v>
      </c>
      <c r="H195" s="8">
        <v>45</v>
      </c>
      <c r="I195" s="10">
        <v>290160</v>
      </c>
      <c r="J195" s="10">
        <v>0</v>
      </c>
      <c r="K195" s="10">
        <v>0</v>
      </c>
      <c r="L195" s="10">
        <f t="shared" si="0"/>
        <v>290160</v>
      </c>
    </row>
    <row r="196" spans="1:29" ht="13.8" thickBot="1">
      <c r="A196" s="8" t="s">
        <v>267</v>
      </c>
      <c r="B196" s="8">
        <v>20101728820</v>
      </c>
      <c r="C196" s="8" t="s">
        <v>268</v>
      </c>
      <c r="D196" s="9">
        <v>46121</v>
      </c>
      <c r="E196" s="17">
        <v>46082</v>
      </c>
      <c r="F196" s="8" t="s">
        <v>405</v>
      </c>
      <c r="G196" s="8" t="s">
        <v>406</v>
      </c>
      <c r="H196" s="8">
        <v>45</v>
      </c>
      <c r="I196" s="10">
        <v>825000</v>
      </c>
      <c r="J196" s="10">
        <v>0</v>
      </c>
      <c r="K196" s="10">
        <v>0</v>
      </c>
      <c r="L196" s="10">
        <f t="shared" si="0"/>
        <v>825000</v>
      </c>
    </row>
    <row r="197" spans="1:29" ht="13.8" thickBot="1">
      <c r="A197" s="8" t="s">
        <v>267</v>
      </c>
      <c r="B197" s="8">
        <v>20101728820</v>
      </c>
      <c r="C197" s="8" t="s">
        <v>269</v>
      </c>
      <c r="D197" s="9">
        <v>46121</v>
      </c>
      <c r="E197" s="17">
        <v>46082</v>
      </c>
      <c r="F197" s="8" t="s">
        <v>405</v>
      </c>
      <c r="G197" s="8" t="s">
        <v>412</v>
      </c>
      <c r="H197" s="8">
        <v>45</v>
      </c>
      <c r="I197" s="10">
        <v>255000</v>
      </c>
      <c r="J197" s="10">
        <v>0</v>
      </c>
      <c r="K197" s="10">
        <v>0</v>
      </c>
      <c r="L197" s="10">
        <f t="shared" si="0"/>
        <v>255000</v>
      </c>
    </row>
    <row r="198" spans="1:29" ht="13.8" thickBot="1">
      <c r="A198" s="8" t="s">
        <v>270</v>
      </c>
      <c r="B198" s="8">
        <v>23202343104</v>
      </c>
      <c r="C198" s="8" t="s">
        <v>271</v>
      </c>
      <c r="D198" s="9">
        <v>46126</v>
      </c>
      <c r="E198" s="17">
        <v>46082</v>
      </c>
      <c r="F198" s="8" t="s">
        <v>414</v>
      </c>
      <c r="G198" s="8" t="s">
        <v>406</v>
      </c>
      <c r="H198" s="8">
        <v>45</v>
      </c>
      <c r="I198" s="10">
        <v>4564.24</v>
      </c>
      <c r="J198" s="10">
        <v>0</v>
      </c>
      <c r="K198" s="10">
        <v>0</v>
      </c>
      <c r="L198" s="10">
        <f t="shared" si="0"/>
        <v>4564.24</v>
      </c>
    </row>
    <row r="199" spans="1:29" ht="13.8" thickBot="1">
      <c r="A199" s="8" t="s">
        <v>270</v>
      </c>
      <c r="B199" s="8">
        <v>23202343104</v>
      </c>
      <c r="C199" s="8" t="s">
        <v>272</v>
      </c>
      <c r="D199" s="9">
        <v>46126</v>
      </c>
      <c r="E199" s="17">
        <v>46082</v>
      </c>
      <c r="F199" s="8" t="s">
        <v>414</v>
      </c>
      <c r="G199" s="8" t="s">
        <v>406</v>
      </c>
      <c r="H199" s="8">
        <v>45</v>
      </c>
      <c r="I199" s="10">
        <v>7987.42</v>
      </c>
      <c r="J199" s="10">
        <v>0</v>
      </c>
      <c r="K199" s="10">
        <v>0</v>
      </c>
      <c r="L199" s="10">
        <f t="shared" si="0"/>
        <v>7987.42</v>
      </c>
    </row>
    <row r="200" spans="1:29" ht="13.8" thickBot="1">
      <c r="A200" s="8" t="s">
        <v>273</v>
      </c>
      <c r="B200" s="8">
        <v>20170008007</v>
      </c>
      <c r="C200" s="8" t="s">
        <v>274</v>
      </c>
      <c r="D200" s="9">
        <v>46125</v>
      </c>
      <c r="E200" s="17">
        <v>46082</v>
      </c>
      <c r="F200" s="8" t="s">
        <v>405</v>
      </c>
      <c r="G200" s="8" t="s">
        <v>406</v>
      </c>
      <c r="H200" s="8">
        <v>45</v>
      </c>
      <c r="I200" s="10">
        <v>1793000</v>
      </c>
      <c r="J200" s="10">
        <v>0</v>
      </c>
      <c r="K200" s="10">
        <v>0</v>
      </c>
      <c r="L200" s="10">
        <f t="shared" si="0"/>
        <v>1793000</v>
      </c>
    </row>
    <row r="201" spans="1:29" ht="13.8" thickBot="1">
      <c r="A201" s="8" t="s">
        <v>275</v>
      </c>
      <c r="B201" s="8">
        <v>27220344814</v>
      </c>
      <c r="C201" s="8" t="s">
        <v>276</v>
      </c>
      <c r="D201" s="9">
        <v>46119</v>
      </c>
      <c r="E201" s="17">
        <v>46082</v>
      </c>
      <c r="F201" s="8" t="s">
        <v>405</v>
      </c>
      <c r="G201" s="8" t="s">
        <v>406</v>
      </c>
      <c r="H201" s="8">
        <v>45</v>
      </c>
      <c r="I201" s="10">
        <v>783815.19</v>
      </c>
      <c r="J201" s="10">
        <v>0</v>
      </c>
      <c r="K201" s="10">
        <v>0</v>
      </c>
      <c r="L201" s="10">
        <f t="shared" si="0"/>
        <v>783815.19</v>
      </c>
    </row>
    <row r="202" spans="1:29" ht="13.8" thickBot="1">
      <c r="A202" s="8" t="s">
        <v>275</v>
      </c>
      <c r="B202" s="8">
        <v>27220344814</v>
      </c>
      <c r="C202" s="8" t="s">
        <v>277</v>
      </c>
      <c r="D202" s="9">
        <v>46124</v>
      </c>
      <c r="E202" s="17">
        <v>46082</v>
      </c>
      <c r="F202" s="8" t="s">
        <v>405</v>
      </c>
      <c r="G202" s="8" t="s">
        <v>406</v>
      </c>
      <c r="H202" s="8">
        <v>45</v>
      </c>
      <c r="I202" s="10">
        <v>173184.81</v>
      </c>
      <c r="J202" s="10">
        <v>0</v>
      </c>
      <c r="K202" s="10">
        <v>0</v>
      </c>
      <c r="L202" s="10">
        <f t="shared" si="0"/>
        <v>173184.81</v>
      </c>
    </row>
    <row r="203" spans="1:29" ht="13.8" thickBot="1">
      <c r="A203" s="8" t="s">
        <v>278</v>
      </c>
      <c r="B203" s="8">
        <v>27307653406</v>
      </c>
      <c r="C203" s="8" t="s">
        <v>279</v>
      </c>
      <c r="D203" s="9">
        <v>46122</v>
      </c>
      <c r="E203" s="17">
        <v>46082</v>
      </c>
      <c r="F203" s="8" t="s">
        <v>405</v>
      </c>
      <c r="G203" s="8" t="s">
        <v>406</v>
      </c>
      <c r="H203" s="8">
        <v>45</v>
      </c>
      <c r="I203" s="10">
        <v>237500</v>
      </c>
      <c r="J203" s="10">
        <v>0</v>
      </c>
      <c r="K203" s="10">
        <v>0</v>
      </c>
      <c r="L203" s="10">
        <f t="shared" si="0"/>
        <v>237500</v>
      </c>
    </row>
    <row r="204" spans="1:29" ht="13.8" thickBot="1">
      <c r="A204" s="8" t="s">
        <v>278</v>
      </c>
      <c r="B204" s="8">
        <v>27307653406</v>
      </c>
      <c r="C204" s="8" t="s">
        <v>280</v>
      </c>
      <c r="D204" s="9">
        <v>46122</v>
      </c>
      <c r="E204" s="17">
        <v>46082</v>
      </c>
      <c r="F204" s="8" t="s">
        <v>405</v>
      </c>
      <c r="G204" s="8" t="s">
        <v>410</v>
      </c>
      <c r="H204" s="8">
        <v>45</v>
      </c>
      <c r="I204" s="10">
        <v>12500</v>
      </c>
      <c r="J204" s="10">
        <v>0</v>
      </c>
      <c r="K204" s="10">
        <v>0</v>
      </c>
      <c r="L204" s="10">
        <f t="shared" si="0"/>
        <v>12500</v>
      </c>
    </row>
    <row r="205" spans="1:29" ht="13.8" thickBot="1">
      <c r="A205" s="8" t="s">
        <v>281</v>
      </c>
      <c r="B205" s="8">
        <v>27361283843</v>
      </c>
      <c r="C205" s="8" t="s">
        <v>282</v>
      </c>
      <c r="D205" s="9">
        <v>46120</v>
      </c>
      <c r="E205" s="17">
        <v>46082</v>
      </c>
      <c r="F205" s="8" t="s">
        <v>405</v>
      </c>
      <c r="G205" s="8" t="s">
        <v>406</v>
      </c>
      <c r="H205" s="8">
        <v>45</v>
      </c>
      <c r="I205" s="10">
        <v>658149.19999999995</v>
      </c>
      <c r="J205" s="10">
        <v>0</v>
      </c>
      <c r="K205" s="10">
        <v>0</v>
      </c>
      <c r="L205" s="10">
        <f t="shared" si="0"/>
        <v>658149.19999999995</v>
      </c>
    </row>
    <row r="206" spans="1:29" ht="13.8" thickBot="1">
      <c r="A206" s="8" t="s">
        <v>283</v>
      </c>
      <c r="B206" s="8">
        <v>30712443681</v>
      </c>
      <c r="C206" s="8" t="s">
        <v>284</v>
      </c>
      <c r="D206" s="9">
        <v>46148</v>
      </c>
      <c r="E206" s="17">
        <v>46113</v>
      </c>
      <c r="F206" s="8" t="s">
        <v>419</v>
      </c>
      <c r="G206" s="8" t="s">
        <v>406</v>
      </c>
      <c r="H206" s="8">
        <v>30</v>
      </c>
      <c r="I206" s="10">
        <v>1200000</v>
      </c>
      <c r="J206" s="10">
        <v>0</v>
      </c>
      <c r="K206" s="10">
        <v>0</v>
      </c>
      <c r="L206" s="10">
        <f t="shared" si="0"/>
        <v>1200000</v>
      </c>
    </row>
    <row r="207" spans="1:29" ht="13.8" thickBot="1">
      <c r="A207" s="8" t="s">
        <v>283</v>
      </c>
      <c r="B207" s="8">
        <v>30712443681</v>
      </c>
      <c r="C207" s="8" t="s">
        <v>285</v>
      </c>
      <c r="D207" s="9">
        <v>46146</v>
      </c>
      <c r="E207" s="17">
        <v>46113</v>
      </c>
      <c r="F207" s="8" t="s">
        <v>420</v>
      </c>
      <c r="G207" s="8" t="s">
        <v>406</v>
      </c>
      <c r="H207" s="8">
        <v>30</v>
      </c>
      <c r="I207" s="10">
        <v>360000</v>
      </c>
      <c r="J207" s="10">
        <v>0</v>
      </c>
      <c r="K207" s="10">
        <v>0</v>
      </c>
      <c r="L207" s="10">
        <f t="shared" si="0"/>
        <v>360000</v>
      </c>
    </row>
    <row r="208" spans="1:29" ht="13.8" thickBot="1">
      <c r="A208" s="8" t="s">
        <v>286</v>
      </c>
      <c r="B208" s="8">
        <v>30714245399</v>
      </c>
      <c r="C208" s="13" t="s">
        <v>287</v>
      </c>
      <c r="D208" s="9">
        <v>46148</v>
      </c>
      <c r="E208" s="17">
        <v>46113</v>
      </c>
      <c r="F208" s="8" t="s">
        <v>421</v>
      </c>
      <c r="G208" s="8" t="s">
        <v>406</v>
      </c>
      <c r="H208" s="8">
        <v>30</v>
      </c>
      <c r="I208" s="10">
        <v>78000</v>
      </c>
      <c r="J208" s="10">
        <v>0</v>
      </c>
      <c r="K208" s="10">
        <v>0</v>
      </c>
      <c r="L208" s="10">
        <f t="shared" si="0"/>
        <v>78000</v>
      </c>
    </row>
    <row r="209" spans="1:29" ht="13.8" thickBot="1">
      <c r="A209" s="8" t="s">
        <v>288</v>
      </c>
      <c r="B209" s="8">
        <v>30677558888</v>
      </c>
      <c r="C209" s="8" t="s">
        <v>289</v>
      </c>
      <c r="D209" s="9">
        <v>46120</v>
      </c>
      <c r="E209" s="17">
        <v>46082</v>
      </c>
      <c r="F209" s="8" t="s">
        <v>405</v>
      </c>
      <c r="G209" s="8" t="s">
        <v>406</v>
      </c>
      <c r="H209" s="8">
        <v>60</v>
      </c>
      <c r="I209" s="10">
        <v>167000</v>
      </c>
      <c r="J209" s="10">
        <v>16700</v>
      </c>
      <c r="K209" s="10">
        <v>0</v>
      </c>
      <c r="L209" s="10">
        <f t="shared" si="0"/>
        <v>150300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3.8" thickBot="1">
      <c r="A210" s="8" t="s">
        <v>290</v>
      </c>
      <c r="B210" s="8">
        <v>20393021005</v>
      </c>
      <c r="C210" s="8" t="s">
        <v>291</v>
      </c>
      <c r="D210" s="9">
        <v>46096</v>
      </c>
      <c r="E210" s="17">
        <v>46023</v>
      </c>
      <c r="F210" s="8" t="s">
        <v>405</v>
      </c>
      <c r="G210" s="8" t="s">
        <v>406</v>
      </c>
      <c r="H210" s="8">
        <v>45</v>
      </c>
      <c r="I210" s="10">
        <v>27000</v>
      </c>
      <c r="J210" s="10">
        <v>0</v>
      </c>
      <c r="K210" s="10">
        <v>0</v>
      </c>
      <c r="L210" s="10">
        <f t="shared" si="0"/>
        <v>27000</v>
      </c>
    </row>
    <row r="211" spans="1:29" ht="13.8" thickBot="1">
      <c r="A211" s="8" t="s">
        <v>290</v>
      </c>
      <c r="B211" s="8">
        <v>20393021005</v>
      </c>
      <c r="C211" s="8" t="s">
        <v>292</v>
      </c>
      <c r="D211" s="9">
        <v>46110</v>
      </c>
      <c r="E211" s="17">
        <v>46082</v>
      </c>
      <c r="F211" s="8" t="s">
        <v>405</v>
      </c>
      <c r="G211" s="8" t="s">
        <v>406</v>
      </c>
      <c r="H211" s="8">
        <v>45</v>
      </c>
      <c r="I211" s="10">
        <v>200326.14</v>
      </c>
      <c r="J211" s="10">
        <v>0</v>
      </c>
      <c r="K211" s="10">
        <v>0</v>
      </c>
      <c r="L211" s="10">
        <f t="shared" si="0"/>
        <v>200326.14</v>
      </c>
    </row>
    <row r="212" spans="1:29" ht="13.8" thickBot="1">
      <c r="A212" s="8" t="s">
        <v>293</v>
      </c>
      <c r="B212" s="8">
        <v>20227934868</v>
      </c>
      <c r="C212" s="8" t="s">
        <v>294</v>
      </c>
      <c r="D212" s="9">
        <v>46121</v>
      </c>
      <c r="E212" s="17">
        <v>46082</v>
      </c>
      <c r="F212" s="8" t="s">
        <v>405</v>
      </c>
      <c r="G212" s="8" t="s">
        <v>406</v>
      </c>
      <c r="H212" s="8">
        <v>45</v>
      </c>
      <c r="I212" s="10">
        <v>451000</v>
      </c>
      <c r="J212" s="10">
        <v>0</v>
      </c>
      <c r="K212" s="10">
        <v>0</v>
      </c>
      <c r="L212" s="10">
        <f t="shared" si="0"/>
        <v>451000</v>
      </c>
    </row>
    <row r="213" spans="1:29" ht="13.8" thickBot="1">
      <c r="A213" s="8" t="s">
        <v>295</v>
      </c>
      <c r="B213" s="8">
        <v>30580553040</v>
      </c>
      <c r="C213" s="8" t="s">
        <v>296</v>
      </c>
      <c r="D213" s="9">
        <v>46119</v>
      </c>
      <c r="E213" s="17">
        <v>46082</v>
      </c>
      <c r="F213" s="8" t="s">
        <v>405</v>
      </c>
      <c r="G213" s="8" t="s">
        <v>412</v>
      </c>
      <c r="H213" s="8">
        <v>45</v>
      </c>
      <c r="I213" s="10">
        <v>118356.14</v>
      </c>
      <c r="J213" s="10">
        <v>24000</v>
      </c>
      <c r="K213" s="10">
        <v>0</v>
      </c>
      <c r="L213" s="10">
        <f t="shared" si="0"/>
        <v>94356.14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3.8" thickBot="1">
      <c r="A214" s="8" t="s">
        <v>295</v>
      </c>
      <c r="B214" s="8">
        <v>30580553040</v>
      </c>
      <c r="C214" s="8" t="s">
        <v>297</v>
      </c>
      <c r="D214" s="9">
        <v>46119</v>
      </c>
      <c r="E214" s="17">
        <v>46082</v>
      </c>
      <c r="F214" s="8" t="s">
        <v>405</v>
      </c>
      <c r="G214" s="8" t="s">
        <v>408</v>
      </c>
      <c r="H214" s="8">
        <v>45</v>
      </c>
      <c r="I214" s="10">
        <v>32761.4</v>
      </c>
      <c r="J214" s="10">
        <v>6850</v>
      </c>
      <c r="K214" s="10">
        <v>0</v>
      </c>
      <c r="L214" s="10">
        <f t="shared" si="0"/>
        <v>25911.4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3.8" thickBot="1">
      <c r="A215" s="8" t="s">
        <v>295</v>
      </c>
      <c r="B215" s="8">
        <v>30580553040</v>
      </c>
      <c r="C215" s="8" t="s">
        <v>298</v>
      </c>
      <c r="D215" s="9">
        <v>46119</v>
      </c>
      <c r="E215" s="17">
        <v>46082</v>
      </c>
      <c r="F215" s="8" t="s">
        <v>413</v>
      </c>
      <c r="G215" s="8" t="s">
        <v>406</v>
      </c>
      <c r="H215" s="8">
        <v>60</v>
      </c>
      <c r="I215" s="10">
        <v>1817197.09</v>
      </c>
      <c r="J215" s="10">
        <v>260954.03</v>
      </c>
      <c r="K215" s="10">
        <v>0</v>
      </c>
      <c r="L215" s="10">
        <f t="shared" si="0"/>
        <v>1556243.06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3.8" thickBot="1">
      <c r="A216" s="8" t="s">
        <v>295</v>
      </c>
      <c r="B216" s="8">
        <v>30580553040</v>
      </c>
      <c r="C216" s="8" t="s">
        <v>299</v>
      </c>
      <c r="D216" s="9">
        <v>46119</v>
      </c>
      <c r="E216" s="17">
        <v>46082</v>
      </c>
      <c r="F216" s="8" t="s">
        <v>405</v>
      </c>
      <c r="G216" s="8" t="s">
        <v>406</v>
      </c>
      <c r="H216" s="8">
        <v>45</v>
      </c>
      <c r="I216" s="10">
        <v>36032</v>
      </c>
      <c r="J216" s="10">
        <v>0</v>
      </c>
      <c r="K216" s="10">
        <v>0</v>
      </c>
      <c r="L216" s="10">
        <f t="shared" si="0"/>
        <v>36032</v>
      </c>
    </row>
    <row r="217" spans="1:29" ht="13.8" thickBot="1">
      <c r="A217" s="8" t="s">
        <v>300</v>
      </c>
      <c r="B217" s="8">
        <v>30708276878</v>
      </c>
      <c r="C217" s="8" t="s">
        <v>301</v>
      </c>
      <c r="D217" s="9">
        <v>46126</v>
      </c>
      <c r="E217" s="17">
        <v>46082</v>
      </c>
      <c r="F217" s="8" t="s">
        <v>405</v>
      </c>
      <c r="G217" s="8" t="s">
        <v>412</v>
      </c>
      <c r="H217" s="8">
        <v>30</v>
      </c>
      <c r="I217" s="10">
        <v>1329724</v>
      </c>
      <c r="J217" s="10">
        <v>1329724</v>
      </c>
      <c r="K217" s="10">
        <v>0</v>
      </c>
      <c r="L217" s="10">
        <f t="shared" si="0"/>
        <v>0</v>
      </c>
    </row>
    <row r="218" spans="1:29" ht="13.8" thickBot="1">
      <c r="A218" s="8" t="s">
        <v>300</v>
      </c>
      <c r="B218" s="8">
        <v>30708276878</v>
      </c>
      <c r="C218" s="8" t="s">
        <v>302</v>
      </c>
      <c r="D218" s="9">
        <v>46126</v>
      </c>
      <c r="E218" s="17">
        <v>46082</v>
      </c>
      <c r="F218" s="8" t="s">
        <v>405</v>
      </c>
      <c r="G218" s="8" t="s">
        <v>410</v>
      </c>
      <c r="H218" s="8">
        <v>30</v>
      </c>
      <c r="I218" s="10">
        <v>236588</v>
      </c>
      <c r="J218" s="10">
        <v>236588</v>
      </c>
      <c r="K218" s="10">
        <v>0</v>
      </c>
      <c r="L218" s="10">
        <f t="shared" si="0"/>
        <v>0</v>
      </c>
    </row>
    <row r="219" spans="1:29" ht="13.8" thickBot="1">
      <c r="A219" s="8" t="s">
        <v>303</v>
      </c>
      <c r="B219" s="8">
        <v>27230899199</v>
      </c>
      <c r="C219" s="8" t="s">
        <v>304</v>
      </c>
      <c r="D219" s="9">
        <v>46119</v>
      </c>
      <c r="E219" s="17">
        <v>46082</v>
      </c>
      <c r="F219" s="8" t="s">
        <v>405</v>
      </c>
      <c r="G219" s="8" t="s">
        <v>406</v>
      </c>
      <c r="H219" s="8">
        <v>45</v>
      </c>
      <c r="I219" s="10">
        <v>285950</v>
      </c>
      <c r="J219" s="10">
        <v>0</v>
      </c>
      <c r="K219" s="10">
        <v>0</v>
      </c>
      <c r="L219" s="10">
        <f t="shared" si="0"/>
        <v>285950</v>
      </c>
    </row>
    <row r="220" spans="1:29" ht="13.8" thickBot="1">
      <c r="A220" s="8" t="s">
        <v>305</v>
      </c>
      <c r="B220" s="8">
        <v>30694300487</v>
      </c>
      <c r="C220" s="8" t="s">
        <v>306</v>
      </c>
      <c r="D220" s="9">
        <v>46112</v>
      </c>
      <c r="E220" s="17">
        <v>46082</v>
      </c>
      <c r="F220" s="8" t="s">
        <v>405</v>
      </c>
      <c r="G220" s="8" t="s">
        <v>406</v>
      </c>
      <c r="H220" s="8">
        <v>60</v>
      </c>
      <c r="I220" s="10">
        <v>1396430.44</v>
      </c>
      <c r="J220" s="10">
        <v>102373.8</v>
      </c>
      <c r="K220" s="10">
        <v>0</v>
      </c>
      <c r="L220" s="10">
        <f t="shared" si="0"/>
        <v>1294056.6399999999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3.8" thickBot="1">
      <c r="A221" s="8" t="s">
        <v>305</v>
      </c>
      <c r="B221" s="8">
        <v>30694300487</v>
      </c>
      <c r="C221" s="8" t="s">
        <v>307</v>
      </c>
      <c r="D221" s="9">
        <v>46112</v>
      </c>
      <c r="E221" s="17">
        <v>46082</v>
      </c>
      <c r="F221" s="8" t="s">
        <v>405</v>
      </c>
      <c r="G221" s="8" t="s">
        <v>412</v>
      </c>
      <c r="H221" s="8">
        <v>60</v>
      </c>
      <c r="I221" s="10">
        <v>85685.78</v>
      </c>
      <c r="J221" s="10">
        <v>0</v>
      </c>
      <c r="K221" s="10">
        <v>0</v>
      </c>
      <c r="L221" s="10">
        <f t="shared" si="0"/>
        <v>85685.78</v>
      </c>
    </row>
    <row r="222" spans="1:29" ht="13.8" thickBot="1">
      <c r="A222" s="8" t="s">
        <v>308</v>
      </c>
      <c r="B222" s="8">
        <v>30708497629</v>
      </c>
      <c r="C222" s="8" t="s">
        <v>309</v>
      </c>
      <c r="D222" s="9">
        <v>46113</v>
      </c>
      <c r="E222" s="17">
        <v>46082</v>
      </c>
      <c r="F222" s="8" t="s">
        <v>405</v>
      </c>
      <c r="G222" s="8" t="s">
        <v>408</v>
      </c>
      <c r="H222" s="8">
        <v>60</v>
      </c>
      <c r="I222" s="10">
        <v>30211.200000000001</v>
      </c>
      <c r="J222" s="10">
        <v>0</v>
      </c>
      <c r="K222" s="10">
        <v>0</v>
      </c>
      <c r="L222" s="10">
        <f t="shared" si="0"/>
        <v>30211.200000000001</v>
      </c>
    </row>
    <row r="223" spans="1:29" ht="13.8" thickBot="1">
      <c r="A223" s="8" t="s">
        <v>308</v>
      </c>
      <c r="B223" s="8">
        <v>30708497629</v>
      </c>
      <c r="C223" s="8" t="s">
        <v>310</v>
      </c>
      <c r="D223" s="9">
        <v>46113</v>
      </c>
      <c r="E223" s="17">
        <v>46082</v>
      </c>
      <c r="F223" s="8" t="s">
        <v>405</v>
      </c>
      <c r="G223" s="8" t="s">
        <v>412</v>
      </c>
      <c r="H223" s="8">
        <v>60</v>
      </c>
      <c r="I223" s="10">
        <v>8802.07</v>
      </c>
      <c r="J223" s="10">
        <v>0</v>
      </c>
      <c r="K223" s="10">
        <v>0</v>
      </c>
      <c r="L223" s="10">
        <f t="shared" si="0"/>
        <v>8802.07</v>
      </c>
    </row>
    <row r="224" spans="1:29" ht="13.8" thickBot="1">
      <c r="A224" s="8" t="s">
        <v>311</v>
      </c>
      <c r="B224" s="8">
        <v>20161589862</v>
      </c>
      <c r="C224" s="8" t="s">
        <v>312</v>
      </c>
      <c r="D224" s="9">
        <v>46121</v>
      </c>
      <c r="E224" s="17">
        <v>46082</v>
      </c>
      <c r="F224" s="8" t="s">
        <v>405</v>
      </c>
      <c r="G224" s="8" t="s">
        <v>406</v>
      </c>
      <c r="H224" s="8">
        <v>45</v>
      </c>
      <c r="I224" s="10">
        <v>915815.32</v>
      </c>
      <c r="J224" s="10">
        <v>0</v>
      </c>
      <c r="K224" s="10">
        <v>0</v>
      </c>
      <c r="L224" s="10">
        <f t="shared" si="0"/>
        <v>915815.32</v>
      </c>
    </row>
    <row r="225" spans="1:29" ht="13.8" thickBot="1">
      <c r="A225" s="8" t="s">
        <v>313</v>
      </c>
      <c r="B225" s="8">
        <v>30642081183</v>
      </c>
      <c r="C225" s="8" t="s">
        <v>314</v>
      </c>
      <c r="D225" s="9">
        <v>46119</v>
      </c>
      <c r="E225" s="17">
        <v>46082</v>
      </c>
      <c r="F225" s="8" t="s">
        <v>405</v>
      </c>
      <c r="G225" s="8" t="s">
        <v>406</v>
      </c>
      <c r="H225" s="8">
        <v>45</v>
      </c>
      <c r="I225" s="10">
        <v>657719.24</v>
      </c>
      <c r="J225" s="10">
        <v>2501.46</v>
      </c>
      <c r="K225" s="10">
        <v>0</v>
      </c>
      <c r="L225" s="10">
        <f t="shared" si="0"/>
        <v>655217.78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3.8" thickBot="1">
      <c r="A226" s="8" t="s">
        <v>313</v>
      </c>
      <c r="B226" s="8">
        <v>30642081183</v>
      </c>
      <c r="C226" s="8" t="s">
        <v>315</v>
      </c>
      <c r="D226" s="9">
        <v>46119</v>
      </c>
      <c r="E226" s="17">
        <v>46082</v>
      </c>
      <c r="F226" s="8" t="s">
        <v>405</v>
      </c>
      <c r="G226" s="8" t="s">
        <v>412</v>
      </c>
      <c r="H226" s="8">
        <v>45</v>
      </c>
      <c r="I226" s="10">
        <v>25179.86</v>
      </c>
      <c r="J226" s="10">
        <v>544.24</v>
      </c>
      <c r="K226" s="10">
        <v>0</v>
      </c>
      <c r="L226" s="10">
        <f t="shared" si="0"/>
        <v>24635.62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3.8" thickBot="1">
      <c r="A227" s="8" t="s">
        <v>313</v>
      </c>
      <c r="B227" s="8">
        <v>30642081183</v>
      </c>
      <c r="C227" s="8" t="s">
        <v>316</v>
      </c>
      <c r="D227" s="9">
        <v>46119</v>
      </c>
      <c r="E227" s="17">
        <v>46082</v>
      </c>
      <c r="F227" s="8" t="s">
        <v>405</v>
      </c>
      <c r="G227" s="8" t="s">
        <v>408</v>
      </c>
      <c r="H227" s="8">
        <v>45</v>
      </c>
      <c r="I227" s="10">
        <v>225677.66</v>
      </c>
      <c r="J227" s="10">
        <v>4502.97</v>
      </c>
      <c r="K227" s="10">
        <v>0</v>
      </c>
      <c r="L227" s="10">
        <f t="shared" si="0"/>
        <v>221174.69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3.8" thickBot="1">
      <c r="A228" s="8" t="s">
        <v>317</v>
      </c>
      <c r="B228" s="8">
        <v>27179300988</v>
      </c>
      <c r="C228" s="8" t="s">
        <v>318</v>
      </c>
      <c r="D228" s="9">
        <v>46121</v>
      </c>
      <c r="E228" s="17">
        <v>46082</v>
      </c>
      <c r="F228" s="8" t="s">
        <v>405</v>
      </c>
      <c r="G228" s="8" t="s">
        <v>406</v>
      </c>
      <c r="H228" s="8">
        <v>45</v>
      </c>
      <c r="I228" s="10">
        <v>373073.6</v>
      </c>
      <c r="J228" s="10">
        <v>0</v>
      </c>
      <c r="K228" s="10">
        <v>0</v>
      </c>
      <c r="L228" s="10">
        <f t="shared" si="0"/>
        <v>373073.6</v>
      </c>
    </row>
    <row r="229" spans="1:29" ht="13.8" thickBot="1">
      <c r="A229" s="8" t="s">
        <v>317</v>
      </c>
      <c r="B229" s="8">
        <v>27179300988</v>
      </c>
      <c r="C229" s="8" t="s">
        <v>319</v>
      </c>
      <c r="D229" s="9">
        <v>46121</v>
      </c>
      <c r="E229" s="17">
        <v>46082</v>
      </c>
      <c r="F229" s="8" t="s">
        <v>405</v>
      </c>
      <c r="G229" s="8" t="s">
        <v>406</v>
      </c>
      <c r="H229" s="8">
        <v>45</v>
      </c>
      <c r="I229" s="10">
        <v>21939.68</v>
      </c>
      <c r="J229" s="10">
        <v>0</v>
      </c>
      <c r="K229" s="10">
        <v>0</v>
      </c>
      <c r="L229" s="10">
        <f t="shared" si="0"/>
        <v>21939.68</v>
      </c>
    </row>
    <row r="230" spans="1:29" ht="13.8" thickBot="1">
      <c r="A230" s="8" t="s">
        <v>320</v>
      </c>
      <c r="B230" s="8">
        <v>27261075739</v>
      </c>
      <c r="C230" s="8" t="s">
        <v>321</v>
      </c>
      <c r="D230" s="9">
        <v>46120</v>
      </c>
      <c r="E230" s="17">
        <v>46082</v>
      </c>
      <c r="F230" s="8" t="s">
        <v>405</v>
      </c>
      <c r="G230" s="8" t="s">
        <v>406</v>
      </c>
      <c r="H230" s="8">
        <v>45</v>
      </c>
      <c r="I230" s="10">
        <v>320000</v>
      </c>
      <c r="J230" s="10">
        <v>0</v>
      </c>
      <c r="K230" s="10">
        <v>0</v>
      </c>
      <c r="L230" s="10">
        <f t="shared" si="0"/>
        <v>320000</v>
      </c>
    </row>
    <row r="231" spans="1:29" ht="13.8" thickBot="1">
      <c r="A231" s="8" t="s">
        <v>322</v>
      </c>
      <c r="B231" s="8">
        <v>20264366896</v>
      </c>
      <c r="C231" s="8" t="s">
        <v>323</v>
      </c>
      <c r="D231" s="9">
        <v>46116</v>
      </c>
      <c r="E231" s="17">
        <v>46082</v>
      </c>
      <c r="F231" s="8" t="s">
        <v>405</v>
      </c>
      <c r="G231" s="8" t="s">
        <v>406</v>
      </c>
      <c r="H231" s="8">
        <v>45</v>
      </c>
      <c r="I231" s="10">
        <v>356135</v>
      </c>
      <c r="J231" s="10">
        <v>0</v>
      </c>
      <c r="K231" s="10">
        <v>0</v>
      </c>
      <c r="L231" s="10">
        <f t="shared" si="0"/>
        <v>356135</v>
      </c>
    </row>
    <row r="232" spans="1:29" ht="13.8" thickBot="1">
      <c r="A232" s="8" t="s">
        <v>324</v>
      </c>
      <c r="B232" s="8">
        <v>20342435212</v>
      </c>
      <c r="C232" s="8" t="s">
        <v>325</v>
      </c>
      <c r="D232" s="9">
        <v>46126</v>
      </c>
      <c r="E232" s="17">
        <v>46082</v>
      </c>
      <c r="F232" s="8" t="s">
        <v>405</v>
      </c>
      <c r="G232" s="8" t="s">
        <v>406</v>
      </c>
      <c r="H232" s="8">
        <v>30</v>
      </c>
      <c r="I232" s="10">
        <v>1782000</v>
      </c>
      <c r="J232" s="10">
        <v>0</v>
      </c>
      <c r="K232" s="10">
        <v>0</v>
      </c>
      <c r="L232" s="10">
        <f t="shared" si="0"/>
        <v>1782000</v>
      </c>
    </row>
    <row r="233" spans="1:29" ht="13.8" thickBot="1">
      <c r="A233" s="8" t="s">
        <v>326</v>
      </c>
      <c r="B233" s="8">
        <v>30708890223</v>
      </c>
      <c r="C233" s="8" t="s">
        <v>327</v>
      </c>
      <c r="D233" s="9">
        <v>46122</v>
      </c>
      <c r="E233" s="17">
        <v>46082</v>
      </c>
      <c r="F233" s="8" t="s">
        <v>405</v>
      </c>
      <c r="G233" s="8" t="s">
        <v>412</v>
      </c>
      <c r="H233" s="8">
        <v>45</v>
      </c>
      <c r="I233" s="10">
        <v>48498</v>
      </c>
      <c r="J233" s="10">
        <v>0</v>
      </c>
      <c r="K233" s="10">
        <v>0</v>
      </c>
      <c r="L233" s="10">
        <f t="shared" si="0"/>
        <v>48498</v>
      </c>
    </row>
    <row r="234" spans="1:29" ht="13.8" thickBot="1">
      <c r="A234" s="8" t="s">
        <v>328</v>
      </c>
      <c r="B234" s="8">
        <v>30669419658</v>
      </c>
      <c r="C234" s="8" t="s">
        <v>329</v>
      </c>
      <c r="D234" s="9">
        <v>46118</v>
      </c>
      <c r="E234" s="17">
        <v>46082</v>
      </c>
      <c r="F234" s="8" t="s">
        <v>405</v>
      </c>
      <c r="G234" s="8" t="s">
        <v>408</v>
      </c>
      <c r="H234" s="8">
        <v>45</v>
      </c>
      <c r="I234" s="10">
        <v>70041</v>
      </c>
      <c r="J234" s="10">
        <v>12186.3</v>
      </c>
      <c r="K234" s="10">
        <v>0</v>
      </c>
      <c r="L234" s="10">
        <f t="shared" si="0"/>
        <v>57854.7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3.8" thickBot="1">
      <c r="A235" s="8" t="s">
        <v>330</v>
      </c>
      <c r="B235" s="8">
        <v>30689767946</v>
      </c>
      <c r="C235" s="8" t="s">
        <v>331</v>
      </c>
      <c r="D235" s="9">
        <v>46112</v>
      </c>
      <c r="E235" s="17">
        <v>46082</v>
      </c>
      <c r="F235" s="8" t="s">
        <v>413</v>
      </c>
      <c r="G235" s="8" t="s">
        <v>408</v>
      </c>
      <c r="H235" s="8">
        <v>45</v>
      </c>
      <c r="I235" s="10">
        <v>1396751.62</v>
      </c>
      <c r="J235" s="10">
        <v>0</v>
      </c>
      <c r="K235" s="10">
        <v>83025.64</v>
      </c>
      <c r="L235" s="10">
        <f t="shared" si="0"/>
        <v>1313725.9800000002</v>
      </c>
    </row>
    <row r="236" spans="1:29" ht="13.8" thickBot="1">
      <c r="A236" s="8" t="s">
        <v>330</v>
      </c>
      <c r="B236" s="8">
        <v>30689767946</v>
      </c>
      <c r="C236" s="8" t="s">
        <v>332</v>
      </c>
      <c r="D236" s="9">
        <v>46112</v>
      </c>
      <c r="E236" s="17">
        <v>46082</v>
      </c>
      <c r="F236" s="8" t="s">
        <v>405</v>
      </c>
      <c r="G236" s="8" t="s">
        <v>406</v>
      </c>
      <c r="H236" s="8">
        <v>45</v>
      </c>
      <c r="I236" s="10">
        <v>963895.52</v>
      </c>
      <c r="J236" s="10">
        <v>0</v>
      </c>
      <c r="K236" s="10">
        <v>0</v>
      </c>
      <c r="L236" s="10">
        <f t="shared" si="0"/>
        <v>963895.52</v>
      </c>
    </row>
    <row r="237" spans="1:29" ht="13.8" thickBot="1">
      <c r="A237" s="8" t="s">
        <v>330</v>
      </c>
      <c r="B237" s="8">
        <v>30689767946</v>
      </c>
      <c r="C237" s="8" t="s">
        <v>333</v>
      </c>
      <c r="D237" s="9">
        <v>46112</v>
      </c>
      <c r="E237" s="17">
        <v>46082</v>
      </c>
      <c r="F237" s="8" t="s">
        <v>405</v>
      </c>
      <c r="G237" s="8" t="s">
        <v>408</v>
      </c>
      <c r="H237" s="8">
        <v>45</v>
      </c>
      <c r="I237" s="10">
        <v>1797276.36</v>
      </c>
      <c r="J237" s="10">
        <v>42241.86</v>
      </c>
      <c r="K237" s="10">
        <v>0</v>
      </c>
      <c r="L237" s="10">
        <f t="shared" si="0"/>
        <v>1755034.5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3.8" thickBot="1">
      <c r="A238" s="8" t="s">
        <v>330</v>
      </c>
      <c r="B238" s="8">
        <v>30689767946</v>
      </c>
      <c r="C238" s="8" t="s">
        <v>334</v>
      </c>
      <c r="D238" s="9">
        <v>46112</v>
      </c>
      <c r="E238" s="17">
        <v>46082</v>
      </c>
      <c r="F238" s="8" t="s">
        <v>405</v>
      </c>
      <c r="G238" s="8" t="s">
        <v>416</v>
      </c>
      <c r="H238" s="8">
        <v>45</v>
      </c>
      <c r="I238" s="10">
        <v>471002.36</v>
      </c>
      <c r="J238" s="10">
        <v>34673.9</v>
      </c>
      <c r="K238" s="10">
        <v>0</v>
      </c>
      <c r="L238" s="10">
        <f t="shared" si="0"/>
        <v>436328.45999999996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3.8" thickBot="1">
      <c r="A239" s="8" t="s">
        <v>335</v>
      </c>
      <c r="B239" s="8">
        <v>30545879138</v>
      </c>
      <c r="C239" s="8" t="s">
        <v>336</v>
      </c>
      <c r="D239" s="9">
        <v>46112</v>
      </c>
      <c r="E239" s="17">
        <v>46082</v>
      </c>
      <c r="F239" s="8" t="s">
        <v>413</v>
      </c>
      <c r="G239" s="8" t="s">
        <v>406</v>
      </c>
      <c r="H239" s="8">
        <v>60</v>
      </c>
      <c r="I239" s="10">
        <v>694413.2</v>
      </c>
      <c r="J239" s="10">
        <v>0</v>
      </c>
      <c r="K239" s="10">
        <v>0</v>
      </c>
      <c r="L239" s="10">
        <f t="shared" si="0"/>
        <v>694413.2</v>
      </c>
    </row>
    <row r="240" spans="1:29" ht="13.8" thickBot="1">
      <c r="A240" s="8" t="s">
        <v>335</v>
      </c>
      <c r="B240" s="8">
        <v>30545879138</v>
      </c>
      <c r="C240" s="8" t="s">
        <v>337</v>
      </c>
      <c r="D240" s="9">
        <v>46119</v>
      </c>
      <c r="E240" s="17">
        <v>46082</v>
      </c>
      <c r="F240" s="8" t="s">
        <v>405</v>
      </c>
      <c r="G240" s="8" t="s">
        <v>416</v>
      </c>
      <c r="H240" s="8">
        <v>60</v>
      </c>
      <c r="I240" s="10">
        <v>421166.19</v>
      </c>
      <c r="J240" s="10">
        <v>0</v>
      </c>
      <c r="K240" s="10">
        <v>0</v>
      </c>
      <c r="L240" s="10">
        <f t="shared" si="0"/>
        <v>421166.19</v>
      </c>
    </row>
    <row r="241" spans="1:29" ht="13.8" thickBot="1">
      <c r="A241" s="8" t="s">
        <v>338</v>
      </c>
      <c r="B241" s="8">
        <v>30562336237</v>
      </c>
      <c r="C241" s="8" t="s">
        <v>339</v>
      </c>
      <c r="D241" s="9">
        <v>46113</v>
      </c>
      <c r="E241" s="17">
        <v>46082</v>
      </c>
      <c r="F241" s="8" t="s">
        <v>405</v>
      </c>
      <c r="G241" s="8" t="s">
        <v>406</v>
      </c>
      <c r="H241" s="8">
        <v>60</v>
      </c>
      <c r="I241" s="10">
        <v>71692.800000000003</v>
      </c>
      <c r="J241" s="10">
        <v>0</v>
      </c>
      <c r="K241" s="10">
        <v>0</v>
      </c>
      <c r="L241" s="10">
        <f t="shared" si="0"/>
        <v>71692.800000000003</v>
      </c>
    </row>
    <row r="242" spans="1:29" ht="13.8" thickBot="1">
      <c r="A242" s="8" t="s">
        <v>338</v>
      </c>
      <c r="B242" s="8">
        <v>30562336237</v>
      </c>
      <c r="C242" s="8" t="s">
        <v>340</v>
      </c>
      <c r="D242" s="9">
        <v>46113</v>
      </c>
      <c r="E242" s="17">
        <v>46082</v>
      </c>
      <c r="F242" s="8" t="s">
        <v>413</v>
      </c>
      <c r="G242" s="8" t="s">
        <v>406</v>
      </c>
      <c r="H242" s="8">
        <v>60</v>
      </c>
      <c r="I242" s="10">
        <v>2415694.2400000002</v>
      </c>
      <c r="J242" s="10">
        <v>0</v>
      </c>
      <c r="K242" s="10">
        <v>347965.01</v>
      </c>
      <c r="L242" s="10">
        <f t="shared" si="0"/>
        <v>2067729.2300000002</v>
      </c>
    </row>
    <row r="243" spans="1:29" ht="13.8" thickBot="1">
      <c r="A243" s="8" t="s">
        <v>341</v>
      </c>
      <c r="B243" s="8">
        <v>20927934281</v>
      </c>
      <c r="C243" s="8" t="s">
        <v>342</v>
      </c>
      <c r="D243" s="9">
        <v>46122</v>
      </c>
      <c r="E243" s="17">
        <v>46082</v>
      </c>
      <c r="F243" s="8" t="s">
        <v>405</v>
      </c>
      <c r="G243" s="8" t="s">
        <v>406</v>
      </c>
      <c r="H243" s="8">
        <v>45</v>
      </c>
      <c r="I243" s="10">
        <v>329075.13</v>
      </c>
      <c r="J243" s="10">
        <v>0</v>
      </c>
      <c r="K243" s="10">
        <v>0</v>
      </c>
      <c r="L243" s="10">
        <f t="shared" si="0"/>
        <v>329075.13</v>
      </c>
    </row>
    <row r="244" spans="1:29" ht="13.8" thickBot="1">
      <c r="A244" s="8" t="s">
        <v>343</v>
      </c>
      <c r="B244" s="8">
        <v>30715227696</v>
      </c>
      <c r="C244" s="8" t="s">
        <v>344</v>
      </c>
      <c r="D244" s="9">
        <v>46121</v>
      </c>
      <c r="E244" s="17">
        <v>46082</v>
      </c>
      <c r="F244" s="8" t="s">
        <v>405</v>
      </c>
      <c r="G244" s="8" t="s">
        <v>406</v>
      </c>
      <c r="H244" s="8">
        <v>60</v>
      </c>
      <c r="I244" s="10">
        <v>159450</v>
      </c>
      <c r="J244" s="10">
        <v>0</v>
      </c>
      <c r="K244" s="10">
        <v>0</v>
      </c>
      <c r="L244" s="10">
        <f t="shared" si="0"/>
        <v>159450</v>
      </c>
    </row>
    <row r="245" spans="1:29" ht="13.8" thickBot="1">
      <c r="A245" s="8" t="s">
        <v>343</v>
      </c>
      <c r="B245" s="8">
        <v>30715227696</v>
      </c>
      <c r="C245" s="8" t="s">
        <v>345</v>
      </c>
      <c r="D245" s="9">
        <v>46121</v>
      </c>
      <c r="E245" s="17">
        <v>46082</v>
      </c>
      <c r="F245" s="8" t="s">
        <v>405</v>
      </c>
      <c r="G245" s="8" t="s">
        <v>408</v>
      </c>
      <c r="H245" s="8">
        <v>60</v>
      </c>
      <c r="I245" s="10">
        <v>80950</v>
      </c>
      <c r="J245" s="10">
        <v>0</v>
      </c>
      <c r="K245" s="10">
        <v>0</v>
      </c>
      <c r="L245" s="10">
        <f t="shared" si="0"/>
        <v>80950</v>
      </c>
    </row>
    <row r="246" spans="1:29" ht="13.8" thickBot="1">
      <c r="A246" s="8" t="s">
        <v>346</v>
      </c>
      <c r="B246" s="8">
        <v>30645189988</v>
      </c>
      <c r="C246" s="8" t="s">
        <v>347</v>
      </c>
      <c r="D246" s="9">
        <v>46118</v>
      </c>
      <c r="E246" s="17">
        <v>46082</v>
      </c>
      <c r="F246" s="8" t="s">
        <v>405</v>
      </c>
      <c r="G246" s="8" t="s">
        <v>406</v>
      </c>
      <c r="H246" s="8">
        <v>60</v>
      </c>
      <c r="I246" s="10">
        <v>2912351.59</v>
      </c>
      <c r="J246" s="10">
        <v>48540</v>
      </c>
      <c r="K246" s="10">
        <v>0</v>
      </c>
      <c r="L246" s="10">
        <f t="shared" si="0"/>
        <v>2863811.59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13.8" thickBot="1">
      <c r="A247" s="8" t="s">
        <v>346</v>
      </c>
      <c r="B247" s="8">
        <v>30645189988</v>
      </c>
      <c r="C247" s="8" t="s">
        <v>348</v>
      </c>
      <c r="D247" s="9">
        <v>46120</v>
      </c>
      <c r="E247" s="17">
        <v>46082</v>
      </c>
      <c r="F247" s="8" t="s">
        <v>413</v>
      </c>
      <c r="G247" s="8" t="s">
        <v>406</v>
      </c>
      <c r="H247" s="8">
        <v>60</v>
      </c>
      <c r="I247" s="10">
        <v>2828795.05</v>
      </c>
      <c r="J247" s="10">
        <v>0</v>
      </c>
      <c r="K247" s="10">
        <v>294474.7</v>
      </c>
      <c r="L247" s="10">
        <f t="shared" si="0"/>
        <v>2534320.3499999996</v>
      </c>
    </row>
    <row r="248" spans="1:29" ht="13.8" thickBot="1">
      <c r="A248" s="8" t="s">
        <v>346</v>
      </c>
      <c r="B248" s="8">
        <v>30645189988</v>
      </c>
      <c r="C248" s="8" t="s">
        <v>349</v>
      </c>
      <c r="D248" s="9">
        <v>46119</v>
      </c>
      <c r="E248" s="17">
        <v>46082</v>
      </c>
      <c r="F248" s="8" t="s">
        <v>405</v>
      </c>
      <c r="G248" s="8" t="s">
        <v>406</v>
      </c>
      <c r="H248" s="8">
        <v>60</v>
      </c>
      <c r="I248" s="10">
        <v>360397.74</v>
      </c>
      <c r="J248" s="10">
        <v>93852</v>
      </c>
      <c r="K248" s="10">
        <v>0</v>
      </c>
      <c r="L248" s="10">
        <f t="shared" si="0"/>
        <v>266545.74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3.8" thickBot="1">
      <c r="A249" s="8" t="s">
        <v>346</v>
      </c>
      <c r="B249" s="8">
        <v>30645189988</v>
      </c>
      <c r="C249" s="8" t="s">
        <v>350</v>
      </c>
      <c r="D249" s="9">
        <v>46121</v>
      </c>
      <c r="E249" s="17">
        <v>46082</v>
      </c>
      <c r="F249" s="8" t="s">
        <v>413</v>
      </c>
      <c r="G249" s="8" t="s">
        <v>406</v>
      </c>
      <c r="H249" s="8">
        <v>60</v>
      </c>
      <c r="I249" s="10">
        <v>811897.88</v>
      </c>
      <c r="J249" s="10">
        <v>0</v>
      </c>
      <c r="K249" s="10">
        <v>141897.88</v>
      </c>
      <c r="L249" s="10">
        <f t="shared" si="0"/>
        <v>670000</v>
      </c>
    </row>
    <row r="250" spans="1:29" ht="13.8" thickBot="1">
      <c r="A250" s="8" t="s">
        <v>346</v>
      </c>
      <c r="B250" s="8">
        <v>30645189988</v>
      </c>
      <c r="C250" s="8" t="s">
        <v>351</v>
      </c>
      <c r="D250" s="9">
        <v>46121</v>
      </c>
      <c r="E250" s="17">
        <v>46082</v>
      </c>
      <c r="F250" s="8" t="s">
        <v>413</v>
      </c>
      <c r="G250" s="8" t="s">
        <v>406</v>
      </c>
      <c r="H250" s="8">
        <v>60</v>
      </c>
      <c r="I250" s="10">
        <v>33402469.57</v>
      </c>
      <c r="J250" s="10">
        <v>162000</v>
      </c>
      <c r="K250" s="10">
        <v>3221071.8</v>
      </c>
      <c r="L250" s="10">
        <f t="shared" si="0"/>
        <v>30019397.77</v>
      </c>
    </row>
    <row r="251" spans="1:29" ht="13.8" thickBot="1">
      <c r="A251" s="8" t="s">
        <v>352</v>
      </c>
      <c r="B251" s="8">
        <v>27344018451</v>
      </c>
      <c r="C251" s="8" t="s">
        <v>353</v>
      </c>
      <c r="D251" s="9">
        <v>46113</v>
      </c>
      <c r="E251" s="17">
        <v>46082</v>
      </c>
      <c r="F251" s="8" t="s">
        <v>405</v>
      </c>
      <c r="G251" s="8" t="s">
        <v>408</v>
      </c>
      <c r="H251" s="8">
        <v>60</v>
      </c>
      <c r="I251" s="10">
        <v>68000</v>
      </c>
      <c r="J251" s="10">
        <v>15400</v>
      </c>
      <c r="K251" s="10">
        <v>0</v>
      </c>
      <c r="L251" s="10">
        <f t="shared" si="0"/>
        <v>52600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3.8" thickBot="1">
      <c r="A252" s="8" t="s">
        <v>352</v>
      </c>
      <c r="B252" s="8">
        <v>27344018451</v>
      </c>
      <c r="C252" s="8" t="s">
        <v>353</v>
      </c>
      <c r="D252" s="9">
        <v>46113</v>
      </c>
      <c r="E252" s="17">
        <v>46082</v>
      </c>
      <c r="F252" s="8" t="s">
        <v>405</v>
      </c>
      <c r="G252" s="8" t="s">
        <v>408</v>
      </c>
      <c r="H252" s="8">
        <v>60</v>
      </c>
      <c r="I252" s="10">
        <v>68000</v>
      </c>
      <c r="J252" s="10">
        <v>15400</v>
      </c>
      <c r="K252" s="10">
        <v>0</v>
      </c>
      <c r="L252" s="10">
        <f t="shared" si="0"/>
        <v>52600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3.8" thickBot="1">
      <c r="A253" s="8" t="s">
        <v>354</v>
      </c>
      <c r="B253" s="8">
        <v>30545894528</v>
      </c>
      <c r="C253" s="8" t="s">
        <v>355</v>
      </c>
      <c r="D253" s="9">
        <v>46120</v>
      </c>
      <c r="E253" s="17">
        <v>46082</v>
      </c>
      <c r="F253" s="8" t="s">
        <v>413</v>
      </c>
      <c r="G253" s="8" t="s">
        <v>406</v>
      </c>
      <c r="H253" s="8">
        <v>60</v>
      </c>
      <c r="I253" s="10">
        <v>3110441.19</v>
      </c>
      <c r="J253" s="10">
        <v>0</v>
      </c>
      <c r="K253" s="10">
        <v>262654.65000000002</v>
      </c>
      <c r="L253" s="10">
        <f t="shared" si="0"/>
        <v>2847786.54</v>
      </c>
    </row>
    <row r="254" spans="1:29" ht="13.8" thickBot="1">
      <c r="A254" s="8" t="s">
        <v>354</v>
      </c>
      <c r="B254" s="8">
        <v>30545894528</v>
      </c>
      <c r="C254" s="8" t="s">
        <v>356</v>
      </c>
      <c r="D254" s="9">
        <v>46120</v>
      </c>
      <c r="E254" s="17">
        <v>46082</v>
      </c>
      <c r="F254" s="8" t="s">
        <v>413</v>
      </c>
      <c r="G254" s="8" t="s">
        <v>406</v>
      </c>
      <c r="H254" s="8">
        <v>60</v>
      </c>
      <c r="I254" s="10">
        <v>2984059.15</v>
      </c>
      <c r="J254" s="10">
        <v>0</v>
      </c>
      <c r="K254" s="10">
        <v>39332.76</v>
      </c>
      <c r="L254" s="10">
        <f t="shared" si="0"/>
        <v>2944726.39</v>
      </c>
    </row>
    <row r="255" spans="1:29" ht="13.8" thickBot="1">
      <c r="A255" s="8" t="s">
        <v>354</v>
      </c>
      <c r="B255" s="8">
        <v>30545894528</v>
      </c>
      <c r="C255" s="8" t="s">
        <v>357</v>
      </c>
      <c r="D255" s="9">
        <v>46120</v>
      </c>
      <c r="E255" s="17">
        <v>46082</v>
      </c>
      <c r="F255" s="8" t="s">
        <v>413</v>
      </c>
      <c r="G255" s="8" t="s">
        <v>406</v>
      </c>
      <c r="H255" s="8">
        <v>60</v>
      </c>
      <c r="I255" s="10">
        <v>389730.44</v>
      </c>
      <c r="J255" s="10">
        <v>0</v>
      </c>
      <c r="K255" s="10">
        <v>196901.39</v>
      </c>
      <c r="L255" s="10">
        <f t="shared" si="0"/>
        <v>192829.05</v>
      </c>
    </row>
    <row r="256" spans="1:29" ht="13.8" thickBot="1">
      <c r="A256" s="8" t="s">
        <v>354</v>
      </c>
      <c r="B256" s="8">
        <v>30545894528</v>
      </c>
      <c r="C256" s="8" t="s">
        <v>358</v>
      </c>
      <c r="D256" s="9">
        <v>46120</v>
      </c>
      <c r="E256" s="17">
        <v>46082</v>
      </c>
      <c r="F256" s="8" t="s">
        <v>405</v>
      </c>
      <c r="G256" s="8" t="s">
        <v>406</v>
      </c>
      <c r="H256" s="8">
        <v>60</v>
      </c>
      <c r="I256" s="10">
        <v>143345.82999999999</v>
      </c>
      <c r="J256" s="10">
        <v>0</v>
      </c>
      <c r="K256" s="10">
        <v>0</v>
      </c>
      <c r="L256" s="10">
        <f t="shared" si="0"/>
        <v>143345.82999999999</v>
      </c>
    </row>
    <row r="257" spans="1:29" ht="13.8" thickBot="1">
      <c r="A257" s="8" t="s">
        <v>354</v>
      </c>
      <c r="B257" s="8">
        <v>30545894528</v>
      </c>
      <c r="C257" s="8" t="s">
        <v>359</v>
      </c>
      <c r="D257" s="9">
        <v>46120</v>
      </c>
      <c r="E257" s="17">
        <v>46082</v>
      </c>
      <c r="F257" s="8" t="s">
        <v>413</v>
      </c>
      <c r="G257" s="8" t="s">
        <v>406</v>
      </c>
      <c r="H257" s="8">
        <v>60</v>
      </c>
      <c r="I257" s="10">
        <v>4547067.4000000004</v>
      </c>
      <c r="J257" s="10">
        <v>0</v>
      </c>
      <c r="K257" s="10">
        <v>31950.41</v>
      </c>
      <c r="L257" s="10">
        <f t="shared" si="0"/>
        <v>4515116.99</v>
      </c>
    </row>
    <row r="258" spans="1:29" ht="13.8" thickBot="1">
      <c r="A258" s="8" t="s">
        <v>354</v>
      </c>
      <c r="B258" s="8">
        <v>30545894528</v>
      </c>
      <c r="C258" s="8" t="s">
        <v>360</v>
      </c>
      <c r="D258" s="9">
        <v>46120</v>
      </c>
      <c r="E258" s="17">
        <v>46082</v>
      </c>
      <c r="F258" s="8" t="s">
        <v>405</v>
      </c>
      <c r="G258" s="8" t="s">
        <v>408</v>
      </c>
      <c r="H258" s="8">
        <v>60</v>
      </c>
      <c r="I258" s="10">
        <v>1020775.11</v>
      </c>
      <c r="J258" s="10">
        <v>0</v>
      </c>
      <c r="K258" s="10">
        <v>0</v>
      </c>
      <c r="L258" s="10">
        <f t="shared" si="0"/>
        <v>1020775.11</v>
      </c>
    </row>
    <row r="259" spans="1:29" ht="13.8" thickBot="1">
      <c r="A259" s="8" t="s">
        <v>361</v>
      </c>
      <c r="B259" s="8">
        <v>30716784386</v>
      </c>
      <c r="C259" s="8" t="s">
        <v>362</v>
      </c>
      <c r="D259" s="9">
        <v>46121</v>
      </c>
      <c r="E259" s="17">
        <v>46082</v>
      </c>
      <c r="F259" s="8" t="s">
        <v>405</v>
      </c>
      <c r="G259" s="8" t="s">
        <v>410</v>
      </c>
      <c r="H259" s="8">
        <v>60</v>
      </c>
      <c r="I259" s="10">
        <v>18113.96</v>
      </c>
      <c r="J259" s="10">
        <v>0</v>
      </c>
      <c r="K259" s="10">
        <v>0</v>
      </c>
      <c r="L259" s="10">
        <f t="shared" si="0"/>
        <v>18113.96</v>
      </c>
    </row>
    <row r="260" spans="1:29" ht="13.8" thickBot="1">
      <c r="A260" s="8" t="s">
        <v>361</v>
      </c>
      <c r="B260" s="8">
        <v>30716784386</v>
      </c>
      <c r="C260" s="8" t="s">
        <v>363</v>
      </c>
      <c r="D260" s="9">
        <v>46121</v>
      </c>
      <c r="E260" s="17">
        <v>46082</v>
      </c>
      <c r="F260" s="8" t="s">
        <v>413</v>
      </c>
      <c r="G260" s="8" t="s">
        <v>406</v>
      </c>
      <c r="H260" s="8">
        <v>60</v>
      </c>
      <c r="I260" s="10">
        <v>1151858.6200000001</v>
      </c>
      <c r="J260" s="10">
        <v>0</v>
      </c>
      <c r="K260" s="10">
        <v>0</v>
      </c>
      <c r="L260" s="10">
        <f t="shared" si="0"/>
        <v>1151858.6200000001</v>
      </c>
    </row>
    <row r="261" spans="1:29" ht="13.8" thickBot="1">
      <c r="A261" s="8" t="s">
        <v>361</v>
      </c>
      <c r="B261" s="8">
        <v>30716784386</v>
      </c>
      <c r="C261" s="8" t="s">
        <v>364</v>
      </c>
      <c r="D261" s="9">
        <v>46121</v>
      </c>
      <c r="E261" s="17">
        <v>46082</v>
      </c>
      <c r="F261" s="8" t="s">
        <v>405</v>
      </c>
      <c r="G261" s="8" t="s">
        <v>412</v>
      </c>
      <c r="H261" s="8">
        <v>60</v>
      </c>
      <c r="I261" s="10">
        <v>33900</v>
      </c>
      <c r="J261" s="10">
        <v>0</v>
      </c>
      <c r="K261" s="10">
        <v>0</v>
      </c>
      <c r="L261" s="10">
        <f t="shared" si="0"/>
        <v>33900</v>
      </c>
    </row>
    <row r="262" spans="1:29" ht="13.8" thickBot="1">
      <c r="A262" s="8" t="s">
        <v>361</v>
      </c>
      <c r="B262" s="8">
        <v>30716784386</v>
      </c>
      <c r="C262" s="8" t="s">
        <v>365</v>
      </c>
      <c r="D262" s="9">
        <v>46121</v>
      </c>
      <c r="E262" s="17">
        <v>46082</v>
      </c>
      <c r="F262" s="8" t="s">
        <v>405</v>
      </c>
      <c r="G262" s="8" t="s">
        <v>408</v>
      </c>
      <c r="H262" s="8">
        <v>60</v>
      </c>
      <c r="I262" s="10">
        <v>211990.3</v>
      </c>
      <c r="J262" s="10">
        <v>3850</v>
      </c>
      <c r="K262" s="10">
        <v>0</v>
      </c>
      <c r="L262" s="10">
        <f t="shared" si="0"/>
        <v>208140.3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spans="1:29" ht="13.8" thickBot="1">
      <c r="A263" s="8" t="s">
        <v>361</v>
      </c>
      <c r="B263" s="8">
        <v>30716784386</v>
      </c>
      <c r="C263" s="8" t="s">
        <v>366</v>
      </c>
      <c r="D263" s="9">
        <v>46121</v>
      </c>
      <c r="E263" s="17">
        <v>46082</v>
      </c>
      <c r="F263" s="8" t="s">
        <v>405</v>
      </c>
      <c r="G263" s="8" t="s">
        <v>416</v>
      </c>
      <c r="H263" s="8">
        <v>60</v>
      </c>
      <c r="I263" s="10">
        <v>28000</v>
      </c>
      <c r="J263" s="10">
        <v>0</v>
      </c>
      <c r="K263" s="10">
        <v>0</v>
      </c>
      <c r="L263" s="10">
        <f t="shared" si="0"/>
        <v>28000</v>
      </c>
    </row>
    <row r="264" spans="1:29" ht="13.8" thickBot="1">
      <c r="A264" s="8" t="s">
        <v>367</v>
      </c>
      <c r="B264" s="8">
        <v>30681218285</v>
      </c>
      <c r="C264" s="8" t="s">
        <v>368</v>
      </c>
      <c r="D264" s="9">
        <v>46111</v>
      </c>
      <c r="E264" s="17">
        <v>46082</v>
      </c>
      <c r="F264" s="8" t="s">
        <v>407</v>
      </c>
      <c r="G264" s="8" t="s">
        <v>408</v>
      </c>
      <c r="H264" s="8">
        <v>30</v>
      </c>
      <c r="I264" s="10">
        <v>1053744</v>
      </c>
      <c r="J264" s="10">
        <v>0</v>
      </c>
      <c r="K264" s="10">
        <v>0</v>
      </c>
      <c r="L264" s="10">
        <f t="shared" si="0"/>
        <v>1053744</v>
      </c>
    </row>
    <row r="265" spans="1:29" ht="13.8" thickBot="1">
      <c r="A265" s="8" t="s">
        <v>367</v>
      </c>
      <c r="B265" s="8">
        <v>30681218285</v>
      </c>
      <c r="C265" s="8" t="s">
        <v>369</v>
      </c>
      <c r="D265" s="9">
        <v>46122</v>
      </c>
      <c r="E265" s="17">
        <v>46054</v>
      </c>
      <c r="F265" s="8" t="s">
        <v>407</v>
      </c>
      <c r="G265" s="8" t="s">
        <v>408</v>
      </c>
      <c r="H265" s="8">
        <v>30</v>
      </c>
      <c r="I265" s="10">
        <v>1053744</v>
      </c>
      <c r="J265" s="10">
        <v>0</v>
      </c>
      <c r="K265" s="10">
        <v>0</v>
      </c>
      <c r="L265" s="10">
        <f t="shared" si="0"/>
        <v>1053744</v>
      </c>
    </row>
    <row r="266" spans="1:29" ht="13.8" thickBot="1">
      <c r="A266" s="8" t="s">
        <v>367</v>
      </c>
      <c r="B266" s="8">
        <v>30681218285</v>
      </c>
      <c r="C266" s="8" t="s">
        <v>370</v>
      </c>
      <c r="D266" s="9">
        <v>46126</v>
      </c>
      <c r="E266" s="17">
        <v>46113</v>
      </c>
      <c r="F266" s="8" t="s">
        <v>407</v>
      </c>
      <c r="G266" s="8" t="s">
        <v>406</v>
      </c>
      <c r="H266" s="8">
        <v>30</v>
      </c>
      <c r="I266" s="10">
        <v>2133750</v>
      </c>
      <c r="J266" s="10">
        <v>0</v>
      </c>
      <c r="K266" s="10">
        <v>0</v>
      </c>
      <c r="L266" s="10">
        <f t="shared" si="0"/>
        <v>2133750</v>
      </c>
    </row>
    <row r="267" spans="1:29" ht="13.8" thickBot="1">
      <c r="A267" s="8" t="s">
        <v>367</v>
      </c>
      <c r="B267" s="8">
        <v>30681218285</v>
      </c>
      <c r="C267" s="8" t="s">
        <v>371</v>
      </c>
      <c r="D267" s="9">
        <v>46146</v>
      </c>
      <c r="E267" s="17">
        <v>46054</v>
      </c>
      <c r="F267" s="8" t="s">
        <v>407</v>
      </c>
      <c r="G267" s="8" t="s">
        <v>408</v>
      </c>
      <c r="H267" s="8">
        <v>30</v>
      </c>
      <c r="I267" s="10">
        <v>1640472</v>
      </c>
      <c r="J267" s="10">
        <v>0</v>
      </c>
      <c r="K267" s="10">
        <v>0</v>
      </c>
      <c r="L267" s="10">
        <f t="shared" si="0"/>
        <v>1640472</v>
      </c>
    </row>
    <row r="268" spans="1:29" ht="13.8" thickBot="1">
      <c r="A268" s="8" t="s">
        <v>367</v>
      </c>
      <c r="B268" s="8">
        <v>30681218285</v>
      </c>
      <c r="C268" s="8" t="s">
        <v>372</v>
      </c>
      <c r="D268" s="9">
        <v>46133</v>
      </c>
      <c r="E268" s="17">
        <v>46054</v>
      </c>
      <c r="F268" s="8" t="s">
        <v>407</v>
      </c>
      <c r="G268" s="8" t="s">
        <v>408</v>
      </c>
      <c r="H268" s="8">
        <v>30</v>
      </c>
      <c r="I268" s="10">
        <v>1053744</v>
      </c>
      <c r="J268" s="10">
        <v>0</v>
      </c>
      <c r="K268" s="10">
        <v>0</v>
      </c>
      <c r="L268" s="10">
        <f t="shared" si="0"/>
        <v>1053744</v>
      </c>
    </row>
    <row r="269" spans="1:29" ht="13.8" thickBot="1">
      <c r="A269" s="8" t="s">
        <v>367</v>
      </c>
      <c r="B269" s="8">
        <v>30681218285</v>
      </c>
      <c r="C269" s="8" t="s">
        <v>373</v>
      </c>
      <c r="D269" s="9">
        <v>46148</v>
      </c>
      <c r="E269" s="17">
        <v>46054</v>
      </c>
      <c r="F269" s="8" t="s">
        <v>407</v>
      </c>
      <c r="G269" s="8" t="s">
        <v>408</v>
      </c>
      <c r="H269" s="8">
        <v>30</v>
      </c>
      <c r="I269" s="10">
        <v>2747808</v>
      </c>
      <c r="J269" s="10">
        <v>0</v>
      </c>
      <c r="K269" s="10">
        <v>0</v>
      </c>
      <c r="L269" s="10">
        <f t="shared" si="0"/>
        <v>2747808</v>
      </c>
    </row>
    <row r="270" spans="1:29" ht="13.8" thickBot="1">
      <c r="A270" s="8" t="s">
        <v>374</v>
      </c>
      <c r="B270" s="8">
        <v>27170037699</v>
      </c>
      <c r="C270" s="8" t="s">
        <v>375</v>
      </c>
      <c r="D270" s="9">
        <v>46121</v>
      </c>
      <c r="E270" s="17">
        <v>46082</v>
      </c>
      <c r="F270" s="8" t="s">
        <v>404</v>
      </c>
      <c r="G270" s="8" t="s">
        <v>406</v>
      </c>
      <c r="H270" s="8">
        <v>30</v>
      </c>
      <c r="I270" s="10">
        <v>350000</v>
      </c>
      <c r="J270" s="10">
        <v>0</v>
      </c>
      <c r="K270" s="10">
        <v>0</v>
      </c>
      <c r="L270" s="10">
        <f t="shared" si="0"/>
        <v>350000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spans="1:29" ht="13.8" thickBot="1">
      <c r="A271" s="8" t="s">
        <v>376</v>
      </c>
      <c r="B271" s="8">
        <v>27355742003</v>
      </c>
      <c r="C271" s="8" t="s">
        <v>377</v>
      </c>
      <c r="D271" s="9">
        <v>46119</v>
      </c>
      <c r="E271" s="17">
        <v>46082</v>
      </c>
      <c r="F271" s="8" t="s">
        <v>405</v>
      </c>
      <c r="G271" s="8" t="s">
        <v>406</v>
      </c>
      <c r="H271" s="8">
        <v>45</v>
      </c>
      <c r="I271" s="10">
        <v>489640.8</v>
      </c>
      <c r="J271" s="10">
        <v>0</v>
      </c>
      <c r="K271" s="10">
        <v>0</v>
      </c>
      <c r="L271" s="10">
        <f t="shared" si="0"/>
        <v>489640.8</v>
      </c>
    </row>
    <row r="272" spans="1:29" ht="13.8" thickBot="1">
      <c r="A272" s="8" t="s">
        <v>376</v>
      </c>
      <c r="B272" s="8">
        <v>27355742003</v>
      </c>
      <c r="C272" s="8" t="s">
        <v>378</v>
      </c>
      <c r="D272" s="9">
        <v>46087</v>
      </c>
      <c r="E272" s="17">
        <v>46082</v>
      </c>
      <c r="F272" s="8" t="s">
        <v>405</v>
      </c>
      <c r="G272" s="8" t="s">
        <v>406</v>
      </c>
      <c r="H272" s="8">
        <v>45</v>
      </c>
      <c r="I272" s="10">
        <v>348683.6</v>
      </c>
      <c r="J272" s="10">
        <v>29675.200000000001</v>
      </c>
      <c r="K272" s="10">
        <v>0</v>
      </c>
      <c r="L272" s="10">
        <f t="shared" si="0"/>
        <v>319008.39999999997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3.8" thickBot="1">
      <c r="A273" s="8" t="s">
        <v>379</v>
      </c>
      <c r="B273" s="8">
        <v>30546670623</v>
      </c>
      <c r="C273" s="8" t="s">
        <v>380</v>
      </c>
      <c r="D273" s="9">
        <v>46121</v>
      </c>
      <c r="E273" s="17">
        <v>46082</v>
      </c>
      <c r="F273" s="8" t="s">
        <v>405</v>
      </c>
      <c r="G273" s="8" t="s">
        <v>406</v>
      </c>
      <c r="H273" s="8">
        <v>45</v>
      </c>
      <c r="I273" s="10">
        <v>102000</v>
      </c>
      <c r="J273" s="10">
        <v>89520</v>
      </c>
      <c r="K273" s="10">
        <v>0</v>
      </c>
      <c r="L273" s="10">
        <f t="shared" si="0"/>
        <v>12480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spans="1:29" ht="13.8" thickBot="1">
      <c r="A274" s="8" t="s">
        <v>379</v>
      </c>
      <c r="B274" s="8">
        <v>30546670623</v>
      </c>
      <c r="C274" s="8" t="s">
        <v>381</v>
      </c>
      <c r="D274" s="9">
        <v>46081</v>
      </c>
      <c r="E274" s="17">
        <v>46054</v>
      </c>
      <c r="F274" s="8" t="s">
        <v>405</v>
      </c>
      <c r="G274" s="8" t="s">
        <v>406</v>
      </c>
      <c r="H274" s="8">
        <v>45</v>
      </c>
      <c r="I274" s="10">
        <v>5788</v>
      </c>
      <c r="J274" s="10">
        <v>0</v>
      </c>
      <c r="K274" s="10">
        <v>0</v>
      </c>
      <c r="L274" s="10">
        <f t="shared" si="0"/>
        <v>5788</v>
      </c>
    </row>
    <row r="275" spans="1:29" ht="13.8" thickBot="1">
      <c r="A275" s="8" t="s">
        <v>379</v>
      </c>
      <c r="B275" s="8">
        <v>30546670623</v>
      </c>
      <c r="C275" s="8" t="s">
        <v>382</v>
      </c>
      <c r="D275" s="9">
        <v>46100</v>
      </c>
      <c r="E275" s="17">
        <v>46082</v>
      </c>
      <c r="F275" s="8" t="s">
        <v>405</v>
      </c>
      <c r="G275" s="8" t="s">
        <v>412</v>
      </c>
      <c r="H275" s="8">
        <v>45</v>
      </c>
      <c r="I275" s="10">
        <v>24500</v>
      </c>
      <c r="J275" s="10">
        <v>0</v>
      </c>
      <c r="K275" s="10">
        <v>0</v>
      </c>
      <c r="L275" s="10">
        <f t="shared" si="0"/>
        <v>24500</v>
      </c>
    </row>
    <row r="276" spans="1:29" ht="13.8" thickBot="1">
      <c r="A276" s="8" t="s">
        <v>379</v>
      </c>
      <c r="B276" s="8">
        <v>30546670623</v>
      </c>
      <c r="C276" s="8" t="s">
        <v>383</v>
      </c>
      <c r="D276" s="9">
        <v>46112</v>
      </c>
      <c r="E276" s="17">
        <v>46082</v>
      </c>
      <c r="F276" s="8" t="s">
        <v>413</v>
      </c>
      <c r="G276" s="8" t="s">
        <v>406</v>
      </c>
      <c r="H276" s="8">
        <v>45</v>
      </c>
      <c r="I276" s="10">
        <v>330848</v>
      </c>
      <c r="J276" s="10">
        <v>0</v>
      </c>
      <c r="K276" s="10">
        <v>0</v>
      </c>
      <c r="L276" s="10">
        <f t="shared" si="0"/>
        <v>330848</v>
      </c>
    </row>
    <row r="277" spans="1:29" ht="13.8" thickBot="1">
      <c r="A277" s="8" t="s">
        <v>379</v>
      </c>
      <c r="B277" s="8">
        <v>30546670623</v>
      </c>
      <c r="C277" s="8" t="s">
        <v>384</v>
      </c>
      <c r="D277" s="9">
        <v>46112</v>
      </c>
      <c r="E277" s="17">
        <v>46082</v>
      </c>
      <c r="F277" s="8" t="s">
        <v>413</v>
      </c>
      <c r="G277" s="8" t="s">
        <v>406</v>
      </c>
      <c r="H277" s="8">
        <v>45</v>
      </c>
      <c r="I277" s="10">
        <v>1174392</v>
      </c>
      <c r="J277" s="10">
        <v>0</v>
      </c>
      <c r="K277" s="10">
        <v>118672</v>
      </c>
      <c r="L277" s="10">
        <f t="shared" si="0"/>
        <v>1055720</v>
      </c>
    </row>
    <row r="278" spans="1:29" ht="13.8" thickBot="1">
      <c r="A278" s="8" t="s">
        <v>379</v>
      </c>
      <c r="B278" s="8">
        <v>30546670623</v>
      </c>
      <c r="C278" s="8" t="s">
        <v>385</v>
      </c>
      <c r="D278" s="9">
        <v>46112</v>
      </c>
      <c r="E278" s="17">
        <v>46082</v>
      </c>
      <c r="F278" s="8" t="s">
        <v>405</v>
      </c>
      <c r="G278" s="8" t="s">
        <v>406</v>
      </c>
      <c r="H278" s="8">
        <v>45</v>
      </c>
      <c r="I278" s="10">
        <v>28940</v>
      </c>
      <c r="J278" s="10">
        <v>0</v>
      </c>
      <c r="K278" s="10">
        <v>0</v>
      </c>
      <c r="L278" s="10">
        <f t="shared" si="0"/>
        <v>28940</v>
      </c>
    </row>
    <row r="279" spans="1:29" ht="13.8" thickBot="1">
      <c r="A279" s="8" t="s">
        <v>379</v>
      </c>
      <c r="B279" s="8">
        <v>30546670623</v>
      </c>
      <c r="C279" s="8" t="s">
        <v>386</v>
      </c>
      <c r="D279" s="9">
        <v>46081</v>
      </c>
      <c r="E279" s="17">
        <v>46082</v>
      </c>
      <c r="F279" s="8" t="s">
        <v>413</v>
      </c>
      <c r="G279" s="8" t="s">
        <v>406</v>
      </c>
      <c r="H279" s="8">
        <v>45</v>
      </c>
      <c r="I279" s="10">
        <v>84070</v>
      </c>
      <c r="J279" s="10">
        <v>0</v>
      </c>
      <c r="K279" s="10">
        <v>0</v>
      </c>
      <c r="L279" s="10">
        <f t="shared" si="0"/>
        <v>84070</v>
      </c>
    </row>
    <row r="280" spans="1:29" ht="13.8" thickBot="1">
      <c r="A280" s="8" t="s">
        <v>379</v>
      </c>
      <c r="B280" s="8">
        <v>30546670623</v>
      </c>
      <c r="C280" s="8" t="s">
        <v>387</v>
      </c>
      <c r="D280" s="9">
        <v>46081</v>
      </c>
      <c r="E280" s="17">
        <v>46082</v>
      </c>
      <c r="F280" s="8" t="s">
        <v>413</v>
      </c>
      <c r="G280" s="8" t="s">
        <v>406</v>
      </c>
      <c r="H280" s="8">
        <v>45</v>
      </c>
      <c r="I280" s="10">
        <v>480307</v>
      </c>
      <c r="J280" s="10">
        <v>0</v>
      </c>
      <c r="K280" s="10">
        <v>0</v>
      </c>
      <c r="L280" s="10">
        <f t="shared" si="0"/>
        <v>480307</v>
      </c>
    </row>
    <row r="281" spans="1:29" ht="13.8" thickBot="1">
      <c r="A281" s="8" t="s">
        <v>379</v>
      </c>
      <c r="B281" s="8">
        <v>30546670623</v>
      </c>
      <c r="C281" s="8" t="s">
        <v>388</v>
      </c>
      <c r="D281" s="9">
        <v>46112</v>
      </c>
      <c r="E281" s="17">
        <v>46082</v>
      </c>
      <c r="F281" s="8" t="s">
        <v>405</v>
      </c>
      <c r="G281" s="8" t="s">
        <v>412</v>
      </c>
      <c r="H281" s="8">
        <v>45</v>
      </c>
      <c r="I281" s="10">
        <v>23152</v>
      </c>
      <c r="J281" s="10">
        <v>0</v>
      </c>
      <c r="K281" s="10">
        <v>0</v>
      </c>
      <c r="L281" s="10">
        <f t="shared" si="0"/>
        <v>23152</v>
      </c>
    </row>
    <row r="282" spans="1:29" ht="13.8" thickBot="1">
      <c r="A282" s="8" t="s">
        <v>389</v>
      </c>
      <c r="B282" s="8">
        <v>30711999074</v>
      </c>
      <c r="C282" s="8" t="s">
        <v>390</v>
      </c>
      <c r="D282" s="9">
        <v>46119</v>
      </c>
      <c r="E282" s="17">
        <v>46082</v>
      </c>
      <c r="F282" s="8" t="s">
        <v>405</v>
      </c>
      <c r="G282" s="8" t="s">
        <v>408</v>
      </c>
      <c r="H282" s="8">
        <v>60</v>
      </c>
      <c r="I282" s="10">
        <v>60950</v>
      </c>
      <c r="J282" s="10">
        <v>0</v>
      </c>
      <c r="K282" s="10">
        <v>0</v>
      </c>
      <c r="L282" s="10">
        <f t="shared" si="0"/>
        <v>60950</v>
      </c>
    </row>
    <row r="283" spans="1:29" ht="13.8" thickBot="1">
      <c r="A283" s="8" t="s">
        <v>389</v>
      </c>
      <c r="B283" s="8">
        <v>30711999074</v>
      </c>
      <c r="C283" s="8" t="s">
        <v>391</v>
      </c>
      <c r="D283" s="9">
        <v>46119</v>
      </c>
      <c r="E283" s="17">
        <v>46082</v>
      </c>
      <c r="F283" s="8" t="s">
        <v>405</v>
      </c>
      <c r="G283" s="8" t="s">
        <v>406</v>
      </c>
      <c r="H283" s="8">
        <v>60</v>
      </c>
      <c r="I283" s="10">
        <v>243100</v>
      </c>
      <c r="J283" s="10">
        <v>0</v>
      </c>
      <c r="K283" s="10">
        <v>0</v>
      </c>
      <c r="L283" s="10">
        <f t="shared" si="0"/>
        <v>243100</v>
      </c>
    </row>
    <row r="284" spans="1:29" ht="13.8" thickBot="1">
      <c r="A284" s="8" t="s">
        <v>389</v>
      </c>
      <c r="B284" s="8">
        <v>30711999074</v>
      </c>
      <c r="C284" s="8" t="s">
        <v>390</v>
      </c>
      <c r="D284" s="9">
        <v>46119</v>
      </c>
      <c r="E284" s="17">
        <v>46082</v>
      </c>
      <c r="F284" s="8" t="s">
        <v>405</v>
      </c>
      <c r="G284" s="8" t="s">
        <v>408</v>
      </c>
      <c r="H284" s="8">
        <v>60</v>
      </c>
      <c r="I284" s="10">
        <v>60950</v>
      </c>
      <c r="J284" s="10">
        <v>0</v>
      </c>
      <c r="K284" s="10">
        <v>0</v>
      </c>
      <c r="L284" s="10">
        <f t="shared" si="0"/>
        <v>60950</v>
      </c>
    </row>
    <row r="285" spans="1:29" ht="13.8" thickBot="1">
      <c r="A285" s="8" t="s">
        <v>389</v>
      </c>
      <c r="B285" s="8">
        <v>30711999074</v>
      </c>
      <c r="C285" s="8" t="s">
        <v>391</v>
      </c>
      <c r="D285" s="9">
        <v>46119</v>
      </c>
      <c r="E285" s="17">
        <v>46082</v>
      </c>
      <c r="F285" s="8" t="s">
        <v>405</v>
      </c>
      <c r="G285" s="8" t="s">
        <v>406</v>
      </c>
      <c r="H285" s="8">
        <v>60</v>
      </c>
      <c r="I285" s="10">
        <v>243100</v>
      </c>
      <c r="J285" s="10">
        <v>0</v>
      </c>
      <c r="K285" s="10">
        <v>0</v>
      </c>
      <c r="L285" s="10">
        <f t="shared" si="0"/>
        <v>243100</v>
      </c>
    </row>
    <row r="286" spans="1:29" ht="13.8" thickBot="1">
      <c r="A286" s="8" t="s">
        <v>392</v>
      </c>
      <c r="B286" s="8">
        <v>30703378222</v>
      </c>
      <c r="C286" s="8" t="s">
        <v>393</v>
      </c>
      <c r="D286" s="9">
        <v>46120</v>
      </c>
      <c r="E286" s="17">
        <v>46082</v>
      </c>
      <c r="F286" s="8" t="s">
        <v>405</v>
      </c>
      <c r="G286" s="8" t="s">
        <v>408</v>
      </c>
      <c r="H286" s="8">
        <v>60</v>
      </c>
      <c r="I286" s="10">
        <v>17120</v>
      </c>
      <c r="J286" s="10">
        <v>0</v>
      </c>
      <c r="K286" s="10">
        <v>0</v>
      </c>
      <c r="L286" s="10">
        <f t="shared" si="0"/>
        <v>17120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spans="1:29" ht="13.8" thickBot="1">
      <c r="A287" s="8" t="s">
        <v>392</v>
      </c>
      <c r="B287" s="8">
        <v>30703378222</v>
      </c>
      <c r="C287" s="8" t="s">
        <v>394</v>
      </c>
      <c r="D287" s="9">
        <v>46120</v>
      </c>
      <c r="E287" s="17">
        <v>46082</v>
      </c>
      <c r="F287" s="8" t="s">
        <v>405</v>
      </c>
      <c r="G287" s="8" t="s">
        <v>410</v>
      </c>
      <c r="H287" s="8">
        <v>60</v>
      </c>
      <c r="I287" s="10">
        <v>5120</v>
      </c>
      <c r="J287" s="10">
        <v>0</v>
      </c>
      <c r="K287" s="10">
        <v>0</v>
      </c>
      <c r="L287" s="10">
        <f t="shared" si="0"/>
        <v>5120</v>
      </c>
    </row>
    <row r="288" spans="1:29" ht="13.8" thickBot="1">
      <c r="A288" s="8" t="s">
        <v>392</v>
      </c>
      <c r="B288" s="8">
        <v>30703378222</v>
      </c>
      <c r="C288" s="8" t="s">
        <v>395</v>
      </c>
      <c r="D288" s="9">
        <v>46120</v>
      </c>
      <c r="E288" s="17">
        <v>46082</v>
      </c>
      <c r="F288" s="8" t="s">
        <v>413</v>
      </c>
      <c r="G288" s="8" t="s">
        <v>408</v>
      </c>
      <c r="H288" s="8">
        <v>60</v>
      </c>
      <c r="I288" s="10">
        <v>3100000</v>
      </c>
      <c r="J288" s="10">
        <v>0</v>
      </c>
      <c r="K288" s="10">
        <v>0</v>
      </c>
      <c r="L288" s="10">
        <f t="shared" si="0"/>
        <v>3100000</v>
      </c>
    </row>
    <row r="289" spans="1:29" ht="13.8" thickBot="1">
      <c r="A289" s="8" t="s">
        <v>392</v>
      </c>
      <c r="B289" s="8">
        <v>30703378222</v>
      </c>
      <c r="C289" s="8" t="s">
        <v>396</v>
      </c>
      <c r="D289" s="9">
        <v>46120</v>
      </c>
      <c r="E289" s="17">
        <v>46082</v>
      </c>
      <c r="F289" s="8" t="s">
        <v>413</v>
      </c>
      <c r="G289" s="8" t="s">
        <v>406</v>
      </c>
      <c r="H289" s="8">
        <v>60</v>
      </c>
      <c r="I289" s="10">
        <v>3398930</v>
      </c>
      <c r="J289" s="10">
        <v>0</v>
      </c>
      <c r="K289" s="10">
        <v>0</v>
      </c>
      <c r="L289" s="10">
        <f t="shared" si="0"/>
        <v>3398930</v>
      </c>
    </row>
    <row r="290" spans="1:29" ht="13.8" thickBot="1">
      <c r="A290" s="8" t="s">
        <v>397</v>
      </c>
      <c r="B290" s="8">
        <v>20185058833</v>
      </c>
      <c r="C290" s="8" t="s">
        <v>398</v>
      </c>
      <c r="D290" s="9">
        <v>46120</v>
      </c>
      <c r="E290" s="17">
        <v>46082</v>
      </c>
      <c r="F290" s="8" t="s">
        <v>405</v>
      </c>
      <c r="G290" s="8" t="s">
        <v>410</v>
      </c>
      <c r="H290" s="8">
        <v>45</v>
      </c>
      <c r="I290" s="10">
        <v>26753.1</v>
      </c>
      <c r="J290" s="10">
        <v>4643.1000000000004</v>
      </c>
      <c r="K290" s="10">
        <v>0</v>
      </c>
      <c r="L290" s="10">
        <f t="shared" si="0"/>
        <v>22110</v>
      </c>
    </row>
    <row r="291" spans="1:29" ht="13.8" thickBot="1">
      <c r="A291" s="8" t="s">
        <v>397</v>
      </c>
      <c r="B291" s="8">
        <v>20185058833</v>
      </c>
      <c r="C291" s="8" t="s">
        <v>399</v>
      </c>
      <c r="D291" s="9">
        <v>46085</v>
      </c>
      <c r="E291" s="17">
        <v>46054</v>
      </c>
      <c r="F291" s="8" t="s">
        <v>405</v>
      </c>
      <c r="G291" s="8" t="s">
        <v>410</v>
      </c>
      <c r="H291" s="8">
        <v>45</v>
      </c>
      <c r="I291" s="10">
        <v>271923.3</v>
      </c>
      <c r="J291" s="10">
        <v>47193.3</v>
      </c>
      <c r="K291" s="10">
        <v>0</v>
      </c>
      <c r="L291" s="10">
        <f t="shared" si="0"/>
        <v>224730</v>
      </c>
    </row>
    <row r="292" spans="1:29" ht="13.8" thickBot="1">
      <c r="A292" s="8" t="s">
        <v>400</v>
      </c>
      <c r="B292" s="8">
        <v>20209977827</v>
      </c>
      <c r="C292" s="8" t="s">
        <v>401</v>
      </c>
      <c r="D292" s="9">
        <v>46119</v>
      </c>
      <c r="E292" s="17">
        <v>46082</v>
      </c>
      <c r="F292" s="8" t="s">
        <v>405</v>
      </c>
      <c r="G292" s="8" t="s">
        <v>406</v>
      </c>
      <c r="H292" s="8">
        <v>45</v>
      </c>
      <c r="I292" s="10">
        <v>254370</v>
      </c>
      <c r="J292" s="10">
        <v>0</v>
      </c>
      <c r="K292" s="10">
        <v>0</v>
      </c>
      <c r="L292" s="10">
        <f t="shared" si="0"/>
        <v>254370</v>
      </c>
    </row>
    <row r="293" spans="1:29" ht="13.8" thickBot="1">
      <c r="A293" s="8" t="s">
        <v>402</v>
      </c>
      <c r="B293" s="8">
        <v>30716413256</v>
      </c>
      <c r="C293" s="8" t="s">
        <v>403</v>
      </c>
      <c r="D293" s="9">
        <v>46120</v>
      </c>
      <c r="E293" s="17">
        <v>46082</v>
      </c>
      <c r="F293" s="8" t="s">
        <v>405</v>
      </c>
      <c r="G293" s="8" t="s">
        <v>406</v>
      </c>
      <c r="H293" s="8">
        <v>60</v>
      </c>
      <c r="I293" s="10">
        <v>115500</v>
      </c>
      <c r="J293" s="10">
        <v>50400</v>
      </c>
      <c r="K293" s="10">
        <v>0</v>
      </c>
      <c r="L293" s="10">
        <f t="shared" si="0"/>
        <v>65100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spans="1:29" ht="13.8">
      <c r="I294" s="14"/>
      <c r="J294" s="15"/>
      <c r="K294" s="15"/>
      <c r="L294" s="15"/>
    </row>
    <row r="295" spans="1:29" ht="13.8">
      <c r="I295" s="14"/>
      <c r="J295" s="15"/>
      <c r="K295" s="15"/>
      <c r="L295" s="15"/>
    </row>
    <row r="296" spans="1:29" ht="13.8">
      <c r="I296" s="14"/>
      <c r="J296" s="15"/>
      <c r="K296" s="15"/>
      <c r="L296" s="15"/>
    </row>
    <row r="297" spans="1:29" ht="13.8">
      <c r="I297" s="14"/>
      <c r="J297" s="15"/>
      <c r="K297" s="15"/>
      <c r="L297" s="15"/>
    </row>
    <row r="298" spans="1:29" ht="13.8">
      <c r="I298" s="14"/>
      <c r="J298" s="15"/>
      <c r="K298" s="15"/>
      <c r="L298" s="15"/>
    </row>
    <row r="299" spans="1:29" ht="13.8">
      <c r="I299" s="14"/>
      <c r="J299" s="15"/>
      <c r="K299" s="15"/>
      <c r="L299" s="15"/>
    </row>
    <row r="300" spans="1:29" ht="13.8">
      <c r="I300" s="14"/>
      <c r="J300" s="15"/>
      <c r="K300" s="15"/>
      <c r="L300" s="15"/>
    </row>
    <row r="301" spans="1:29" ht="13.8">
      <c r="I301" s="14"/>
      <c r="J301" s="15"/>
      <c r="K301" s="15"/>
      <c r="L301" s="15"/>
    </row>
    <row r="302" spans="1:29" ht="13.8">
      <c r="I302" s="14"/>
      <c r="J302" s="15"/>
      <c r="K302" s="15"/>
      <c r="L302" s="15"/>
    </row>
    <row r="303" spans="1:29" ht="13.8">
      <c r="I303" s="14"/>
      <c r="J303" s="15"/>
      <c r="K303" s="15"/>
      <c r="L303" s="15"/>
    </row>
    <row r="304" spans="1:29" ht="13.8">
      <c r="I304" s="14"/>
      <c r="J304" s="15"/>
      <c r="K304" s="15"/>
      <c r="L304" s="15"/>
    </row>
    <row r="305" spans="9:12" ht="13.8">
      <c r="I305" s="14"/>
      <c r="J305" s="15"/>
      <c r="K305" s="15"/>
      <c r="L305" s="15"/>
    </row>
    <row r="306" spans="9:12" ht="13.8">
      <c r="I306" s="14"/>
      <c r="J306" s="15"/>
      <c r="K306" s="15"/>
      <c r="L306" s="15"/>
    </row>
    <row r="307" spans="9:12" ht="13.8">
      <c r="I307" s="14"/>
      <c r="J307" s="15"/>
      <c r="K307" s="15"/>
      <c r="L307" s="15"/>
    </row>
    <row r="308" spans="9:12" ht="13.8">
      <c r="I308" s="14"/>
      <c r="J308" s="15"/>
      <c r="K308" s="15"/>
      <c r="L308" s="15"/>
    </row>
    <row r="309" spans="9:12" ht="13.8">
      <c r="I309" s="14"/>
      <c r="J309" s="15"/>
      <c r="K309" s="15"/>
      <c r="L309" s="15"/>
    </row>
    <row r="310" spans="9:12" ht="13.8">
      <c r="I310" s="14"/>
      <c r="J310" s="15"/>
      <c r="K310" s="15"/>
      <c r="L310" s="15"/>
    </row>
    <row r="311" spans="9:12" ht="13.8">
      <c r="I311" s="14"/>
      <c r="J311" s="15"/>
      <c r="K311" s="15"/>
      <c r="L311" s="15"/>
    </row>
    <row r="312" spans="9:12" ht="13.8">
      <c r="I312" s="14"/>
      <c r="J312" s="15"/>
      <c r="K312" s="15"/>
      <c r="L312" s="15"/>
    </row>
    <row r="313" spans="9:12" ht="13.8">
      <c r="I313" s="14"/>
      <c r="J313" s="15"/>
      <c r="K313" s="15"/>
      <c r="L313" s="15"/>
    </row>
    <row r="314" spans="9:12" ht="13.8">
      <c r="I314" s="14"/>
      <c r="J314" s="15"/>
      <c r="K314" s="15"/>
      <c r="L314" s="15"/>
    </row>
    <row r="315" spans="9:12" ht="13.8">
      <c r="I315" s="14"/>
      <c r="J315" s="15"/>
      <c r="K315" s="15"/>
      <c r="L315" s="15"/>
    </row>
    <row r="316" spans="9:12" ht="13.8">
      <c r="I316" s="14"/>
      <c r="J316" s="15"/>
      <c r="K316" s="15"/>
      <c r="L316" s="15"/>
    </row>
    <row r="317" spans="9:12" ht="13.8">
      <c r="I317" s="14"/>
      <c r="J317" s="15"/>
      <c r="K317" s="15"/>
      <c r="L317" s="15"/>
    </row>
    <row r="318" spans="9:12" ht="13.8">
      <c r="I318" s="14"/>
      <c r="J318" s="15"/>
      <c r="K318" s="15"/>
      <c r="L318" s="15"/>
    </row>
    <row r="319" spans="9:12" ht="13.8">
      <c r="I319" s="14"/>
      <c r="J319" s="15"/>
      <c r="K319" s="15"/>
      <c r="L319" s="15"/>
    </row>
    <row r="320" spans="9:12" ht="13.8">
      <c r="I320" s="14"/>
      <c r="J320" s="15"/>
      <c r="K320" s="15"/>
      <c r="L320" s="15"/>
    </row>
    <row r="321" spans="9:12" ht="13.8">
      <c r="I321" s="14"/>
      <c r="J321" s="15"/>
      <c r="K321" s="15"/>
      <c r="L321" s="15"/>
    </row>
    <row r="322" spans="9:12" ht="13.8">
      <c r="I322" s="14"/>
      <c r="J322" s="15"/>
      <c r="K322" s="15"/>
      <c r="L322" s="15"/>
    </row>
    <row r="323" spans="9:12" ht="13.8">
      <c r="I323" s="14"/>
      <c r="J323" s="15"/>
      <c r="K323" s="15"/>
      <c r="L323" s="15"/>
    </row>
    <row r="324" spans="9:12" ht="13.8">
      <c r="I324" s="14"/>
      <c r="J324" s="15"/>
      <c r="K324" s="15"/>
      <c r="L324" s="15"/>
    </row>
    <row r="325" spans="9:12" ht="13.8">
      <c r="I325" s="14"/>
      <c r="J325" s="15"/>
      <c r="K325" s="15"/>
      <c r="L325" s="15"/>
    </row>
    <row r="326" spans="9:12" ht="13.8">
      <c r="I326" s="14"/>
      <c r="J326" s="15"/>
      <c r="K326" s="15"/>
      <c r="L326" s="15"/>
    </row>
    <row r="327" spans="9:12" ht="13.8">
      <c r="I327" s="14"/>
      <c r="J327" s="15"/>
      <c r="K327" s="15"/>
      <c r="L327" s="15"/>
    </row>
    <row r="328" spans="9:12" ht="13.8">
      <c r="I328" s="14"/>
      <c r="J328" s="15"/>
      <c r="K328" s="15"/>
      <c r="L328" s="15"/>
    </row>
    <row r="329" spans="9:12" ht="13.8">
      <c r="I329" s="14"/>
      <c r="J329" s="15"/>
      <c r="K329" s="15"/>
      <c r="L329" s="15"/>
    </row>
    <row r="330" spans="9:12" ht="13.8">
      <c r="I330" s="14"/>
      <c r="J330" s="15"/>
      <c r="K330" s="15"/>
      <c r="L330" s="15"/>
    </row>
    <row r="331" spans="9:12" ht="13.8">
      <c r="I331" s="14"/>
      <c r="J331" s="15"/>
      <c r="K331" s="15"/>
      <c r="L331" s="15"/>
    </row>
    <row r="332" spans="9:12" ht="13.8">
      <c r="I332" s="14"/>
      <c r="J332" s="15"/>
      <c r="K332" s="15"/>
      <c r="L332" s="15"/>
    </row>
    <row r="333" spans="9:12" ht="13.8">
      <c r="I333" s="14"/>
      <c r="J333" s="15"/>
      <c r="K333" s="15"/>
      <c r="L333" s="15"/>
    </row>
    <row r="334" spans="9:12" ht="13.8">
      <c r="I334" s="14"/>
      <c r="J334" s="15"/>
      <c r="K334" s="15"/>
      <c r="L334" s="15"/>
    </row>
    <row r="335" spans="9:12" ht="13.8">
      <c r="I335" s="14"/>
      <c r="J335" s="15"/>
      <c r="K335" s="15"/>
      <c r="L335" s="15"/>
    </row>
    <row r="336" spans="9:12" ht="13.8">
      <c r="I336" s="14"/>
      <c r="J336" s="15"/>
      <c r="K336" s="15"/>
      <c r="L336" s="15"/>
    </row>
    <row r="337" spans="9:12" ht="13.8">
      <c r="I337" s="14"/>
      <c r="J337" s="15"/>
      <c r="K337" s="15"/>
      <c r="L337" s="15"/>
    </row>
    <row r="338" spans="9:12" ht="13.8">
      <c r="I338" s="14"/>
      <c r="J338" s="15"/>
      <c r="K338" s="15"/>
      <c r="L338" s="15"/>
    </row>
    <row r="339" spans="9:12" ht="13.8">
      <c r="I339" s="14"/>
      <c r="J339" s="15"/>
      <c r="K339" s="15"/>
      <c r="L339" s="15"/>
    </row>
    <row r="340" spans="9:12" ht="13.8">
      <c r="I340" s="14"/>
      <c r="J340" s="15"/>
      <c r="K340" s="15"/>
      <c r="L340" s="15"/>
    </row>
    <row r="341" spans="9:12" ht="13.8">
      <c r="I341" s="14"/>
      <c r="J341" s="15"/>
      <c r="K341" s="15"/>
      <c r="L341" s="15"/>
    </row>
    <row r="342" spans="9:12" ht="13.8">
      <c r="I342" s="14"/>
      <c r="J342" s="15"/>
      <c r="K342" s="15"/>
      <c r="L342" s="15"/>
    </row>
    <row r="343" spans="9:12" ht="13.8">
      <c r="I343" s="14"/>
      <c r="J343" s="15"/>
      <c r="K343" s="15"/>
      <c r="L343" s="15"/>
    </row>
    <row r="344" spans="9:12" ht="13.8">
      <c r="I344" s="14"/>
      <c r="J344" s="15"/>
      <c r="K344" s="15"/>
      <c r="L344" s="15"/>
    </row>
    <row r="345" spans="9:12" ht="13.8">
      <c r="I345" s="14"/>
      <c r="J345" s="15"/>
      <c r="K345" s="15"/>
      <c r="L345" s="15"/>
    </row>
    <row r="346" spans="9:12" ht="13.8">
      <c r="I346" s="14"/>
      <c r="J346" s="15"/>
      <c r="K346" s="15"/>
      <c r="L346" s="15"/>
    </row>
    <row r="347" spans="9:12" ht="13.8">
      <c r="I347" s="14"/>
      <c r="J347" s="15"/>
      <c r="K347" s="15"/>
      <c r="L347" s="15"/>
    </row>
    <row r="348" spans="9:12" ht="13.8">
      <c r="I348" s="14"/>
      <c r="J348" s="15"/>
      <c r="K348" s="15"/>
      <c r="L348" s="15"/>
    </row>
    <row r="349" spans="9:12" ht="13.8">
      <c r="I349" s="14"/>
      <c r="J349" s="15"/>
      <c r="K349" s="15"/>
      <c r="L349" s="15"/>
    </row>
    <row r="350" spans="9:12" ht="13.8">
      <c r="I350" s="14"/>
      <c r="J350" s="15"/>
      <c r="K350" s="15"/>
      <c r="L350" s="15"/>
    </row>
    <row r="351" spans="9:12" ht="13.8">
      <c r="I351" s="14"/>
      <c r="J351" s="15"/>
      <c r="K351" s="15"/>
      <c r="L351" s="15"/>
    </row>
    <row r="352" spans="9:12" ht="13.8">
      <c r="I352" s="14"/>
      <c r="J352" s="15"/>
      <c r="K352" s="15"/>
      <c r="L352" s="15"/>
    </row>
    <row r="353" spans="9:12" ht="13.8">
      <c r="I353" s="14"/>
      <c r="J353" s="15"/>
      <c r="K353" s="15"/>
      <c r="L353" s="15"/>
    </row>
    <row r="354" spans="9:12" ht="13.8">
      <c r="I354" s="14"/>
      <c r="J354" s="15"/>
      <c r="K354" s="15"/>
      <c r="L354" s="15"/>
    </row>
    <row r="355" spans="9:12" ht="13.8">
      <c r="I355" s="14"/>
      <c r="J355" s="15"/>
      <c r="K355" s="15"/>
      <c r="L355" s="15"/>
    </row>
    <row r="356" spans="9:12" ht="13.8">
      <c r="I356" s="14"/>
      <c r="J356" s="15"/>
      <c r="K356" s="15"/>
      <c r="L356" s="15"/>
    </row>
    <row r="357" spans="9:12" ht="13.8">
      <c r="I357" s="14"/>
      <c r="J357" s="15"/>
      <c r="K357" s="15"/>
      <c r="L357" s="15"/>
    </row>
    <row r="358" spans="9:12" ht="13.8">
      <c r="I358" s="14"/>
      <c r="J358" s="15"/>
      <c r="K358" s="15"/>
      <c r="L358" s="15"/>
    </row>
    <row r="359" spans="9:12" ht="13.8">
      <c r="I359" s="14"/>
      <c r="J359" s="15"/>
      <c r="K359" s="15"/>
      <c r="L359" s="15"/>
    </row>
    <row r="360" spans="9:12" ht="13.8">
      <c r="I360" s="14"/>
      <c r="J360" s="15"/>
      <c r="K360" s="15"/>
      <c r="L360" s="15"/>
    </row>
    <row r="361" spans="9:12" ht="13.8">
      <c r="I361" s="14"/>
      <c r="J361" s="15"/>
      <c r="K361" s="15"/>
      <c r="L361" s="15"/>
    </row>
    <row r="362" spans="9:12" ht="13.8">
      <c r="I362" s="14"/>
      <c r="J362" s="15"/>
      <c r="K362" s="15"/>
      <c r="L362" s="15"/>
    </row>
    <row r="363" spans="9:12" ht="13.8">
      <c r="I363" s="14"/>
      <c r="J363" s="15"/>
      <c r="K363" s="15"/>
      <c r="L363" s="15"/>
    </row>
    <row r="364" spans="9:12" ht="13.8">
      <c r="I364" s="14"/>
      <c r="J364" s="15"/>
      <c r="K364" s="15"/>
      <c r="L364" s="15"/>
    </row>
    <row r="365" spans="9:12" ht="13.8">
      <c r="I365" s="14"/>
      <c r="J365" s="15"/>
      <c r="K365" s="15"/>
      <c r="L365" s="15"/>
    </row>
    <row r="366" spans="9:12" ht="13.8">
      <c r="I366" s="14"/>
      <c r="J366" s="15"/>
      <c r="K366" s="15"/>
      <c r="L366" s="15"/>
    </row>
    <row r="367" spans="9:12" ht="13.8">
      <c r="I367" s="14"/>
      <c r="J367" s="15"/>
      <c r="K367" s="15"/>
      <c r="L367" s="15"/>
    </row>
    <row r="368" spans="9:12" ht="13.8">
      <c r="I368" s="14"/>
      <c r="J368" s="15"/>
      <c r="K368" s="15"/>
      <c r="L368" s="15"/>
    </row>
    <row r="369" spans="9:12" ht="13.8">
      <c r="I369" s="14"/>
      <c r="J369" s="15"/>
      <c r="K369" s="15"/>
      <c r="L369" s="15"/>
    </row>
    <row r="370" spans="9:12" ht="13.8">
      <c r="I370" s="14"/>
      <c r="J370" s="15"/>
      <c r="K370" s="15"/>
      <c r="L370" s="15"/>
    </row>
    <row r="371" spans="9:12" ht="13.8">
      <c r="I371" s="14"/>
      <c r="J371" s="15"/>
      <c r="K371" s="15"/>
      <c r="L371" s="15"/>
    </row>
    <row r="372" spans="9:12" ht="13.8">
      <c r="I372" s="14"/>
      <c r="J372" s="15"/>
      <c r="K372" s="15"/>
      <c r="L372" s="15"/>
    </row>
    <row r="373" spans="9:12" ht="13.8">
      <c r="I373" s="14"/>
      <c r="J373" s="15"/>
      <c r="K373" s="15"/>
      <c r="L373" s="15"/>
    </row>
    <row r="374" spans="9:12" ht="13.8">
      <c r="I374" s="14"/>
      <c r="J374" s="15"/>
      <c r="K374" s="15"/>
      <c r="L374" s="15"/>
    </row>
    <row r="375" spans="9:12" ht="13.8">
      <c r="I375" s="14"/>
      <c r="J375" s="15"/>
      <c r="K375" s="15"/>
      <c r="L375" s="15"/>
    </row>
    <row r="376" spans="9:12" ht="13.8">
      <c r="I376" s="14"/>
      <c r="J376" s="15"/>
      <c r="K376" s="15"/>
      <c r="L376" s="15"/>
    </row>
    <row r="377" spans="9:12" ht="13.8">
      <c r="I377" s="14"/>
      <c r="J377" s="15"/>
      <c r="K377" s="15"/>
      <c r="L377" s="15"/>
    </row>
    <row r="378" spans="9:12" ht="13.8">
      <c r="I378" s="14"/>
      <c r="J378" s="15"/>
      <c r="K378" s="15"/>
      <c r="L378" s="15"/>
    </row>
    <row r="379" spans="9:12" ht="13.8">
      <c r="I379" s="14"/>
      <c r="J379" s="15"/>
      <c r="K379" s="15"/>
      <c r="L379" s="15"/>
    </row>
    <row r="380" spans="9:12" ht="13.8">
      <c r="I380" s="14"/>
      <c r="J380" s="15"/>
      <c r="K380" s="15"/>
      <c r="L380" s="15"/>
    </row>
    <row r="381" spans="9:12" ht="13.8">
      <c r="I381" s="14"/>
      <c r="J381" s="15"/>
      <c r="K381" s="15"/>
      <c r="L381" s="15"/>
    </row>
    <row r="382" spans="9:12" ht="13.8">
      <c r="I382" s="14"/>
      <c r="J382" s="15"/>
      <c r="K382" s="15"/>
      <c r="L382" s="15"/>
    </row>
    <row r="383" spans="9:12" ht="13.8">
      <c r="I383" s="14"/>
      <c r="J383" s="15"/>
      <c r="K383" s="15"/>
      <c r="L383" s="15"/>
    </row>
    <row r="384" spans="9:12" ht="13.8">
      <c r="I384" s="14"/>
      <c r="J384" s="15"/>
      <c r="K384" s="15"/>
      <c r="L384" s="15"/>
    </row>
    <row r="385" spans="9:12" ht="13.8">
      <c r="I385" s="14"/>
      <c r="J385" s="15"/>
      <c r="K385" s="15"/>
      <c r="L385" s="15"/>
    </row>
    <row r="386" spans="9:12" ht="13.8">
      <c r="I386" s="14"/>
      <c r="J386" s="15"/>
      <c r="K386" s="15"/>
      <c r="L386" s="15"/>
    </row>
    <row r="387" spans="9:12" ht="13.8">
      <c r="I387" s="14"/>
      <c r="J387" s="15"/>
      <c r="K387" s="15"/>
      <c r="L387" s="15"/>
    </row>
    <row r="388" spans="9:12" ht="13.8">
      <c r="I388" s="14"/>
      <c r="J388" s="15"/>
      <c r="K388" s="15"/>
      <c r="L388" s="15"/>
    </row>
    <row r="389" spans="9:12" ht="13.8">
      <c r="I389" s="14"/>
      <c r="J389" s="15"/>
      <c r="K389" s="15"/>
      <c r="L389" s="15"/>
    </row>
    <row r="390" spans="9:12" ht="13.8">
      <c r="I390" s="14"/>
      <c r="J390" s="15"/>
      <c r="K390" s="15"/>
      <c r="L390" s="15"/>
    </row>
    <row r="391" spans="9:12" ht="13.8">
      <c r="I391" s="14"/>
      <c r="J391" s="15"/>
      <c r="K391" s="15"/>
      <c r="L391" s="15"/>
    </row>
    <row r="392" spans="9:12" ht="13.8">
      <c r="I392" s="14"/>
      <c r="J392" s="15"/>
      <c r="K392" s="15"/>
      <c r="L392" s="15"/>
    </row>
    <row r="393" spans="9:12" ht="13.8">
      <c r="I393" s="14"/>
      <c r="J393" s="15"/>
      <c r="K393" s="15"/>
      <c r="L393" s="15"/>
    </row>
    <row r="394" spans="9:12" ht="13.8">
      <c r="I394" s="14"/>
      <c r="J394" s="15"/>
      <c r="K394" s="15"/>
      <c r="L394" s="15"/>
    </row>
    <row r="395" spans="9:12" ht="13.8">
      <c r="I395" s="14"/>
      <c r="J395" s="15"/>
      <c r="K395" s="15"/>
      <c r="L395" s="15"/>
    </row>
    <row r="396" spans="9:12" ht="13.8">
      <c r="I396" s="14"/>
      <c r="J396" s="15"/>
      <c r="K396" s="15"/>
      <c r="L396" s="15"/>
    </row>
    <row r="397" spans="9:12" ht="13.8">
      <c r="I397" s="14"/>
      <c r="J397" s="15"/>
      <c r="K397" s="15"/>
      <c r="L397" s="15"/>
    </row>
    <row r="398" spans="9:12" ht="13.8">
      <c r="I398" s="14"/>
      <c r="J398" s="15"/>
      <c r="K398" s="15"/>
      <c r="L398" s="15"/>
    </row>
    <row r="399" spans="9:12" ht="13.8">
      <c r="I399" s="14"/>
      <c r="J399" s="15"/>
      <c r="K399" s="15"/>
      <c r="L399" s="15"/>
    </row>
    <row r="400" spans="9:12" ht="13.8">
      <c r="I400" s="14"/>
      <c r="J400" s="15"/>
      <c r="K400" s="15"/>
      <c r="L400" s="15"/>
    </row>
    <row r="401" spans="9:12" ht="13.8">
      <c r="I401" s="14"/>
      <c r="J401" s="15"/>
      <c r="K401" s="15"/>
      <c r="L401" s="15"/>
    </row>
    <row r="402" spans="9:12" ht="13.8">
      <c r="I402" s="14"/>
      <c r="J402" s="15"/>
      <c r="K402" s="15"/>
      <c r="L402" s="15"/>
    </row>
    <row r="403" spans="9:12" ht="13.8">
      <c r="I403" s="14"/>
      <c r="J403" s="15"/>
      <c r="K403" s="15"/>
      <c r="L403" s="15"/>
    </row>
    <row r="404" spans="9:12" ht="13.8">
      <c r="I404" s="14"/>
      <c r="J404" s="15"/>
      <c r="K404" s="15"/>
      <c r="L404" s="15"/>
    </row>
    <row r="405" spans="9:12" ht="13.8">
      <c r="I405" s="14"/>
      <c r="J405" s="15"/>
      <c r="K405" s="15"/>
      <c r="L405" s="15"/>
    </row>
    <row r="406" spans="9:12" ht="13.8">
      <c r="I406" s="14"/>
      <c r="J406" s="15"/>
      <c r="K406" s="15"/>
      <c r="L406" s="15"/>
    </row>
    <row r="407" spans="9:12" ht="13.8">
      <c r="I407" s="14"/>
      <c r="J407" s="15"/>
      <c r="K407" s="15"/>
      <c r="L407" s="15"/>
    </row>
    <row r="408" spans="9:12" ht="13.8">
      <c r="I408" s="14"/>
      <c r="J408" s="15"/>
      <c r="K408" s="15"/>
      <c r="L408" s="15"/>
    </row>
    <row r="409" spans="9:12" ht="13.8">
      <c r="I409" s="14"/>
      <c r="J409" s="15"/>
      <c r="K409" s="15"/>
      <c r="L409" s="15"/>
    </row>
    <row r="410" spans="9:12" ht="13.8">
      <c r="I410" s="14"/>
      <c r="J410" s="15"/>
      <c r="K410" s="15"/>
      <c r="L410" s="15"/>
    </row>
    <row r="411" spans="9:12" ht="13.8">
      <c r="I411" s="14"/>
      <c r="J411" s="15"/>
      <c r="K411" s="15"/>
      <c r="L411" s="15"/>
    </row>
    <row r="412" spans="9:12" ht="13.8">
      <c r="I412" s="14"/>
      <c r="J412" s="15"/>
      <c r="K412" s="15"/>
      <c r="L412" s="15"/>
    </row>
    <row r="413" spans="9:12" ht="13.8">
      <c r="I413" s="14"/>
      <c r="J413" s="15"/>
      <c r="K413" s="15"/>
      <c r="L413" s="15"/>
    </row>
    <row r="414" spans="9:12" ht="13.8">
      <c r="I414" s="14"/>
      <c r="J414" s="15"/>
      <c r="K414" s="15"/>
      <c r="L414" s="15"/>
    </row>
    <row r="415" spans="9:12" ht="13.8">
      <c r="I415" s="14"/>
      <c r="J415" s="15"/>
      <c r="K415" s="15"/>
      <c r="L415" s="15"/>
    </row>
    <row r="416" spans="9:12" ht="13.8">
      <c r="I416" s="14"/>
      <c r="J416" s="15"/>
      <c r="K416" s="15"/>
      <c r="L416" s="15"/>
    </row>
    <row r="417" spans="9:12" ht="13.8">
      <c r="I417" s="14"/>
      <c r="J417" s="15"/>
      <c r="K417" s="15"/>
      <c r="L417" s="15"/>
    </row>
    <row r="418" spans="9:12" ht="13.8">
      <c r="I418" s="14"/>
      <c r="J418" s="15"/>
      <c r="K418" s="15"/>
      <c r="L418" s="15"/>
    </row>
    <row r="419" spans="9:12" ht="13.8">
      <c r="I419" s="14"/>
      <c r="J419" s="15"/>
      <c r="K419" s="15"/>
      <c r="L419" s="15"/>
    </row>
    <row r="420" spans="9:12" ht="13.8">
      <c r="I420" s="14"/>
      <c r="J420" s="15"/>
      <c r="K420" s="15"/>
      <c r="L420" s="15"/>
    </row>
    <row r="421" spans="9:12" ht="13.8">
      <c r="I421" s="14"/>
      <c r="J421" s="15"/>
      <c r="K421" s="15"/>
      <c r="L421" s="15"/>
    </row>
    <row r="422" spans="9:12" ht="13.8">
      <c r="I422" s="14"/>
      <c r="J422" s="15"/>
      <c r="K422" s="15"/>
      <c r="L422" s="15"/>
    </row>
    <row r="423" spans="9:12" ht="13.8">
      <c r="I423" s="14"/>
      <c r="J423" s="15"/>
      <c r="K423" s="15"/>
      <c r="L423" s="15"/>
    </row>
    <row r="424" spans="9:12" ht="13.8">
      <c r="I424" s="14"/>
      <c r="J424" s="15"/>
      <c r="K424" s="15"/>
      <c r="L424" s="15"/>
    </row>
    <row r="425" spans="9:12" ht="13.8">
      <c r="I425" s="14"/>
      <c r="J425" s="15"/>
      <c r="K425" s="15"/>
      <c r="L425" s="15"/>
    </row>
    <row r="426" spans="9:12" ht="13.8">
      <c r="I426" s="14"/>
      <c r="J426" s="15"/>
      <c r="K426" s="15"/>
      <c r="L426" s="15"/>
    </row>
    <row r="427" spans="9:12" ht="13.8">
      <c r="I427" s="14"/>
      <c r="J427" s="15"/>
      <c r="K427" s="15"/>
      <c r="L427" s="15"/>
    </row>
    <row r="428" spans="9:12" ht="13.8">
      <c r="I428" s="14"/>
      <c r="J428" s="15"/>
      <c r="K428" s="15"/>
      <c r="L428" s="15"/>
    </row>
    <row r="429" spans="9:12" ht="13.8">
      <c r="I429" s="14"/>
      <c r="J429" s="15"/>
      <c r="K429" s="15"/>
      <c r="L429" s="15"/>
    </row>
    <row r="430" spans="9:12" ht="13.8">
      <c r="I430" s="14"/>
      <c r="J430" s="15"/>
      <c r="K430" s="15"/>
      <c r="L430" s="15"/>
    </row>
    <row r="431" spans="9:12" ht="13.8">
      <c r="I431" s="14"/>
      <c r="J431" s="15"/>
      <c r="K431" s="15"/>
      <c r="L431" s="15"/>
    </row>
    <row r="432" spans="9:12" ht="13.8">
      <c r="I432" s="14"/>
      <c r="J432" s="15"/>
      <c r="K432" s="15"/>
      <c r="L432" s="15"/>
    </row>
    <row r="433" spans="9:12" ht="13.8">
      <c r="I433" s="14"/>
      <c r="J433" s="15"/>
      <c r="K433" s="15"/>
      <c r="L433" s="15"/>
    </row>
    <row r="434" spans="9:12" ht="13.8">
      <c r="I434" s="14"/>
      <c r="J434" s="15"/>
      <c r="K434" s="15"/>
      <c r="L434" s="15"/>
    </row>
    <row r="435" spans="9:12" ht="13.8">
      <c r="I435" s="14"/>
      <c r="J435" s="15"/>
      <c r="K435" s="15"/>
      <c r="L435" s="15"/>
    </row>
    <row r="436" spans="9:12" ht="13.8">
      <c r="I436" s="14"/>
      <c r="J436" s="15"/>
      <c r="K436" s="15"/>
      <c r="L436" s="15"/>
    </row>
    <row r="437" spans="9:12" ht="13.8">
      <c r="I437" s="14"/>
      <c r="J437" s="15"/>
      <c r="K437" s="15"/>
      <c r="L437" s="15"/>
    </row>
    <row r="438" spans="9:12" ht="13.8">
      <c r="I438" s="14"/>
      <c r="J438" s="15"/>
      <c r="K438" s="15"/>
      <c r="L438" s="15"/>
    </row>
    <row r="439" spans="9:12" ht="13.8">
      <c r="I439" s="14"/>
      <c r="J439" s="15"/>
      <c r="K439" s="15"/>
      <c r="L439" s="15"/>
    </row>
    <row r="440" spans="9:12" ht="13.8">
      <c r="I440" s="14"/>
      <c r="J440" s="15"/>
      <c r="K440" s="15"/>
      <c r="L440" s="15"/>
    </row>
    <row r="441" spans="9:12" ht="13.8">
      <c r="I441" s="14"/>
      <c r="J441" s="15"/>
      <c r="K441" s="15"/>
      <c r="L441" s="15"/>
    </row>
    <row r="442" spans="9:12" ht="13.8">
      <c r="I442" s="14"/>
      <c r="J442" s="15"/>
      <c r="K442" s="15"/>
      <c r="L442" s="15"/>
    </row>
    <row r="443" spans="9:12" ht="13.8">
      <c r="I443" s="14"/>
      <c r="J443" s="15"/>
      <c r="K443" s="15"/>
      <c r="L443" s="15"/>
    </row>
    <row r="444" spans="9:12" ht="13.8">
      <c r="I444" s="14"/>
      <c r="J444" s="15"/>
      <c r="K444" s="15"/>
      <c r="L444" s="15"/>
    </row>
    <row r="445" spans="9:12" ht="13.8">
      <c r="I445" s="14"/>
      <c r="J445" s="15"/>
      <c r="K445" s="15"/>
      <c r="L445" s="15"/>
    </row>
    <row r="446" spans="9:12" ht="13.8">
      <c r="I446" s="14"/>
      <c r="J446" s="15"/>
      <c r="K446" s="15"/>
      <c r="L446" s="15"/>
    </row>
    <row r="447" spans="9:12" ht="13.8">
      <c r="I447" s="14"/>
      <c r="J447" s="15"/>
      <c r="K447" s="15"/>
      <c r="L447" s="15"/>
    </row>
    <row r="448" spans="9:12" ht="13.8">
      <c r="I448" s="14"/>
      <c r="J448" s="15"/>
      <c r="K448" s="15"/>
      <c r="L448" s="15"/>
    </row>
    <row r="449" spans="9:12" ht="13.8">
      <c r="I449" s="14"/>
      <c r="J449" s="15"/>
      <c r="K449" s="15"/>
      <c r="L449" s="15"/>
    </row>
    <row r="450" spans="9:12" ht="13.8">
      <c r="I450" s="14"/>
      <c r="J450" s="15"/>
      <c r="K450" s="15"/>
      <c r="L450" s="15"/>
    </row>
    <row r="451" spans="9:12" ht="13.8">
      <c r="I451" s="14"/>
      <c r="J451" s="15"/>
      <c r="K451" s="15"/>
      <c r="L451" s="15"/>
    </row>
    <row r="452" spans="9:12" ht="13.8">
      <c r="I452" s="14"/>
      <c r="J452" s="15"/>
      <c r="K452" s="15"/>
      <c r="L452" s="15"/>
    </row>
    <row r="453" spans="9:12" ht="13.8">
      <c r="I453" s="14"/>
      <c r="J453" s="15"/>
      <c r="K453" s="15"/>
      <c r="L453" s="15"/>
    </row>
    <row r="454" spans="9:12" ht="13.8">
      <c r="I454" s="14"/>
      <c r="J454" s="15"/>
      <c r="K454" s="15"/>
      <c r="L454" s="15"/>
    </row>
    <row r="455" spans="9:12" ht="13.8">
      <c r="I455" s="14"/>
      <c r="J455" s="15"/>
      <c r="K455" s="15"/>
      <c r="L455" s="15"/>
    </row>
    <row r="456" spans="9:12" ht="13.8">
      <c r="I456" s="14"/>
      <c r="J456" s="15"/>
      <c r="K456" s="15"/>
      <c r="L456" s="15"/>
    </row>
    <row r="457" spans="9:12" ht="13.8">
      <c r="I457" s="14"/>
      <c r="J457" s="15"/>
      <c r="K457" s="15"/>
      <c r="L457" s="15"/>
    </row>
    <row r="458" spans="9:12" ht="13.8">
      <c r="I458" s="14"/>
      <c r="J458" s="15"/>
      <c r="K458" s="15"/>
      <c r="L458" s="15"/>
    </row>
    <row r="459" spans="9:12" ht="13.8">
      <c r="I459" s="14"/>
      <c r="J459" s="15"/>
      <c r="K459" s="15"/>
      <c r="L459" s="15"/>
    </row>
    <row r="460" spans="9:12" ht="13.8">
      <c r="I460" s="14"/>
      <c r="J460" s="15"/>
      <c r="K460" s="15"/>
      <c r="L460" s="15"/>
    </row>
    <row r="461" spans="9:12" ht="13.8">
      <c r="I461" s="14"/>
      <c r="J461" s="15"/>
      <c r="K461" s="15"/>
      <c r="L461" s="15"/>
    </row>
    <row r="462" spans="9:12" ht="13.8">
      <c r="I462" s="14"/>
      <c r="J462" s="15"/>
      <c r="K462" s="15"/>
      <c r="L462" s="15"/>
    </row>
    <row r="463" spans="9:12" ht="13.8">
      <c r="I463" s="14"/>
      <c r="J463" s="15"/>
      <c r="K463" s="15"/>
      <c r="L463" s="15"/>
    </row>
    <row r="464" spans="9:12" ht="13.8">
      <c r="I464" s="14"/>
      <c r="J464" s="15"/>
      <c r="K464" s="15"/>
      <c r="L464" s="15"/>
    </row>
    <row r="465" spans="9:12" ht="13.8">
      <c r="I465" s="14"/>
      <c r="J465" s="15"/>
      <c r="K465" s="15"/>
      <c r="L465" s="15"/>
    </row>
    <row r="466" spans="9:12" ht="13.8">
      <c r="I466" s="14"/>
      <c r="J466" s="15"/>
      <c r="K466" s="15"/>
      <c r="L466" s="15"/>
    </row>
    <row r="467" spans="9:12" ht="13.8">
      <c r="I467" s="14"/>
      <c r="J467" s="15"/>
      <c r="K467" s="15"/>
      <c r="L467" s="15"/>
    </row>
    <row r="468" spans="9:12" ht="13.8">
      <c r="I468" s="14"/>
      <c r="J468" s="15"/>
      <c r="K468" s="15"/>
      <c r="L468" s="15"/>
    </row>
    <row r="469" spans="9:12" ht="13.8">
      <c r="I469" s="14"/>
      <c r="J469" s="15"/>
      <c r="K469" s="15"/>
      <c r="L469" s="15"/>
    </row>
    <row r="470" spans="9:12" ht="13.8">
      <c r="I470" s="14"/>
      <c r="J470" s="15"/>
      <c r="K470" s="15"/>
      <c r="L470" s="15"/>
    </row>
    <row r="471" spans="9:12" ht="13.8">
      <c r="I471" s="14"/>
      <c r="J471" s="15"/>
      <c r="K471" s="15"/>
      <c r="L471" s="15"/>
    </row>
    <row r="472" spans="9:12" ht="13.8">
      <c r="I472" s="14"/>
      <c r="J472" s="15"/>
      <c r="K472" s="15"/>
      <c r="L472" s="15"/>
    </row>
    <row r="473" spans="9:12" ht="13.8">
      <c r="I473" s="14"/>
      <c r="J473" s="15"/>
      <c r="K473" s="15"/>
      <c r="L473" s="15"/>
    </row>
    <row r="474" spans="9:12" ht="13.8">
      <c r="I474" s="14"/>
      <c r="J474" s="15"/>
      <c r="K474" s="15"/>
      <c r="L474" s="15"/>
    </row>
    <row r="475" spans="9:12" ht="13.8">
      <c r="I475" s="14"/>
      <c r="J475" s="15"/>
      <c r="K475" s="15"/>
      <c r="L475" s="15"/>
    </row>
    <row r="476" spans="9:12" ht="13.8">
      <c r="I476" s="14"/>
      <c r="J476" s="15"/>
      <c r="K476" s="15"/>
      <c r="L476" s="15"/>
    </row>
    <row r="477" spans="9:12" ht="13.8">
      <c r="I477" s="14"/>
      <c r="J477" s="15"/>
      <c r="K477" s="15"/>
      <c r="L477" s="15"/>
    </row>
    <row r="478" spans="9:12" ht="13.8">
      <c r="I478" s="14"/>
      <c r="J478" s="15"/>
      <c r="K478" s="15"/>
      <c r="L478" s="15"/>
    </row>
    <row r="479" spans="9:12" ht="13.8">
      <c r="I479" s="14"/>
      <c r="J479" s="15"/>
      <c r="K479" s="15"/>
      <c r="L479" s="15"/>
    </row>
    <row r="480" spans="9:12" ht="13.8">
      <c r="I480" s="14"/>
      <c r="J480" s="15"/>
      <c r="K480" s="15"/>
      <c r="L480" s="15"/>
    </row>
    <row r="481" spans="9:12" ht="13.8">
      <c r="I481" s="14"/>
      <c r="J481" s="15"/>
      <c r="K481" s="15"/>
      <c r="L481" s="15"/>
    </row>
    <row r="482" spans="9:12" ht="13.8">
      <c r="I482" s="14"/>
      <c r="J482" s="15"/>
      <c r="K482" s="15"/>
      <c r="L482" s="15"/>
    </row>
    <row r="483" spans="9:12" ht="13.8">
      <c r="I483" s="14"/>
      <c r="J483" s="15"/>
      <c r="K483" s="15"/>
      <c r="L483" s="15"/>
    </row>
    <row r="484" spans="9:12" ht="13.8">
      <c r="I484" s="14"/>
      <c r="J484" s="15"/>
      <c r="K484" s="15"/>
      <c r="L484" s="15"/>
    </row>
    <row r="485" spans="9:12" ht="13.8">
      <c r="I485" s="14"/>
      <c r="J485" s="15"/>
      <c r="K485" s="15"/>
      <c r="L485" s="15"/>
    </row>
    <row r="486" spans="9:12" ht="13.8">
      <c r="I486" s="14"/>
      <c r="J486" s="15"/>
      <c r="K486" s="15"/>
      <c r="L486" s="15"/>
    </row>
    <row r="487" spans="9:12" ht="13.8">
      <c r="I487" s="14"/>
      <c r="J487" s="15"/>
      <c r="K487" s="15"/>
      <c r="L487" s="15"/>
    </row>
    <row r="488" spans="9:12" ht="13.8">
      <c r="I488" s="14"/>
      <c r="J488" s="15"/>
      <c r="K488" s="15"/>
      <c r="L488" s="15"/>
    </row>
    <row r="489" spans="9:12" ht="13.8">
      <c r="I489" s="14"/>
      <c r="J489" s="15"/>
      <c r="K489" s="15"/>
      <c r="L489" s="15"/>
    </row>
    <row r="490" spans="9:12" ht="13.8">
      <c r="I490" s="14"/>
      <c r="J490" s="15"/>
      <c r="K490" s="15"/>
      <c r="L490" s="15"/>
    </row>
    <row r="491" spans="9:12" ht="13.8">
      <c r="I491" s="14"/>
      <c r="J491" s="15"/>
      <c r="K491" s="15"/>
      <c r="L491" s="15"/>
    </row>
    <row r="492" spans="9:12" ht="13.8">
      <c r="I492" s="14"/>
      <c r="J492" s="15"/>
      <c r="K492" s="15"/>
      <c r="L492" s="15"/>
    </row>
    <row r="493" spans="9:12" ht="13.8">
      <c r="I493" s="14"/>
      <c r="J493" s="15"/>
      <c r="K493" s="15"/>
      <c r="L493" s="15"/>
    </row>
    <row r="494" spans="9:12" ht="13.8">
      <c r="I494" s="14"/>
      <c r="J494" s="15"/>
      <c r="K494" s="15"/>
      <c r="L494" s="15"/>
    </row>
    <row r="495" spans="9:12" ht="13.8">
      <c r="I495" s="14"/>
      <c r="J495" s="15"/>
      <c r="K495" s="15"/>
      <c r="L495" s="15"/>
    </row>
    <row r="496" spans="9:12" ht="13.8">
      <c r="I496" s="14"/>
      <c r="J496" s="15"/>
      <c r="K496" s="15"/>
      <c r="L496" s="15"/>
    </row>
    <row r="497" spans="9:12" ht="13.8">
      <c r="I497" s="14"/>
      <c r="J497" s="15"/>
      <c r="K497" s="15"/>
      <c r="L497" s="15"/>
    </row>
    <row r="498" spans="9:12" ht="13.8">
      <c r="I498" s="14"/>
      <c r="J498" s="15"/>
      <c r="K498" s="15"/>
      <c r="L498" s="15"/>
    </row>
    <row r="499" spans="9:12" ht="13.8">
      <c r="I499" s="14"/>
      <c r="J499" s="15"/>
      <c r="K499" s="15"/>
      <c r="L499" s="15"/>
    </row>
    <row r="500" spans="9:12" ht="13.8">
      <c r="I500" s="14"/>
      <c r="J500" s="15"/>
      <c r="K500" s="15"/>
      <c r="L500" s="15"/>
    </row>
    <row r="501" spans="9:12" ht="13.8">
      <c r="I501" s="14"/>
      <c r="J501" s="15"/>
      <c r="K501" s="15"/>
      <c r="L501" s="15"/>
    </row>
    <row r="502" spans="9:12" ht="13.8">
      <c r="I502" s="14"/>
      <c r="J502" s="15"/>
      <c r="K502" s="15"/>
      <c r="L502" s="15"/>
    </row>
    <row r="503" spans="9:12" ht="13.8">
      <c r="I503" s="14"/>
      <c r="J503" s="15"/>
      <c r="K503" s="15"/>
      <c r="L503" s="15"/>
    </row>
    <row r="504" spans="9:12" ht="13.8">
      <c r="I504" s="14"/>
      <c r="J504" s="15"/>
      <c r="K504" s="15"/>
      <c r="L504" s="15"/>
    </row>
    <row r="505" spans="9:12" ht="13.8">
      <c r="I505" s="14"/>
      <c r="J505" s="15"/>
      <c r="K505" s="15"/>
      <c r="L505" s="15"/>
    </row>
    <row r="506" spans="9:12" ht="13.8">
      <c r="I506" s="14"/>
      <c r="J506" s="15"/>
      <c r="K506" s="15"/>
      <c r="L506" s="15"/>
    </row>
    <row r="507" spans="9:12" ht="13.8">
      <c r="I507" s="14"/>
      <c r="J507" s="15"/>
      <c r="K507" s="15"/>
      <c r="L507" s="15"/>
    </row>
    <row r="508" spans="9:12" ht="13.8">
      <c r="I508" s="14"/>
      <c r="J508" s="15"/>
      <c r="K508" s="15"/>
      <c r="L508" s="15"/>
    </row>
    <row r="509" spans="9:12" ht="13.8">
      <c r="I509" s="14"/>
      <c r="J509" s="15"/>
      <c r="K509" s="15"/>
      <c r="L509" s="15"/>
    </row>
    <row r="510" spans="9:12" ht="13.8">
      <c r="I510" s="14"/>
      <c r="J510" s="15"/>
      <c r="K510" s="15"/>
      <c r="L510" s="15"/>
    </row>
    <row r="511" spans="9:12" ht="13.8">
      <c r="I511" s="14"/>
      <c r="J511" s="15"/>
      <c r="K511" s="15"/>
      <c r="L511" s="15"/>
    </row>
    <row r="512" spans="9:12" ht="13.8">
      <c r="I512" s="14"/>
      <c r="J512" s="15"/>
      <c r="K512" s="15"/>
      <c r="L512" s="15"/>
    </row>
    <row r="513" spans="9:12" ht="13.8">
      <c r="I513" s="14"/>
      <c r="J513" s="15"/>
      <c r="K513" s="15"/>
      <c r="L513" s="15"/>
    </row>
    <row r="514" spans="9:12" ht="13.8">
      <c r="I514" s="14"/>
      <c r="J514" s="15"/>
      <c r="K514" s="15"/>
      <c r="L514" s="15"/>
    </row>
    <row r="515" spans="9:12" ht="13.8">
      <c r="I515" s="14"/>
      <c r="J515" s="15"/>
      <c r="K515" s="15"/>
      <c r="L515" s="15"/>
    </row>
    <row r="516" spans="9:12" ht="13.8">
      <c r="I516" s="14"/>
      <c r="J516" s="15"/>
      <c r="K516" s="15"/>
      <c r="L516" s="15"/>
    </row>
    <row r="517" spans="9:12" ht="13.8">
      <c r="I517" s="14"/>
      <c r="J517" s="15"/>
      <c r="K517" s="15"/>
      <c r="L517" s="15"/>
    </row>
    <row r="518" spans="9:12" ht="13.8">
      <c r="I518" s="14"/>
      <c r="J518" s="15"/>
      <c r="K518" s="15"/>
      <c r="L518" s="15"/>
    </row>
    <row r="519" spans="9:12" ht="13.8">
      <c r="I519" s="14"/>
      <c r="J519" s="15"/>
      <c r="K519" s="15"/>
      <c r="L519" s="15"/>
    </row>
    <row r="520" spans="9:12" ht="13.8">
      <c r="I520" s="14"/>
      <c r="J520" s="15"/>
      <c r="K520" s="15"/>
      <c r="L520" s="15"/>
    </row>
    <row r="521" spans="9:12" ht="13.8">
      <c r="I521" s="14"/>
      <c r="J521" s="15"/>
      <c r="K521" s="15"/>
      <c r="L521" s="15"/>
    </row>
    <row r="522" spans="9:12" ht="13.8">
      <c r="I522" s="14"/>
      <c r="J522" s="15"/>
      <c r="K522" s="15"/>
      <c r="L522" s="15"/>
    </row>
    <row r="523" spans="9:12" ht="13.8">
      <c r="I523" s="14"/>
      <c r="J523" s="15"/>
      <c r="K523" s="15"/>
      <c r="L523" s="15"/>
    </row>
    <row r="524" spans="9:12" ht="13.8">
      <c r="I524" s="14"/>
      <c r="J524" s="15"/>
      <c r="K524" s="15"/>
      <c r="L524" s="15"/>
    </row>
    <row r="525" spans="9:12" ht="13.8">
      <c r="I525" s="14"/>
      <c r="J525" s="15"/>
      <c r="K525" s="15"/>
      <c r="L525" s="15"/>
    </row>
    <row r="526" spans="9:12" ht="13.8">
      <c r="I526" s="14"/>
      <c r="J526" s="15"/>
      <c r="K526" s="15"/>
      <c r="L526" s="15"/>
    </row>
    <row r="527" spans="9:12" ht="13.8">
      <c r="I527" s="14"/>
      <c r="J527" s="15"/>
      <c r="K527" s="15"/>
      <c r="L527" s="15"/>
    </row>
    <row r="528" spans="9:12" ht="13.8">
      <c r="I528" s="14"/>
      <c r="J528" s="15"/>
      <c r="K528" s="15"/>
      <c r="L528" s="15"/>
    </row>
    <row r="529" spans="9:12" ht="13.8">
      <c r="I529" s="14"/>
      <c r="J529" s="15"/>
      <c r="K529" s="15"/>
      <c r="L529" s="15"/>
    </row>
    <row r="530" spans="9:12" ht="13.8">
      <c r="I530" s="14"/>
      <c r="J530" s="15"/>
      <c r="K530" s="15"/>
      <c r="L530" s="15"/>
    </row>
    <row r="531" spans="9:12" ht="13.8">
      <c r="I531" s="14"/>
      <c r="J531" s="15"/>
      <c r="K531" s="15"/>
      <c r="L531" s="15"/>
    </row>
    <row r="532" spans="9:12" ht="13.8">
      <c r="I532" s="14"/>
      <c r="J532" s="15"/>
      <c r="K532" s="15"/>
      <c r="L532" s="15"/>
    </row>
    <row r="533" spans="9:12" ht="13.8">
      <c r="I533" s="14"/>
      <c r="J533" s="15"/>
      <c r="K533" s="15"/>
      <c r="L533" s="15"/>
    </row>
    <row r="534" spans="9:12" ht="13.8">
      <c r="I534" s="14"/>
      <c r="J534" s="15"/>
      <c r="K534" s="15"/>
      <c r="L534" s="15"/>
    </row>
    <row r="535" spans="9:12" ht="13.8">
      <c r="I535" s="14"/>
      <c r="J535" s="15"/>
      <c r="K535" s="15"/>
      <c r="L535" s="15"/>
    </row>
    <row r="536" spans="9:12" ht="13.8">
      <c r="I536" s="14"/>
      <c r="J536" s="15"/>
      <c r="K536" s="15"/>
      <c r="L536" s="15"/>
    </row>
    <row r="537" spans="9:12" ht="13.8">
      <c r="I537" s="14"/>
      <c r="J537" s="15"/>
      <c r="K537" s="15"/>
      <c r="L537" s="15"/>
    </row>
    <row r="538" spans="9:12" ht="13.8">
      <c r="I538" s="14"/>
      <c r="J538" s="15"/>
      <c r="K538" s="15"/>
      <c r="L538" s="15"/>
    </row>
    <row r="539" spans="9:12" ht="13.8">
      <c r="I539" s="14"/>
      <c r="J539" s="15"/>
      <c r="K539" s="15"/>
      <c r="L539" s="15"/>
    </row>
    <row r="540" spans="9:12" ht="13.8">
      <c r="I540" s="14"/>
      <c r="J540" s="15"/>
      <c r="K540" s="15"/>
      <c r="L540" s="15"/>
    </row>
    <row r="541" spans="9:12" ht="13.8">
      <c r="I541" s="14"/>
      <c r="J541" s="15"/>
      <c r="K541" s="15"/>
      <c r="L541" s="15"/>
    </row>
    <row r="542" spans="9:12" ht="13.8">
      <c r="I542" s="14"/>
      <c r="J542" s="15"/>
      <c r="K542" s="15"/>
      <c r="L542" s="15"/>
    </row>
    <row r="543" spans="9:12" ht="13.8">
      <c r="I543" s="14"/>
      <c r="J543" s="15"/>
      <c r="K543" s="15"/>
      <c r="L543" s="15"/>
    </row>
    <row r="544" spans="9:12" ht="13.8">
      <c r="I544" s="14"/>
      <c r="J544" s="15"/>
      <c r="K544" s="15"/>
      <c r="L544" s="15"/>
    </row>
    <row r="545" spans="9:12" ht="13.8">
      <c r="I545" s="14"/>
      <c r="J545" s="15"/>
      <c r="K545" s="15"/>
      <c r="L545" s="15"/>
    </row>
    <row r="546" spans="9:12" ht="13.8">
      <c r="I546" s="14"/>
      <c r="J546" s="15"/>
      <c r="K546" s="15"/>
      <c r="L546" s="15"/>
    </row>
    <row r="547" spans="9:12" ht="13.8">
      <c r="I547" s="14"/>
      <c r="J547" s="15"/>
      <c r="K547" s="15"/>
      <c r="L547" s="15"/>
    </row>
    <row r="548" spans="9:12" ht="13.8">
      <c r="I548" s="14"/>
      <c r="J548" s="15"/>
      <c r="K548" s="15"/>
      <c r="L548" s="15"/>
    </row>
    <row r="549" spans="9:12" ht="13.8">
      <c r="I549" s="14"/>
      <c r="J549" s="15"/>
      <c r="K549" s="15"/>
      <c r="L549" s="15"/>
    </row>
    <row r="550" spans="9:12" ht="13.8">
      <c r="I550" s="14"/>
      <c r="J550" s="15"/>
      <c r="K550" s="15"/>
      <c r="L550" s="15"/>
    </row>
    <row r="551" spans="9:12" ht="13.8">
      <c r="I551" s="14"/>
      <c r="J551" s="15"/>
      <c r="K551" s="15"/>
      <c r="L551" s="15"/>
    </row>
    <row r="552" spans="9:12" ht="13.8">
      <c r="I552" s="14"/>
      <c r="J552" s="15"/>
      <c r="K552" s="15"/>
      <c r="L552" s="15"/>
    </row>
    <row r="553" spans="9:12" ht="13.8">
      <c r="I553" s="14"/>
      <c r="J553" s="15"/>
      <c r="K553" s="15"/>
      <c r="L553" s="15"/>
    </row>
    <row r="554" spans="9:12" ht="13.8">
      <c r="I554" s="14"/>
      <c r="J554" s="15"/>
      <c r="K554" s="15"/>
      <c r="L554" s="15"/>
    </row>
    <row r="555" spans="9:12" ht="13.8">
      <c r="I555" s="14"/>
      <c r="J555" s="15"/>
      <c r="K555" s="15"/>
      <c r="L555" s="15"/>
    </row>
    <row r="556" spans="9:12" ht="13.8">
      <c r="I556" s="14"/>
      <c r="J556" s="15"/>
      <c r="K556" s="15"/>
      <c r="L556" s="15"/>
    </row>
    <row r="557" spans="9:12" ht="13.8">
      <c r="I557" s="14"/>
      <c r="J557" s="15"/>
      <c r="K557" s="15"/>
      <c r="L557" s="15"/>
    </row>
    <row r="558" spans="9:12" ht="13.8">
      <c r="I558" s="14"/>
      <c r="J558" s="15"/>
      <c r="K558" s="15"/>
      <c r="L558" s="15"/>
    </row>
    <row r="559" spans="9:12" ht="13.8">
      <c r="I559" s="14"/>
      <c r="J559" s="15"/>
      <c r="K559" s="15"/>
      <c r="L559" s="15"/>
    </row>
    <row r="560" spans="9:12" ht="13.8">
      <c r="I560" s="14"/>
      <c r="J560" s="15"/>
      <c r="K560" s="15"/>
      <c r="L560" s="15"/>
    </row>
    <row r="561" spans="9:12" ht="13.8">
      <c r="I561" s="14"/>
      <c r="J561" s="15"/>
      <c r="K561" s="15"/>
      <c r="L561" s="15"/>
    </row>
    <row r="562" spans="9:12" ht="13.8">
      <c r="I562" s="14"/>
      <c r="J562" s="15"/>
      <c r="K562" s="15"/>
      <c r="L562" s="15"/>
    </row>
    <row r="563" spans="9:12" ht="13.8">
      <c r="I563" s="14"/>
      <c r="J563" s="15"/>
      <c r="K563" s="15"/>
      <c r="L563" s="15"/>
    </row>
    <row r="564" spans="9:12" ht="13.8">
      <c r="I564" s="14"/>
      <c r="J564" s="15"/>
      <c r="K564" s="15"/>
      <c r="L564" s="15"/>
    </row>
    <row r="565" spans="9:12" ht="13.8">
      <c r="I565" s="14"/>
      <c r="J565" s="15"/>
      <c r="K565" s="15"/>
      <c r="L565" s="15"/>
    </row>
    <row r="566" spans="9:12" ht="13.8">
      <c r="I566" s="14"/>
      <c r="J566" s="15"/>
      <c r="K566" s="15"/>
      <c r="L566" s="15"/>
    </row>
    <row r="567" spans="9:12" ht="13.8">
      <c r="I567" s="14"/>
      <c r="J567" s="15"/>
      <c r="K567" s="15"/>
      <c r="L567" s="15"/>
    </row>
    <row r="568" spans="9:12" ht="13.8">
      <c r="I568" s="14"/>
      <c r="J568" s="15"/>
      <c r="K568" s="15"/>
      <c r="L568" s="15"/>
    </row>
    <row r="569" spans="9:12" ht="13.8">
      <c r="I569" s="14"/>
      <c r="J569" s="15"/>
      <c r="K569" s="15"/>
      <c r="L569" s="15"/>
    </row>
    <row r="570" spans="9:12" ht="13.8">
      <c r="I570" s="14"/>
      <c r="J570" s="15"/>
      <c r="K570" s="15"/>
      <c r="L570" s="15"/>
    </row>
    <row r="571" spans="9:12" ht="13.8">
      <c r="I571" s="14"/>
      <c r="J571" s="15"/>
      <c r="K571" s="15"/>
      <c r="L571" s="15"/>
    </row>
    <row r="572" spans="9:12" ht="13.8">
      <c r="I572" s="14"/>
      <c r="J572" s="15"/>
      <c r="K572" s="15"/>
      <c r="L572" s="15"/>
    </row>
    <row r="573" spans="9:12" ht="13.8">
      <c r="I573" s="14"/>
      <c r="J573" s="15"/>
      <c r="K573" s="15"/>
      <c r="L573" s="15"/>
    </row>
    <row r="574" spans="9:12" ht="13.8">
      <c r="I574" s="14"/>
      <c r="J574" s="15"/>
      <c r="K574" s="15"/>
      <c r="L574" s="15"/>
    </row>
    <row r="575" spans="9:12" ht="13.8">
      <c r="I575" s="14"/>
      <c r="J575" s="15"/>
      <c r="K575" s="15"/>
      <c r="L575" s="15"/>
    </row>
    <row r="576" spans="9:12" ht="13.8">
      <c r="I576" s="14"/>
      <c r="J576" s="15"/>
      <c r="K576" s="15"/>
      <c r="L576" s="15"/>
    </row>
    <row r="577" spans="9:12" ht="13.8">
      <c r="I577" s="14"/>
      <c r="J577" s="15"/>
      <c r="K577" s="15"/>
      <c r="L577" s="15"/>
    </row>
    <row r="578" spans="9:12" ht="13.8">
      <c r="I578" s="14"/>
      <c r="J578" s="15"/>
      <c r="K578" s="15"/>
      <c r="L578" s="15"/>
    </row>
    <row r="579" spans="9:12" ht="13.8">
      <c r="I579" s="14"/>
      <c r="J579" s="15"/>
      <c r="K579" s="15"/>
      <c r="L579" s="15"/>
    </row>
    <row r="580" spans="9:12" ht="13.8">
      <c r="I580" s="14"/>
      <c r="J580" s="15"/>
      <c r="K580" s="15"/>
      <c r="L580" s="15"/>
    </row>
    <row r="581" spans="9:12" ht="13.8">
      <c r="I581" s="14"/>
      <c r="J581" s="15"/>
      <c r="K581" s="15"/>
      <c r="L581" s="15"/>
    </row>
    <row r="582" spans="9:12" ht="13.8">
      <c r="I582" s="14"/>
      <c r="J582" s="15"/>
      <c r="K582" s="15"/>
      <c r="L582" s="15"/>
    </row>
    <row r="583" spans="9:12" ht="13.8">
      <c r="I583" s="14"/>
      <c r="J583" s="15"/>
      <c r="K583" s="15"/>
      <c r="L583" s="15"/>
    </row>
    <row r="584" spans="9:12" ht="13.8">
      <c r="I584" s="14"/>
      <c r="J584" s="15"/>
      <c r="K584" s="15"/>
      <c r="L584" s="15"/>
    </row>
    <row r="585" spans="9:12" ht="13.8">
      <c r="I585" s="14"/>
      <c r="J585" s="15"/>
      <c r="K585" s="15"/>
      <c r="L585" s="15"/>
    </row>
    <row r="586" spans="9:12" ht="13.8">
      <c r="I586" s="14"/>
      <c r="J586" s="15"/>
      <c r="K586" s="15"/>
      <c r="L586" s="15"/>
    </row>
    <row r="587" spans="9:12" ht="13.8">
      <c r="I587" s="14"/>
      <c r="J587" s="15"/>
      <c r="K587" s="15"/>
      <c r="L587" s="15"/>
    </row>
    <row r="588" spans="9:12" ht="13.8">
      <c r="I588" s="14"/>
      <c r="J588" s="15"/>
      <c r="K588" s="15"/>
      <c r="L588" s="15"/>
    </row>
    <row r="589" spans="9:12" ht="13.8">
      <c r="I589" s="14"/>
      <c r="J589" s="15"/>
      <c r="K589" s="15"/>
      <c r="L589" s="15"/>
    </row>
    <row r="590" spans="9:12" ht="13.8">
      <c r="I590" s="14"/>
      <c r="J590" s="15"/>
      <c r="K590" s="15"/>
      <c r="L590" s="15"/>
    </row>
    <row r="591" spans="9:12" ht="13.8">
      <c r="I591" s="14"/>
      <c r="J591" s="15"/>
      <c r="K591" s="15"/>
      <c r="L591" s="15"/>
    </row>
    <row r="592" spans="9:12" ht="13.8">
      <c r="I592" s="14"/>
      <c r="J592" s="15"/>
      <c r="K592" s="15"/>
      <c r="L592" s="15"/>
    </row>
    <row r="593" spans="9:12" ht="13.8">
      <c r="I593" s="14"/>
      <c r="J593" s="15"/>
      <c r="K593" s="15"/>
      <c r="L593" s="15"/>
    </row>
    <row r="594" spans="9:12" ht="13.8">
      <c r="I594" s="14"/>
      <c r="J594" s="15"/>
      <c r="K594" s="15"/>
      <c r="L594" s="15"/>
    </row>
    <row r="595" spans="9:12" ht="13.8">
      <c r="I595" s="14"/>
      <c r="J595" s="15"/>
      <c r="K595" s="15"/>
      <c r="L595" s="15"/>
    </row>
    <row r="596" spans="9:12" ht="13.8">
      <c r="I596" s="14"/>
      <c r="J596" s="15"/>
      <c r="K596" s="15"/>
      <c r="L596" s="15"/>
    </row>
    <row r="597" spans="9:12" ht="13.8">
      <c r="I597" s="14"/>
      <c r="J597" s="15"/>
      <c r="K597" s="15"/>
      <c r="L597" s="15"/>
    </row>
    <row r="598" spans="9:12" ht="13.8">
      <c r="I598" s="14"/>
      <c r="J598" s="15"/>
      <c r="K598" s="15"/>
      <c r="L598" s="15"/>
    </row>
    <row r="599" spans="9:12" ht="13.8">
      <c r="I599" s="14"/>
      <c r="J599" s="15"/>
      <c r="K599" s="15"/>
      <c r="L599" s="15"/>
    </row>
    <row r="600" spans="9:12" ht="13.8">
      <c r="I600" s="14"/>
      <c r="J600" s="15"/>
      <c r="K600" s="15"/>
      <c r="L600" s="15"/>
    </row>
    <row r="601" spans="9:12" ht="13.8">
      <c r="I601" s="14"/>
      <c r="J601" s="15"/>
      <c r="K601" s="15"/>
      <c r="L601" s="15"/>
    </row>
    <row r="602" spans="9:12" ht="13.8">
      <c r="I602" s="14"/>
      <c r="J602" s="15"/>
      <c r="K602" s="15"/>
      <c r="L602" s="15"/>
    </row>
    <row r="603" spans="9:12" ht="13.8">
      <c r="I603" s="14"/>
      <c r="J603" s="15"/>
      <c r="K603" s="15"/>
      <c r="L603" s="15"/>
    </row>
    <row r="604" spans="9:12" ht="13.8">
      <c r="I604" s="14"/>
      <c r="J604" s="15"/>
      <c r="K604" s="15"/>
      <c r="L604" s="15"/>
    </row>
    <row r="605" spans="9:12" ht="13.8">
      <c r="I605" s="14"/>
      <c r="J605" s="15"/>
      <c r="K605" s="15"/>
      <c r="L605" s="15"/>
    </row>
    <row r="606" spans="9:12" ht="13.8">
      <c r="I606" s="14"/>
      <c r="J606" s="15"/>
      <c r="K606" s="15"/>
      <c r="L606" s="15"/>
    </row>
    <row r="607" spans="9:12" ht="13.8">
      <c r="I607" s="14"/>
      <c r="J607" s="15"/>
      <c r="K607" s="15"/>
      <c r="L607" s="15"/>
    </row>
    <row r="608" spans="9:12" ht="13.8">
      <c r="I608" s="14"/>
      <c r="J608" s="15"/>
      <c r="K608" s="15"/>
      <c r="L608" s="15"/>
    </row>
    <row r="609" spans="9:12" ht="13.8">
      <c r="I609" s="14"/>
      <c r="J609" s="15"/>
      <c r="K609" s="15"/>
      <c r="L609" s="15"/>
    </row>
    <row r="610" spans="9:12" ht="13.8">
      <c r="I610" s="14"/>
      <c r="J610" s="15"/>
      <c r="K610" s="15"/>
      <c r="L610" s="15"/>
    </row>
    <row r="611" spans="9:12" ht="13.8">
      <c r="I611" s="14"/>
      <c r="J611" s="15"/>
      <c r="K611" s="15"/>
      <c r="L611" s="15"/>
    </row>
    <row r="612" spans="9:12" ht="13.8">
      <c r="I612" s="14"/>
      <c r="J612" s="15"/>
      <c r="K612" s="15"/>
      <c r="L612" s="15"/>
    </row>
    <row r="613" spans="9:12" ht="13.8">
      <c r="I613" s="14"/>
      <c r="J613" s="15"/>
      <c r="K613" s="15"/>
      <c r="L613" s="15"/>
    </row>
    <row r="614" spans="9:12" ht="13.8">
      <c r="I614" s="14"/>
      <c r="J614" s="15"/>
      <c r="K614" s="15"/>
      <c r="L614" s="15"/>
    </row>
    <row r="615" spans="9:12" ht="13.8">
      <c r="I615" s="14"/>
      <c r="J615" s="15"/>
      <c r="K615" s="15"/>
      <c r="L615" s="15"/>
    </row>
    <row r="616" spans="9:12" ht="13.8">
      <c r="I616" s="14"/>
      <c r="J616" s="15"/>
      <c r="K616" s="15"/>
      <c r="L616" s="15"/>
    </row>
    <row r="617" spans="9:12" ht="13.8">
      <c r="I617" s="14"/>
      <c r="J617" s="15"/>
      <c r="K617" s="15"/>
      <c r="L617" s="15"/>
    </row>
    <row r="618" spans="9:12" ht="13.8">
      <c r="I618" s="14"/>
      <c r="J618" s="15"/>
      <c r="K618" s="15"/>
      <c r="L618" s="15"/>
    </row>
    <row r="619" spans="9:12" ht="13.8">
      <c r="I619" s="14"/>
      <c r="J619" s="15"/>
      <c r="K619" s="15"/>
      <c r="L619" s="15"/>
    </row>
    <row r="620" spans="9:12" ht="13.8">
      <c r="I620" s="14"/>
      <c r="J620" s="15"/>
      <c r="K620" s="15"/>
      <c r="L620" s="15"/>
    </row>
    <row r="621" spans="9:12" ht="13.8">
      <c r="I621" s="14"/>
      <c r="J621" s="15"/>
      <c r="K621" s="15"/>
      <c r="L621" s="15"/>
    </row>
    <row r="622" spans="9:12" ht="13.8">
      <c r="I622" s="14"/>
      <c r="J622" s="15"/>
      <c r="K622" s="15"/>
      <c r="L622" s="15"/>
    </row>
    <row r="623" spans="9:12" ht="13.8">
      <c r="I623" s="14"/>
      <c r="J623" s="15"/>
      <c r="K623" s="15"/>
      <c r="L623" s="15"/>
    </row>
    <row r="624" spans="9:12" ht="13.8">
      <c r="I624" s="14"/>
      <c r="J624" s="15"/>
      <c r="K624" s="15"/>
      <c r="L624" s="15"/>
    </row>
    <row r="625" spans="9:12" ht="13.8">
      <c r="I625" s="14"/>
      <c r="J625" s="15"/>
      <c r="K625" s="15"/>
      <c r="L625" s="15"/>
    </row>
    <row r="626" spans="9:12" ht="13.8">
      <c r="I626" s="14"/>
      <c r="J626" s="15"/>
      <c r="K626" s="15"/>
      <c r="L626" s="15"/>
    </row>
    <row r="627" spans="9:12" ht="13.8">
      <c r="I627" s="14"/>
      <c r="J627" s="15"/>
      <c r="K627" s="15"/>
      <c r="L627" s="15"/>
    </row>
    <row r="628" spans="9:12" ht="13.8">
      <c r="I628" s="14"/>
      <c r="J628" s="15"/>
      <c r="K628" s="15"/>
      <c r="L628" s="15"/>
    </row>
    <row r="629" spans="9:12" ht="13.8">
      <c r="I629" s="14"/>
      <c r="J629" s="15"/>
      <c r="K629" s="15"/>
      <c r="L629" s="15"/>
    </row>
    <row r="630" spans="9:12" ht="13.8">
      <c r="I630" s="14"/>
      <c r="J630" s="15"/>
      <c r="K630" s="15"/>
      <c r="L630" s="15"/>
    </row>
    <row r="631" spans="9:12" ht="13.8">
      <c r="I631" s="14"/>
      <c r="J631" s="15"/>
      <c r="K631" s="15"/>
      <c r="L631" s="15"/>
    </row>
    <row r="632" spans="9:12" ht="13.8">
      <c r="I632" s="14"/>
      <c r="J632" s="15"/>
      <c r="K632" s="15"/>
      <c r="L632" s="15"/>
    </row>
    <row r="633" spans="9:12" ht="13.8">
      <c r="I633" s="14"/>
      <c r="J633" s="15"/>
      <c r="K633" s="15"/>
      <c r="L633" s="15"/>
    </row>
    <row r="634" spans="9:12" ht="13.8">
      <c r="I634" s="14"/>
      <c r="J634" s="15"/>
      <c r="K634" s="15"/>
      <c r="L634" s="15"/>
    </row>
    <row r="635" spans="9:12" ht="13.8">
      <c r="I635" s="14"/>
      <c r="J635" s="15"/>
      <c r="K635" s="15"/>
      <c r="L635" s="15"/>
    </row>
    <row r="636" spans="9:12" ht="13.8">
      <c r="I636" s="14"/>
      <c r="J636" s="15"/>
      <c r="K636" s="15"/>
      <c r="L636" s="15"/>
    </row>
    <row r="637" spans="9:12" ht="13.8">
      <c r="I637" s="14"/>
      <c r="J637" s="15"/>
      <c r="K637" s="15"/>
      <c r="L637" s="15"/>
    </row>
    <row r="638" spans="9:12" ht="13.8">
      <c r="I638" s="14"/>
      <c r="J638" s="15"/>
      <c r="K638" s="15"/>
      <c r="L638" s="15"/>
    </row>
    <row r="639" spans="9:12" ht="13.8">
      <c r="I639" s="14"/>
      <c r="J639" s="15"/>
      <c r="K639" s="15"/>
      <c r="L639" s="15"/>
    </row>
    <row r="640" spans="9:12" ht="13.8">
      <c r="I640" s="14"/>
      <c r="J640" s="15"/>
      <c r="K640" s="15"/>
      <c r="L640" s="15"/>
    </row>
    <row r="641" spans="9:12" ht="13.8">
      <c r="I641" s="14"/>
      <c r="J641" s="15"/>
      <c r="K641" s="15"/>
      <c r="L641" s="15"/>
    </row>
    <row r="642" spans="9:12" ht="13.8">
      <c r="I642" s="14"/>
      <c r="J642" s="15"/>
      <c r="K642" s="15"/>
      <c r="L642" s="15"/>
    </row>
    <row r="643" spans="9:12" ht="13.8">
      <c r="I643" s="14"/>
      <c r="J643" s="15"/>
      <c r="K643" s="15"/>
      <c r="L643" s="15"/>
    </row>
    <row r="644" spans="9:12" ht="13.8">
      <c r="I644" s="14"/>
      <c r="J644" s="15"/>
      <c r="K644" s="15"/>
      <c r="L644" s="15"/>
    </row>
    <row r="645" spans="9:12" ht="13.8">
      <c r="I645" s="14"/>
      <c r="J645" s="15"/>
      <c r="K645" s="15"/>
      <c r="L645" s="15"/>
    </row>
    <row r="646" spans="9:12" ht="13.8">
      <c r="I646" s="14"/>
      <c r="J646" s="15"/>
      <c r="K646" s="15"/>
      <c r="L646" s="15"/>
    </row>
    <row r="647" spans="9:12" ht="13.8">
      <c r="I647" s="14"/>
      <c r="J647" s="15"/>
      <c r="K647" s="15"/>
      <c r="L647" s="15"/>
    </row>
    <row r="648" spans="9:12" ht="13.8">
      <c r="I648" s="14"/>
      <c r="J648" s="15"/>
      <c r="K648" s="15"/>
      <c r="L648" s="15"/>
    </row>
    <row r="649" spans="9:12" ht="13.8">
      <c r="I649" s="14"/>
      <c r="J649" s="15"/>
      <c r="K649" s="15"/>
      <c r="L649" s="15"/>
    </row>
    <row r="650" spans="9:12" ht="13.8">
      <c r="I650" s="14"/>
      <c r="J650" s="15"/>
      <c r="K650" s="15"/>
      <c r="L650" s="15"/>
    </row>
    <row r="651" spans="9:12" ht="13.8">
      <c r="I651" s="14"/>
      <c r="J651" s="15"/>
      <c r="K651" s="15"/>
      <c r="L651" s="15"/>
    </row>
    <row r="652" spans="9:12" ht="13.8">
      <c r="I652" s="14"/>
      <c r="J652" s="15"/>
      <c r="K652" s="15"/>
      <c r="L652" s="15"/>
    </row>
    <row r="653" spans="9:12" ht="13.8">
      <c r="I653" s="14"/>
      <c r="J653" s="15"/>
      <c r="K653" s="15"/>
      <c r="L653" s="15"/>
    </row>
    <row r="654" spans="9:12" ht="13.8">
      <c r="I654" s="14"/>
      <c r="J654" s="15"/>
      <c r="K654" s="15"/>
      <c r="L654" s="15"/>
    </row>
    <row r="655" spans="9:12" ht="13.8">
      <c r="I655" s="14"/>
      <c r="J655" s="15"/>
      <c r="K655" s="15"/>
      <c r="L655" s="15"/>
    </row>
    <row r="656" spans="9:12" ht="13.8">
      <c r="I656" s="14"/>
      <c r="J656" s="15"/>
      <c r="K656" s="15"/>
      <c r="L656" s="15"/>
    </row>
    <row r="657" spans="9:12" ht="13.8">
      <c r="I657" s="14"/>
      <c r="J657" s="15"/>
      <c r="K657" s="15"/>
      <c r="L657" s="15"/>
    </row>
    <row r="658" spans="9:12" ht="13.8">
      <c r="I658" s="14"/>
      <c r="J658" s="15"/>
      <c r="K658" s="15"/>
      <c r="L658" s="15"/>
    </row>
    <row r="659" spans="9:12" ht="13.8">
      <c r="I659" s="14"/>
      <c r="J659" s="15"/>
      <c r="K659" s="15"/>
      <c r="L659" s="15"/>
    </row>
    <row r="660" spans="9:12" ht="13.8">
      <c r="I660" s="14"/>
      <c r="J660" s="15"/>
      <c r="K660" s="15"/>
      <c r="L660" s="15"/>
    </row>
    <row r="661" spans="9:12" ht="13.8">
      <c r="I661" s="14"/>
      <c r="J661" s="15"/>
      <c r="K661" s="15"/>
      <c r="L661" s="15"/>
    </row>
    <row r="662" spans="9:12" ht="13.8">
      <c r="I662" s="14"/>
      <c r="J662" s="15"/>
      <c r="K662" s="15"/>
      <c r="L662" s="15"/>
    </row>
    <row r="663" spans="9:12" ht="13.8">
      <c r="I663" s="14"/>
      <c r="J663" s="15"/>
      <c r="K663" s="15"/>
      <c r="L663" s="15"/>
    </row>
    <row r="664" spans="9:12" ht="13.8">
      <c r="I664" s="14"/>
      <c r="J664" s="15"/>
      <c r="K664" s="15"/>
      <c r="L664" s="15"/>
    </row>
    <row r="665" spans="9:12" ht="13.8">
      <c r="I665" s="14"/>
      <c r="J665" s="15"/>
      <c r="K665" s="15"/>
      <c r="L665" s="15"/>
    </row>
    <row r="666" spans="9:12" ht="13.8">
      <c r="I666" s="14"/>
      <c r="J666" s="15"/>
      <c r="K666" s="15"/>
      <c r="L666" s="15"/>
    </row>
    <row r="667" spans="9:12" ht="13.8">
      <c r="I667" s="14"/>
      <c r="J667" s="15"/>
      <c r="K667" s="15"/>
      <c r="L667" s="15"/>
    </row>
    <row r="668" spans="9:12" ht="13.8">
      <c r="I668" s="14"/>
      <c r="J668" s="15"/>
      <c r="K668" s="15"/>
      <c r="L668" s="15"/>
    </row>
    <row r="669" spans="9:12" ht="13.8">
      <c r="I669" s="14"/>
      <c r="J669" s="15"/>
      <c r="K669" s="15"/>
      <c r="L669" s="15"/>
    </row>
    <row r="670" spans="9:12" ht="13.8">
      <c r="I670" s="14"/>
      <c r="J670" s="15"/>
      <c r="K670" s="15"/>
      <c r="L670" s="15"/>
    </row>
    <row r="671" spans="9:12" ht="13.8">
      <c r="I671" s="14"/>
      <c r="J671" s="15"/>
      <c r="K671" s="15"/>
      <c r="L671" s="15"/>
    </row>
    <row r="672" spans="9:12" ht="13.8">
      <c r="I672" s="14"/>
      <c r="J672" s="15"/>
      <c r="K672" s="15"/>
      <c r="L672" s="15"/>
    </row>
    <row r="673" spans="9:12" ht="13.8">
      <c r="I673" s="14"/>
      <c r="J673" s="15"/>
      <c r="K673" s="15"/>
      <c r="L673" s="15"/>
    </row>
    <row r="674" spans="9:12" ht="13.8">
      <c r="I674" s="14"/>
      <c r="J674" s="15"/>
      <c r="K674" s="15"/>
      <c r="L674" s="15"/>
    </row>
    <row r="675" spans="9:12" ht="13.8">
      <c r="I675" s="14"/>
      <c r="J675" s="15"/>
      <c r="K675" s="15"/>
      <c r="L675" s="15"/>
    </row>
    <row r="676" spans="9:12" ht="13.8">
      <c r="I676" s="14"/>
      <c r="J676" s="15"/>
      <c r="K676" s="15"/>
      <c r="L676" s="15"/>
    </row>
    <row r="677" spans="9:12" ht="13.8">
      <c r="I677" s="14"/>
      <c r="J677" s="15"/>
      <c r="K677" s="15"/>
      <c r="L677" s="15"/>
    </row>
    <row r="678" spans="9:12" ht="13.8">
      <c r="I678" s="14"/>
      <c r="J678" s="15"/>
      <c r="K678" s="15"/>
      <c r="L678" s="15"/>
    </row>
    <row r="679" spans="9:12" ht="13.8">
      <c r="I679" s="14"/>
      <c r="J679" s="15"/>
      <c r="K679" s="15"/>
      <c r="L679" s="15"/>
    </row>
    <row r="680" spans="9:12" ht="13.8">
      <c r="I680" s="14"/>
      <c r="J680" s="15"/>
      <c r="K680" s="15"/>
      <c r="L680" s="15"/>
    </row>
    <row r="681" spans="9:12" ht="13.8">
      <c r="I681" s="14"/>
      <c r="J681" s="15"/>
      <c r="K681" s="15"/>
      <c r="L681" s="15"/>
    </row>
    <row r="682" spans="9:12" ht="13.8">
      <c r="I682" s="14"/>
      <c r="J682" s="15"/>
      <c r="K682" s="15"/>
      <c r="L682" s="15"/>
    </row>
    <row r="683" spans="9:12" ht="13.8">
      <c r="I683" s="14"/>
      <c r="J683" s="15"/>
      <c r="K683" s="15"/>
      <c r="L683" s="15"/>
    </row>
    <row r="684" spans="9:12" ht="13.8">
      <c r="I684" s="14"/>
      <c r="J684" s="15"/>
      <c r="K684" s="15"/>
      <c r="L684" s="15"/>
    </row>
    <row r="685" spans="9:12" ht="13.8">
      <c r="I685" s="14"/>
      <c r="J685" s="15"/>
      <c r="K685" s="15"/>
      <c r="L685" s="15"/>
    </row>
    <row r="686" spans="9:12" ht="13.8">
      <c r="I686" s="14"/>
      <c r="J686" s="15"/>
      <c r="K686" s="15"/>
      <c r="L686" s="15"/>
    </row>
    <row r="687" spans="9:12" ht="13.8">
      <c r="I687" s="14"/>
      <c r="J687" s="15"/>
      <c r="K687" s="15"/>
      <c r="L687" s="15"/>
    </row>
    <row r="688" spans="9:12" ht="13.8">
      <c r="I688" s="14"/>
      <c r="J688" s="15"/>
      <c r="K688" s="15"/>
      <c r="L688" s="15"/>
    </row>
    <row r="689" spans="9:12" ht="13.8">
      <c r="I689" s="14"/>
      <c r="J689" s="15"/>
      <c r="K689" s="15"/>
      <c r="L689" s="15"/>
    </row>
    <row r="690" spans="9:12" ht="13.8">
      <c r="I690" s="14"/>
      <c r="J690" s="15"/>
      <c r="K690" s="15"/>
      <c r="L690" s="15"/>
    </row>
    <row r="691" spans="9:12" ht="13.8">
      <c r="I691" s="14"/>
      <c r="J691" s="15"/>
      <c r="K691" s="15"/>
      <c r="L691" s="15"/>
    </row>
    <row r="692" spans="9:12" ht="13.8">
      <c r="I692" s="14"/>
      <c r="J692" s="15"/>
      <c r="K692" s="15"/>
      <c r="L692" s="15"/>
    </row>
    <row r="693" spans="9:12" ht="13.8">
      <c r="I693" s="14"/>
      <c r="J693" s="15"/>
      <c r="K693" s="15"/>
      <c r="L693" s="15"/>
    </row>
    <row r="694" spans="9:12" ht="13.8">
      <c r="I694" s="14"/>
      <c r="J694" s="15"/>
      <c r="K694" s="15"/>
      <c r="L694" s="15"/>
    </row>
    <row r="695" spans="9:12" ht="13.8">
      <c r="I695" s="14"/>
      <c r="J695" s="15"/>
      <c r="K695" s="15"/>
      <c r="L695" s="15"/>
    </row>
    <row r="696" spans="9:12" ht="13.8">
      <c r="I696" s="14"/>
      <c r="J696" s="15"/>
      <c r="K696" s="15"/>
      <c r="L696" s="15"/>
    </row>
    <row r="697" spans="9:12" ht="13.8">
      <c r="I697" s="14"/>
      <c r="J697" s="15"/>
      <c r="K697" s="15"/>
      <c r="L697" s="15"/>
    </row>
    <row r="698" spans="9:12" ht="13.8">
      <c r="I698" s="14"/>
      <c r="J698" s="15"/>
      <c r="K698" s="15"/>
      <c r="L698" s="15"/>
    </row>
    <row r="699" spans="9:12" ht="13.8">
      <c r="I699" s="14"/>
      <c r="J699" s="15"/>
      <c r="K699" s="15"/>
      <c r="L699" s="15"/>
    </row>
    <row r="700" spans="9:12" ht="13.8">
      <c r="I700" s="14"/>
      <c r="J700" s="15"/>
      <c r="K700" s="15"/>
      <c r="L700" s="15"/>
    </row>
    <row r="701" spans="9:12" ht="13.8">
      <c r="I701" s="14"/>
      <c r="J701" s="15"/>
      <c r="K701" s="15"/>
      <c r="L701" s="15"/>
    </row>
    <row r="702" spans="9:12" ht="13.8">
      <c r="I702" s="14"/>
      <c r="J702" s="15"/>
      <c r="K702" s="15"/>
      <c r="L702" s="15"/>
    </row>
    <row r="703" spans="9:12" ht="13.8">
      <c r="I703" s="14"/>
      <c r="J703" s="15"/>
      <c r="K703" s="15"/>
      <c r="L703" s="15"/>
    </row>
    <row r="704" spans="9:12" ht="13.8">
      <c r="I704" s="14"/>
      <c r="J704" s="15"/>
      <c r="K704" s="15"/>
      <c r="L704" s="15"/>
    </row>
    <row r="705" spans="9:12" ht="13.8">
      <c r="I705" s="14"/>
      <c r="J705" s="15"/>
      <c r="K705" s="15"/>
      <c r="L705" s="15"/>
    </row>
    <row r="706" spans="9:12" ht="13.8">
      <c r="I706" s="14"/>
      <c r="J706" s="15"/>
      <c r="K706" s="15"/>
      <c r="L706" s="15"/>
    </row>
    <row r="707" spans="9:12" ht="13.8">
      <c r="I707" s="14"/>
      <c r="J707" s="15"/>
      <c r="K707" s="15"/>
      <c r="L707" s="15"/>
    </row>
    <row r="708" spans="9:12" ht="13.8">
      <c r="I708" s="14"/>
      <c r="J708" s="15"/>
      <c r="K708" s="15"/>
      <c r="L708" s="15"/>
    </row>
    <row r="709" spans="9:12" ht="13.8">
      <c r="I709" s="14"/>
      <c r="J709" s="15"/>
      <c r="K709" s="15"/>
      <c r="L709" s="15"/>
    </row>
    <row r="710" spans="9:12" ht="13.8">
      <c r="I710" s="14"/>
      <c r="J710" s="15"/>
      <c r="K710" s="15"/>
      <c r="L710" s="15"/>
    </row>
    <row r="711" spans="9:12" ht="13.8">
      <c r="I711" s="14"/>
      <c r="J711" s="15"/>
      <c r="K711" s="15"/>
      <c r="L711" s="15"/>
    </row>
    <row r="712" spans="9:12" ht="13.8">
      <c r="I712" s="14"/>
      <c r="J712" s="15"/>
      <c r="K712" s="15"/>
      <c r="L712" s="15"/>
    </row>
    <row r="713" spans="9:12" ht="13.8">
      <c r="I713" s="14"/>
      <c r="J713" s="15"/>
      <c r="K713" s="15"/>
      <c r="L713" s="15"/>
    </row>
    <row r="714" spans="9:12" ht="13.8">
      <c r="I714" s="14"/>
      <c r="J714" s="15"/>
      <c r="K714" s="15"/>
      <c r="L714" s="15"/>
    </row>
    <row r="715" spans="9:12" ht="13.8">
      <c r="I715" s="14"/>
      <c r="J715" s="15"/>
      <c r="K715" s="15"/>
      <c r="L715" s="15"/>
    </row>
    <row r="716" spans="9:12" ht="13.8">
      <c r="I716" s="14"/>
      <c r="J716" s="15"/>
      <c r="K716" s="15"/>
      <c r="L716" s="15"/>
    </row>
    <row r="717" spans="9:12" ht="13.8">
      <c r="I717" s="14"/>
      <c r="J717" s="15"/>
      <c r="K717" s="15"/>
      <c r="L717" s="15"/>
    </row>
    <row r="718" spans="9:12" ht="13.8">
      <c r="I718" s="14"/>
      <c r="J718" s="15"/>
      <c r="K718" s="15"/>
      <c r="L718" s="15"/>
    </row>
    <row r="719" spans="9:12" ht="13.8">
      <c r="I719" s="14"/>
      <c r="J719" s="15"/>
      <c r="K719" s="15"/>
      <c r="L719" s="15"/>
    </row>
    <row r="720" spans="9:12" ht="13.8">
      <c r="I720" s="14"/>
      <c r="J720" s="15"/>
      <c r="K720" s="15"/>
      <c r="L720" s="15"/>
    </row>
    <row r="721" spans="9:12" ht="13.8">
      <c r="I721" s="14"/>
      <c r="J721" s="15"/>
      <c r="K721" s="15"/>
      <c r="L721" s="15"/>
    </row>
    <row r="722" spans="9:12" ht="13.8">
      <c r="I722" s="14"/>
      <c r="J722" s="15"/>
      <c r="K722" s="15"/>
      <c r="L722" s="15"/>
    </row>
    <row r="723" spans="9:12" ht="13.8">
      <c r="I723" s="14"/>
      <c r="J723" s="15"/>
      <c r="K723" s="15"/>
      <c r="L723" s="15"/>
    </row>
    <row r="724" spans="9:12" ht="13.8">
      <c r="I724" s="14"/>
      <c r="J724" s="15"/>
      <c r="K724" s="15"/>
      <c r="L724" s="15"/>
    </row>
    <row r="725" spans="9:12" ht="13.8">
      <c r="I725" s="14"/>
      <c r="J725" s="15"/>
      <c r="K725" s="15"/>
      <c r="L725" s="15"/>
    </row>
    <row r="726" spans="9:12" ht="13.8">
      <c r="I726" s="14"/>
      <c r="J726" s="15"/>
      <c r="K726" s="15"/>
      <c r="L726" s="15"/>
    </row>
    <row r="727" spans="9:12" ht="13.8">
      <c r="I727" s="14"/>
      <c r="J727" s="15"/>
      <c r="K727" s="15"/>
      <c r="L727" s="15"/>
    </row>
    <row r="728" spans="9:12" ht="13.8">
      <c r="I728" s="14"/>
      <c r="J728" s="15"/>
      <c r="K728" s="15"/>
      <c r="L728" s="15"/>
    </row>
    <row r="729" spans="9:12" ht="13.8">
      <c r="I729" s="14"/>
      <c r="J729" s="15"/>
      <c r="K729" s="15"/>
      <c r="L729" s="15"/>
    </row>
    <row r="730" spans="9:12" ht="13.8">
      <c r="I730" s="14"/>
      <c r="J730" s="15"/>
      <c r="K730" s="15"/>
      <c r="L730" s="15"/>
    </row>
    <row r="731" spans="9:12" ht="13.8">
      <c r="I731" s="14"/>
      <c r="J731" s="15"/>
      <c r="K731" s="15"/>
      <c r="L731" s="15"/>
    </row>
    <row r="732" spans="9:12" ht="13.8">
      <c r="I732" s="14"/>
      <c r="J732" s="15"/>
      <c r="K732" s="15"/>
      <c r="L732" s="15"/>
    </row>
    <row r="733" spans="9:12" ht="13.8">
      <c r="I733" s="14"/>
      <c r="J733" s="15"/>
      <c r="K733" s="15"/>
      <c r="L733" s="15"/>
    </row>
    <row r="734" spans="9:12" ht="13.8">
      <c r="I734" s="14"/>
      <c r="J734" s="15"/>
      <c r="K734" s="15"/>
      <c r="L734" s="15"/>
    </row>
    <row r="735" spans="9:12" ht="13.8">
      <c r="I735" s="14"/>
      <c r="J735" s="15"/>
      <c r="K735" s="15"/>
      <c r="L735" s="15"/>
    </row>
    <row r="736" spans="9:12" ht="13.8">
      <c r="I736" s="14"/>
      <c r="J736" s="15"/>
      <c r="K736" s="15"/>
      <c r="L736" s="15"/>
    </row>
    <row r="737" spans="9:12" ht="13.8">
      <c r="I737" s="14"/>
      <c r="J737" s="15"/>
      <c r="K737" s="15"/>
      <c r="L737" s="15"/>
    </row>
    <row r="738" spans="9:12" ht="13.8">
      <c r="I738" s="14"/>
      <c r="J738" s="15"/>
      <c r="K738" s="15"/>
      <c r="L738" s="15"/>
    </row>
    <row r="739" spans="9:12" ht="13.8">
      <c r="I739" s="14"/>
      <c r="J739" s="15"/>
      <c r="K739" s="15"/>
      <c r="L739" s="15"/>
    </row>
    <row r="740" spans="9:12" ht="13.8">
      <c r="I740" s="14"/>
      <c r="J740" s="15"/>
      <c r="K740" s="15"/>
      <c r="L740" s="15"/>
    </row>
    <row r="741" spans="9:12" ht="13.8">
      <c r="I741" s="14"/>
      <c r="J741" s="15"/>
      <c r="K741" s="15"/>
      <c r="L741" s="15"/>
    </row>
    <row r="742" spans="9:12" ht="13.8">
      <c r="I742" s="14"/>
      <c r="J742" s="15"/>
      <c r="K742" s="15"/>
      <c r="L742" s="15"/>
    </row>
    <row r="743" spans="9:12" ht="13.8">
      <c r="I743" s="14"/>
      <c r="J743" s="15"/>
      <c r="K743" s="15"/>
      <c r="L743" s="15"/>
    </row>
    <row r="744" spans="9:12" ht="13.8">
      <c r="I744" s="14"/>
      <c r="J744" s="15"/>
      <c r="K744" s="15"/>
      <c r="L744" s="15"/>
    </row>
    <row r="745" spans="9:12" ht="13.8">
      <c r="I745" s="14"/>
      <c r="J745" s="15"/>
      <c r="K745" s="15"/>
      <c r="L745" s="15"/>
    </row>
    <row r="746" spans="9:12" ht="13.8">
      <c r="I746" s="14"/>
      <c r="J746" s="15"/>
      <c r="K746" s="15"/>
      <c r="L746" s="15"/>
    </row>
    <row r="747" spans="9:12" ht="13.8">
      <c r="I747" s="14"/>
      <c r="J747" s="15"/>
      <c r="K747" s="15"/>
      <c r="L747" s="15"/>
    </row>
    <row r="748" spans="9:12" ht="13.8">
      <c r="I748" s="14"/>
      <c r="J748" s="15"/>
      <c r="K748" s="15"/>
      <c r="L748" s="15"/>
    </row>
    <row r="749" spans="9:12" ht="13.8">
      <c r="I749" s="14"/>
      <c r="J749" s="15"/>
      <c r="K749" s="15"/>
      <c r="L749" s="15"/>
    </row>
    <row r="750" spans="9:12" ht="13.8">
      <c r="I750" s="14"/>
      <c r="J750" s="15"/>
      <c r="K750" s="15"/>
      <c r="L750" s="15"/>
    </row>
    <row r="751" spans="9:12" ht="13.8">
      <c r="I751" s="14"/>
      <c r="J751" s="15"/>
      <c r="K751" s="15"/>
      <c r="L751" s="15"/>
    </row>
    <row r="752" spans="9:12" ht="13.8">
      <c r="I752" s="14"/>
      <c r="J752" s="15"/>
      <c r="K752" s="15"/>
      <c r="L752" s="15"/>
    </row>
    <row r="753" spans="9:12" ht="13.8">
      <c r="I753" s="14"/>
      <c r="J753" s="15"/>
      <c r="K753" s="15"/>
      <c r="L753" s="15"/>
    </row>
    <row r="754" spans="9:12" ht="13.8">
      <c r="I754" s="14"/>
      <c r="J754" s="15"/>
      <c r="K754" s="15"/>
      <c r="L754" s="15"/>
    </row>
    <row r="755" spans="9:12" ht="13.8">
      <c r="I755" s="14"/>
      <c r="J755" s="15"/>
      <c r="K755" s="15"/>
      <c r="L755" s="15"/>
    </row>
    <row r="756" spans="9:12" ht="13.8">
      <c r="I756" s="14"/>
      <c r="J756" s="15"/>
      <c r="K756" s="15"/>
      <c r="L756" s="15"/>
    </row>
    <row r="757" spans="9:12" ht="13.8">
      <c r="I757" s="14"/>
      <c r="J757" s="15"/>
      <c r="K757" s="15"/>
      <c r="L757" s="15"/>
    </row>
    <row r="758" spans="9:12" ht="13.8">
      <c r="I758" s="14"/>
      <c r="J758" s="15"/>
      <c r="K758" s="15"/>
      <c r="L758" s="15"/>
    </row>
    <row r="759" spans="9:12" ht="13.8">
      <c r="I759" s="14"/>
      <c r="J759" s="15"/>
      <c r="K759" s="15"/>
      <c r="L759" s="15"/>
    </row>
    <row r="760" spans="9:12" ht="13.8">
      <c r="I760" s="14"/>
      <c r="J760" s="15"/>
      <c r="K760" s="15"/>
      <c r="L760" s="15"/>
    </row>
    <row r="761" spans="9:12" ht="13.8">
      <c r="I761" s="14"/>
      <c r="J761" s="15"/>
      <c r="K761" s="15"/>
      <c r="L761" s="15"/>
    </row>
    <row r="762" spans="9:12" ht="13.8">
      <c r="I762" s="14"/>
      <c r="J762" s="15"/>
      <c r="K762" s="15"/>
      <c r="L762" s="15"/>
    </row>
    <row r="763" spans="9:12" ht="13.8">
      <c r="I763" s="14"/>
      <c r="J763" s="15"/>
      <c r="K763" s="15"/>
      <c r="L763" s="15"/>
    </row>
    <row r="764" spans="9:12" ht="13.8">
      <c r="I764" s="14"/>
      <c r="J764" s="15"/>
      <c r="K764" s="15"/>
      <c r="L764" s="15"/>
    </row>
    <row r="765" spans="9:12" ht="13.8">
      <c r="I765" s="14"/>
      <c r="J765" s="15"/>
      <c r="K765" s="15"/>
      <c r="L765" s="15"/>
    </row>
    <row r="766" spans="9:12" ht="13.8">
      <c r="I766" s="14"/>
      <c r="J766" s="15"/>
      <c r="K766" s="15"/>
      <c r="L766" s="15"/>
    </row>
    <row r="767" spans="9:12" ht="13.8">
      <c r="I767" s="14"/>
      <c r="J767" s="15"/>
      <c r="K767" s="15"/>
      <c r="L767" s="15"/>
    </row>
    <row r="768" spans="9:12" ht="13.8">
      <c r="I768" s="14"/>
      <c r="J768" s="15"/>
      <c r="K768" s="15"/>
      <c r="L768" s="15"/>
    </row>
    <row r="769" spans="9:12" ht="13.8">
      <c r="I769" s="14"/>
      <c r="J769" s="15"/>
      <c r="K769" s="15"/>
      <c r="L769" s="15"/>
    </row>
    <row r="770" spans="9:12" ht="13.8">
      <c r="I770" s="14"/>
      <c r="J770" s="15"/>
      <c r="K770" s="15"/>
      <c r="L770" s="15"/>
    </row>
    <row r="771" spans="9:12" ht="13.8">
      <c r="I771" s="14"/>
      <c r="J771" s="15"/>
      <c r="K771" s="15"/>
      <c r="L771" s="15"/>
    </row>
    <row r="772" spans="9:12" ht="13.8">
      <c r="I772" s="14"/>
      <c r="J772" s="15"/>
      <c r="K772" s="15"/>
      <c r="L772" s="15"/>
    </row>
    <row r="773" spans="9:12" ht="13.8">
      <c r="I773" s="14"/>
      <c r="J773" s="15"/>
      <c r="K773" s="15"/>
      <c r="L773" s="15"/>
    </row>
    <row r="774" spans="9:12" ht="13.8">
      <c r="I774" s="14"/>
      <c r="J774" s="15"/>
      <c r="K774" s="15"/>
      <c r="L774" s="15"/>
    </row>
    <row r="775" spans="9:12" ht="13.8">
      <c r="I775" s="14"/>
      <c r="J775" s="15"/>
      <c r="K775" s="15"/>
      <c r="L775" s="15"/>
    </row>
    <row r="776" spans="9:12" ht="13.8">
      <c r="I776" s="14"/>
      <c r="J776" s="15"/>
      <c r="K776" s="15"/>
      <c r="L776" s="15"/>
    </row>
    <row r="777" spans="9:12" ht="13.8">
      <c r="I777" s="14"/>
      <c r="J777" s="15"/>
      <c r="K777" s="15"/>
      <c r="L777" s="15"/>
    </row>
    <row r="778" spans="9:12" ht="13.8">
      <c r="I778" s="14"/>
      <c r="J778" s="15"/>
      <c r="K778" s="15"/>
      <c r="L778" s="15"/>
    </row>
    <row r="779" spans="9:12" ht="13.8">
      <c r="I779" s="14"/>
      <c r="J779" s="15"/>
      <c r="K779" s="15"/>
      <c r="L779" s="15"/>
    </row>
    <row r="780" spans="9:12" ht="13.8">
      <c r="I780" s="14"/>
      <c r="J780" s="15"/>
      <c r="K780" s="15"/>
      <c r="L780" s="15"/>
    </row>
    <row r="781" spans="9:12" ht="13.8">
      <c r="I781" s="14"/>
      <c r="J781" s="15"/>
      <c r="K781" s="15"/>
      <c r="L781" s="15"/>
    </row>
    <row r="782" spans="9:12" ht="13.8">
      <c r="I782" s="14"/>
      <c r="J782" s="15"/>
      <c r="K782" s="15"/>
      <c r="L782" s="15"/>
    </row>
    <row r="783" spans="9:12" ht="13.8">
      <c r="I783" s="14"/>
      <c r="J783" s="15"/>
      <c r="K783" s="15"/>
      <c r="L783" s="15"/>
    </row>
    <row r="784" spans="9:12" ht="13.8">
      <c r="I784" s="14"/>
      <c r="J784" s="15"/>
      <c r="K784" s="15"/>
      <c r="L784" s="15"/>
    </row>
    <row r="785" spans="9:12" ht="13.8">
      <c r="I785" s="14"/>
      <c r="J785" s="15"/>
      <c r="K785" s="15"/>
      <c r="L785" s="15"/>
    </row>
    <row r="786" spans="9:12" ht="13.8">
      <c r="I786" s="14"/>
      <c r="J786" s="15"/>
      <c r="K786" s="15"/>
      <c r="L786" s="15"/>
    </row>
    <row r="787" spans="9:12" ht="13.8">
      <c r="I787" s="14"/>
      <c r="J787" s="15"/>
      <c r="K787" s="15"/>
      <c r="L787" s="15"/>
    </row>
    <row r="788" spans="9:12" ht="13.8">
      <c r="I788" s="14"/>
      <c r="J788" s="15"/>
      <c r="K788" s="15"/>
      <c r="L788" s="15"/>
    </row>
    <row r="789" spans="9:12" ht="13.8">
      <c r="I789" s="14"/>
      <c r="J789" s="15"/>
      <c r="K789" s="15"/>
      <c r="L789" s="15"/>
    </row>
    <row r="790" spans="9:12" ht="13.8">
      <c r="I790" s="14"/>
      <c r="J790" s="15"/>
      <c r="K790" s="15"/>
      <c r="L790" s="15"/>
    </row>
    <row r="791" spans="9:12" ht="13.8">
      <c r="I791" s="14"/>
      <c r="J791" s="15"/>
      <c r="K791" s="15"/>
      <c r="L791" s="15"/>
    </row>
    <row r="792" spans="9:12" ht="13.8">
      <c r="I792" s="14"/>
      <c r="J792" s="15"/>
      <c r="K792" s="15"/>
      <c r="L792" s="15"/>
    </row>
    <row r="793" spans="9:12" ht="13.8">
      <c r="I793" s="14"/>
      <c r="J793" s="15"/>
      <c r="K793" s="15"/>
      <c r="L793" s="15"/>
    </row>
    <row r="794" spans="9:12" ht="13.8">
      <c r="I794" s="14"/>
      <c r="J794" s="15"/>
      <c r="K794" s="15"/>
      <c r="L794" s="15"/>
    </row>
    <row r="795" spans="9:12" ht="13.8">
      <c r="I795" s="14"/>
      <c r="J795" s="15"/>
      <c r="K795" s="15"/>
      <c r="L795" s="15"/>
    </row>
    <row r="796" spans="9:12" ht="13.8">
      <c r="I796" s="14"/>
      <c r="J796" s="15"/>
      <c r="K796" s="15"/>
      <c r="L796" s="15"/>
    </row>
    <row r="797" spans="9:12" ht="13.8">
      <c r="I797" s="14"/>
      <c r="J797" s="15"/>
      <c r="K797" s="15"/>
      <c r="L797" s="15"/>
    </row>
    <row r="798" spans="9:12" ht="13.8">
      <c r="I798" s="14"/>
      <c r="J798" s="15"/>
      <c r="K798" s="15"/>
      <c r="L798" s="15"/>
    </row>
    <row r="799" spans="9:12" ht="13.8">
      <c r="I799" s="14"/>
      <c r="J799" s="15"/>
      <c r="K799" s="15"/>
      <c r="L799" s="15"/>
    </row>
    <row r="800" spans="9:12" ht="13.8">
      <c r="I800" s="14"/>
      <c r="J800" s="15"/>
      <c r="K800" s="15"/>
      <c r="L800" s="15"/>
    </row>
    <row r="801" spans="9:12" ht="13.8">
      <c r="I801" s="14"/>
      <c r="J801" s="15"/>
      <c r="K801" s="15"/>
      <c r="L801" s="15"/>
    </row>
    <row r="802" spans="9:12" ht="13.8">
      <c r="I802" s="14"/>
      <c r="J802" s="15"/>
      <c r="K802" s="15"/>
      <c r="L802" s="15"/>
    </row>
    <row r="803" spans="9:12" ht="13.8">
      <c r="I803" s="14"/>
      <c r="J803" s="15"/>
      <c r="K803" s="15"/>
      <c r="L803" s="15"/>
    </row>
    <row r="804" spans="9:12" ht="13.8">
      <c r="I804" s="14"/>
      <c r="J804" s="15"/>
      <c r="K804" s="15"/>
      <c r="L804" s="15"/>
    </row>
    <row r="805" spans="9:12" ht="13.8">
      <c r="I805" s="14"/>
      <c r="J805" s="15"/>
      <c r="K805" s="15"/>
      <c r="L805" s="15"/>
    </row>
    <row r="806" spans="9:12" ht="13.8">
      <c r="I806" s="14"/>
      <c r="J806" s="15"/>
      <c r="K806" s="15"/>
      <c r="L806" s="15"/>
    </row>
    <row r="807" spans="9:12" ht="13.8">
      <c r="I807" s="14"/>
      <c r="J807" s="15"/>
      <c r="K807" s="15"/>
      <c r="L807" s="15"/>
    </row>
    <row r="808" spans="9:12" ht="13.8">
      <c r="I808" s="14"/>
      <c r="J808" s="15"/>
      <c r="K808" s="15"/>
      <c r="L808" s="15"/>
    </row>
    <row r="809" spans="9:12" ht="13.8">
      <c r="I809" s="14"/>
      <c r="J809" s="15"/>
      <c r="K809" s="15"/>
      <c r="L809" s="15"/>
    </row>
    <row r="810" spans="9:12" ht="13.8">
      <c r="I810" s="14"/>
      <c r="J810" s="15"/>
      <c r="K810" s="15"/>
      <c r="L810" s="15"/>
    </row>
    <row r="811" spans="9:12" ht="13.8">
      <c r="I811" s="14"/>
      <c r="J811" s="15"/>
      <c r="K811" s="15"/>
      <c r="L811" s="15"/>
    </row>
    <row r="812" spans="9:12" ht="13.8">
      <c r="I812" s="14"/>
      <c r="J812" s="15"/>
      <c r="K812" s="15"/>
      <c r="L812" s="15"/>
    </row>
    <row r="813" spans="9:12" ht="13.8">
      <c r="I813" s="14"/>
      <c r="J813" s="15"/>
      <c r="K813" s="15"/>
      <c r="L813" s="15"/>
    </row>
    <row r="814" spans="9:12" ht="13.8">
      <c r="I814" s="14"/>
      <c r="J814" s="15"/>
      <c r="K814" s="15"/>
      <c r="L814" s="15"/>
    </row>
    <row r="815" spans="9:12" ht="13.8">
      <c r="I815" s="14"/>
      <c r="J815" s="15"/>
      <c r="K815" s="15"/>
      <c r="L815" s="15"/>
    </row>
    <row r="816" spans="9:12" ht="13.8">
      <c r="I816" s="14"/>
      <c r="J816" s="15"/>
      <c r="K816" s="15"/>
      <c r="L816" s="15"/>
    </row>
    <row r="817" spans="9:12" ht="13.8">
      <c r="I817" s="14"/>
      <c r="J817" s="15"/>
      <c r="K817" s="15"/>
      <c r="L817" s="15"/>
    </row>
    <row r="818" spans="9:12" ht="13.8">
      <c r="I818" s="14"/>
      <c r="J818" s="15"/>
      <c r="K818" s="15"/>
      <c r="L818" s="15"/>
    </row>
    <row r="819" spans="9:12" ht="13.8">
      <c r="I819" s="14"/>
      <c r="J819" s="15"/>
      <c r="K819" s="15"/>
      <c r="L819" s="15"/>
    </row>
    <row r="820" spans="9:12" ht="13.8">
      <c r="I820" s="14"/>
      <c r="J820" s="15"/>
      <c r="K820" s="15"/>
      <c r="L820" s="15"/>
    </row>
    <row r="821" spans="9:12" ht="13.8">
      <c r="I821" s="14"/>
      <c r="J821" s="15"/>
      <c r="K821" s="15"/>
      <c r="L821" s="15"/>
    </row>
    <row r="822" spans="9:12" ht="13.8">
      <c r="I822" s="14"/>
      <c r="J822" s="15"/>
      <c r="K822" s="15"/>
      <c r="L822" s="15"/>
    </row>
    <row r="823" spans="9:12" ht="13.8">
      <c r="I823" s="14"/>
      <c r="J823" s="15"/>
      <c r="K823" s="15"/>
      <c r="L823" s="15"/>
    </row>
    <row r="824" spans="9:12" ht="13.8">
      <c r="I824" s="14"/>
      <c r="J824" s="15"/>
      <c r="K824" s="15"/>
      <c r="L824" s="15"/>
    </row>
    <row r="825" spans="9:12" ht="13.8">
      <c r="I825" s="14"/>
      <c r="J825" s="15"/>
      <c r="K825" s="15"/>
      <c r="L825" s="15"/>
    </row>
    <row r="826" spans="9:12" ht="13.8">
      <c r="I826" s="14"/>
      <c r="J826" s="15"/>
      <c r="K826" s="15"/>
      <c r="L826" s="15"/>
    </row>
    <row r="827" spans="9:12" ht="13.8">
      <c r="I827" s="14"/>
      <c r="J827" s="15"/>
      <c r="K827" s="15"/>
      <c r="L827" s="15"/>
    </row>
    <row r="828" spans="9:12" ht="13.8">
      <c r="I828" s="14"/>
      <c r="J828" s="15"/>
      <c r="K828" s="15"/>
      <c r="L828" s="15"/>
    </row>
    <row r="829" spans="9:12" ht="13.8">
      <c r="I829" s="14"/>
      <c r="J829" s="15"/>
      <c r="K829" s="15"/>
      <c r="L829" s="15"/>
    </row>
    <row r="830" spans="9:12" ht="13.8">
      <c r="I830" s="14"/>
      <c r="J830" s="15"/>
      <c r="K830" s="15"/>
      <c r="L830" s="15"/>
    </row>
    <row r="831" spans="9:12" ht="13.8">
      <c r="I831" s="14"/>
      <c r="J831" s="15"/>
      <c r="K831" s="15"/>
      <c r="L831" s="15"/>
    </row>
    <row r="832" spans="9:12" ht="13.8">
      <c r="I832" s="14"/>
      <c r="J832" s="15"/>
      <c r="K832" s="15"/>
      <c r="L832" s="15"/>
    </row>
    <row r="833" spans="9:12" ht="13.8">
      <c r="I833" s="14"/>
      <c r="J833" s="15"/>
      <c r="K833" s="15"/>
      <c r="L833" s="15"/>
    </row>
    <row r="834" spans="9:12" ht="13.8">
      <c r="I834" s="14"/>
      <c r="J834" s="15"/>
      <c r="K834" s="15"/>
      <c r="L834" s="15"/>
    </row>
    <row r="835" spans="9:12" ht="13.8">
      <c r="I835" s="14"/>
      <c r="J835" s="15"/>
      <c r="K835" s="15"/>
      <c r="L835" s="15"/>
    </row>
    <row r="836" spans="9:12" ht="13.8">
      <c r="I836" s="14"/>
      <c r="J836" s="15"/>
      <c r="K836" s="15"/>
      <c r="L836" s="15"/>
    </row>
    <row r="837" spans="9:12" ht="13.8">
      <c r="I837" s="14"/>
      <c r="J837" s="15"/>
      <c r="K837" s="15"/>
      <c r="L837" s="15"/>
    </row>
    <row r="838" spans="9:12" ht="13.8">
      <c r="I838" s="14"/>
      <c r="J838" s="15"/>
      <c r="K838" s="15"/>
      <c r="L838" s="15"/>
    </row>
    <row r="839" spans="9:12" ht="13.8">
      <c r="I839" s="14"/>
      <c r="J839" s="15"/>
      <c r="K839" s="15"/>
      <c r="L839" s="15"/>
    </row>
    <row r="840" spans="9:12" ht="13.8">
      <c r="I840" s="14"/>
      <c r="J840" s="15"/>
      <c r="K840" s="15"/>
      <c r="L840" s="15"/>
    </row>
    <row r="841" spans="9:12" ht="13.8">
      <c r="I841" s="14"/>
      <c r="J841" s="15"/>
      <c r="K841" s="15"/>
      <c r="L841" s="15"/>
    </row>
    <row r="842" spans="9:12" ht="13.8">
      <c r="I842" s="14"/>
      <c r="J842" s="15"/>
      <c r="K842" s="15"/>
      <c r="L842" s="15"/>
    </row>
    <row r="843" spans="9:12" ht="13.8">
      <c r="I843" s="14"/>
      <c r="J843" s="15"/>
      <c r="K843" s="15"/>
      <c r="L843" s="15"/>
    </row>
    <row r="844" spans="9:12" ht="13.8">
      <c r="I844" s="14"/>
      <c r="J844" s="15"/>
      <c r="K844" s="15"/>
      <c r="L844" s="15"/>
    </row>
    <row r="845" spans="9:12" ht="13.8">
      <c r="I845" s="14"/>
      <c r="J845" s="15"/>
      <c r="K845" s="15"/>
      <c r="L845" s="15"/>
    </row>
    <row r="846" spans="9:12" ht="13.8">
      <c r="I846" s="14"/>
      <c r="J846" s="15"/>
      <c r="K846" s="15"/>
      <c r="L846" s="15"/>
    </row>
    <row r="847" spans="9:12" ht="13.8">
      <c r="I847" s="14"/>
      <c r="J847" s="15"/>
      <c r="K847" s="15"/>
      <c r="L847" s="15"/>
    </row>
    <row r="848" spans="9:12" ht="13.8">
      <c r="I848" s="14"/>
      <c r="J848" s="15"/>
      <c r="K848" s="15"/>
      <c r="L848" s="15"/>
    </row>
    <row r="849" spans="9:12" ht="13.8">
      <c r="I849" s="14"/>
      <c r="J849" s="15"/>
      <c r="K849" s="15"/>
      <c r="L849" s="15"/>
    </row>
    <row r="850" spans="9:12" ht="13.8">
      <c r="I850" s="14"/>
      <c r="J850" s="15"/>
      <c r="K850" s="15"/>
      <c r="L850" s="15"/>
    </row>
    <row r="851" spans="9:12" ht="13.8">
      <c r="I851" s="14"/>
      <c r="J851" s="15"/>
      <c r="K851" s="15"/>
      <c r="L851" s="15"/>
    </row>
    <row r="852" spans="9:12" ht="13.8">
      <c r="I852" s="14"/>
      <c r="J852" s="15"/>
      <c r="K852" s="15"/>
      <c r="L852" s="15"/>
    </row>
    <row r="853" spans="9:12" ht="13.8">
      <c r="I853" s="14"/>
      <c r="J853" s="15"/>
      <c r="K853" s="15"/>
      <c r="L853" s="15"/>
    </row>
    <row r="854" spans="9:12" ht="13.8">
      <c r="I854" s="14"/>
      <c r="J854" s="15"/>
      <c r="K854" s="15"/>
      <c r="L854" s="15"/>
    </row>
    <row r="855" spans="9:12" ht="13.8">
      <c r="I855" s="14"/>
      <c r="J855" s="15"/>
      <c r="K855" s="15"/>
      <c r="L855" s="15"/>
    </row>
    <row r="856" spans="9:12" ht="13.8">
      <c r="I856" s="14"/>
      <c r="J856" s="15"/>
      <c r="K856" s="15"/>
      <c r="L856" s="15"/>
    </row>
    <row r="857" spans="9:12" ht="13.8">
      <c r="I857" s="14"/>
      <c r="J857" s="15"/>
      <c r="K857" s="15"/>
      <c r="L857" s="15"/>
    </row>
    <row r="858" spans="9:12" ht="13.8">
      <c r="I858" s="14"/>
      <c r="J858" s="15"/>
      <c r="K858" s="15"/>
      <c r="L858" s="15"/>
    </row>
    <row r="859" spans="9:12" ht="13.8">
      <c r="I859" s="14"/>
      <c r="J859" s="15"/>
      <c r="K859" s="15"/>
      <c r="L859" s="15"/>
    </row>
    <row r="860" spans="9:12" ht="13.8">
      <c r="I860" s="14"/>
      <c r="J860" s="15"/>
      <c r="K860" s="15"/>
      <c r="L860" s="15"/>
    </row>
    <row r="861" spans="9:12" ht="13.8">
      <c r="I861" s="14"/>
      <c r="J861" s="15"/>
      <c r="K861" s="15"/>
      <c r="L861" s="15"/>
    </row>
    <row r="862" spans="9:12" ht="13.8">
      <c r="I862" s="14"/>
      <c r="J862" s="15"/>
      <c r="K862" s="15"/>
      <c r="L862" s="15"/>
    </row>
    <row r="863" spans="9:12" ht="13.8">
      <c r="I863" s="14"/>
      <c r="J863" s="15"/>
      <c r="K863" s="15"/>
      <c r="L863" s="15"/>
    </row>
    <row r="864" spans="9:12" ht="13.8">
      <c r="I864" s="14"/>
      <c r="J864" s="15"/>
      <c r="K864" s="15"/>
      <c r="L864" s="15"/>
    </row>
    <row r="865" spans="9:12" ht="13.8">
      <c r="I865" s="14"/>
      <c r="J865" s="15"/>
      <c r="K865" s="15"/>
      <c r="L865" s="15"/>
    </row>
    <row r="866" spans="9:12" ht="13.8">
      <c r="I866" s="14"/>
      <c r="J866" s="15"/>
      <c r="K866" s="15"/>
      <c r="L866" s="15"/>
    </row>
    <row r="867" spans="9:12" ht="13.8">
      <c r="I867" s="14"/>
      <c r="J867" s="15"/>
      <c r="K867" s="15"/>
      <c r="L867" s="15"/>
    </row>
    <row r="868" spans="9:12" ht="13.8">
      <c r="I868" s="14"/>
      <c r="J868" s="15"/>
      <c r="K868" s="15"/>
      <c r="L868" s="15"/>
    </row>
    <row r="869" spans="9:12" ht="13.8">
      <c r="I869" s="14"/>
      <c r="J869" s="15"/>
      <c r="K869" s="15"/>
      <c r="L869" s="15"/>
    </row>
    <row r="870" spans="9:12" ht="13.8">
      <c r="I870" s="14"/>
      <c r="J870" s="15"/>
      <c r="K870" s="15"/>
      <c r="L870" s="15"/>
    </row>
    <row r="871" spans="9:12" ht="13.8">
      <c r="I871" s="14"/>
      <c r="J871" s="15"/>
      <c r="K871" s="15"/>
      <c r="L871" s="15"/>
    </row>
    <row r="872" spans="9:12" ht="13.8">
      <c r="I872" s="14"/>
      <c r="J872" s="15"/>
      <c r="K872" s="15"/>
      <c r="L872" s="15"/>
    </row>
    <row r="873" spans="9:12" ht="13.8">
      <c r="I873" s="14"/>
      <c r="J873" s="15"/>
      <c r="K873" s="15"/>
      <c r="L873" s="15"/>
    </row>
    <row r="874" spans="9:12" ht="13.8">
      <c r="I874" s="14"/>
      <c r="J874" s="15"/>
      <c r="K874" s="15"/>
      <c r="L874" s="15"/>
    </row>
    <row r="875" spans="9:12" ht="13.8">
      <c r="I875" s="14"/>
      <c r="J875" s="15"/>
      <c r="K875" s="15"/>
      <c r="L875" s="15"/>
    </row>
    <row r="876" spans="9:12" ht="13.8">
      <c r="I876" s="14"/>
      <c r="J876" s="15"/>
      <c r="K876" s="15"/>
      <c r="L876" s="15"/>
    </row>
    <row r="877" spans="9:12" ht="13.8">
      <c r="I877" s="14"/>
      <c r="J877" s="15"/>
      <c r="K877" s="15"/>
      <c r="L877" s="15"/>
    </row>
    <row r="878" spans="9:12" ht="13.8">
      <c r="I878" s="14"/>
      <c r="J878" s="15"/>
      <c r="K878" s="15"/>
      <c r="L878" s="15"/>
    </row>
    <row r="879" spans="9:12" ht="13.8">
      <c r="I879" s="14"/>
      <c r="J879" s="15"/>
      <c r="K879" s="15"/>
      <c r="L879" s="15"/>
    </row>
    <row r="880" spans="9:12" ht="13.8">
      <c r="I880" s="14"/>
      <c r="J880" s="15"/>
      <c r="K880" s="15"/>
      <c r="L880" s="15"/>
    </row>
    <row r="881" spans="9:12" ht="13.8">
      <c r="I881" s="14"/>
      <c r="J881" s="15"/>
      <c r="K881" s="15"/>
      <c r="L881" s="15"/>
    </row>
    <row r="882" spans="9:12" ht="13.8">
      <c r="I882" s="14"/>
      <c r="J882" s="15"/>
      <c r="K882" s="15"/>
      <c r="L882" s="15"/>
    </row>
    <row r="883" spans="9:12" ht="13.8">
      <c r="I883" s="14"/>
      <c r="J883" s="15"/>
      <c r="K883" s="15"/>
      <c r="L883" s="15"/>
    </row>
    <row r="884" spans="9:12" ht="13.8">
      <c r="I884" s="14"/>
      <c r="J884" s="15"/>
      <c r="K884" s="15"/>
      <c r="L884" s="15"/>
    </row>
    <row r="885" spans="9:12" ht="13.8">
      <c r="I885" s="14"/>
      <c r="J885" s="15"/>
      <c r="K885" s="15"/>
      <c r="L885" s="15"/>
    </row>
    <row r="886" spans="9:12" ht="13.8">
      <c r="I886" s="14"/>
      <c r="J886" s="15"/>
      <c r="K886" s="15"/>
      <c r="L886" s="15"/>
    </row>
    <row r="887" spans="9:12" ht="13.8">
      <c r="I887" s="14"/>
      <c r="J887" s="15"/>
      <c r="K887" s="15"/>
      <c r="L887" s="15"/>
    </row>
    <row r="888" spans="9:12" ht="13.8">
      <c r="I888" s="14"/>
      <c r="J888" s="15"/>
      <c r="K888" s="15"/>
      <c r="L888" s="15"/>
    </row>
    <row r="889" spans="9:12" ht="13.8">
      <c r="I889" s="14"/>
      <c r="J889" s="15"/>
      <c r="K889" s="15"/>
      <c r="L889" s="15"/>
    </row>
    <row r="890" spans="9:12" ht="13.8">
      <c r="I890" s="14"/>
      <c r="J890" s="15"/>
      <c r="K890" s="15"/>
      <c r="L890" s="15"/>
    </row>
    <row r="891" spans="9:12" ht="13.8">
      <c r="I891" s="14"/>
      <c r="J891" s="15"/>
      <c r="K891" s="15"/>
      <c r="L891" s="15"/>
    </row>
    <row r="892" spans="9:12" ht="13.8">
      <c r="I892" s="14"/>
      <c r="J892" s="15"/>
      <c r="K892" s="15"/>
      <c r="L892" s="15"/>
    </row>
    <row r="893" spans="9:12" ht="13.8">
      <c r="I893" s="14"/>
      <c r="J893" s="15"/>
      <c r="K893" s="15"/>
      <c r="L893" s="15"/>
    </row>
    <row r="894" spans="9:12" ht="13.8">
      <c r="I894" s="14"/>
      <c r="J894" s="15"/>
      <c r="K894" s="15"/>
      <c r="L894" s="15"/>
    </row>
    <row r="895" spans="9:12" ht="13.8">
      <c r="I895" s="14"/>
      <c r="J895" s="15"/>
      <c r="K895" s="15"/>
      <c r="L895" s="15"/>
    </row>
    <row r="896" spans="9:12" ht="13.8">
      <c r="I896" s="14"/>
      <c r="J896" s="15"/>
      <c r="K896" s="15"/>
      <c r="L896" s="15"/>
    </row>
    <row r="897" spans="9:12" ht="13.8">
      <c r="I897" s="14"/>
      <c r="J897" s="15"/>
      <c r="K897" s="15"/>
      <c r="L897" s="15"/>
    </row>
    <row r="898" spans="9:12" ht="13.8">
      <c r="I898" s="14"/>
      <c r="J898" s="15"/>
      <c r="K898" s="15"/>
      <c r="L898" s="15"/>
    </row>
    <row r="899" spans="9:12" ht="13.8">
      <c r="I899" s="14"/>
      <c r="J899" s="15"/>
      <c r="K899" s="15"/>
      <c r="L899" s="15"/>
    </row>
    <row r="900" spans="9:12" ht="13.8">
      <c r="I900" s="14"/>
      <c r="J900" s="15"/>
      <c r="K900" s="15"/>
      <c r="L900" s="15"/>
    </row>
    <row r="901" spans="9:12" ht="13.8">
      <c r="I901" s="14"/>
      <c r="J901" s="15"/>
      <c r="K901" s="15"/>
      <c r="L901" s="15"/>
    </row>
    <row r="902" spans="9:12" ht="13.8">
      <c r="I902" s="14"/>
      <c r="J902" s="15"/>
      <c r="K902" s="15"/>
      <c r="L902" s="15"/>
    </row>
    <row r="903" spans="9:12" ht="13.8">
      <c r="I903" s="14"/>
      <c r="J903" s="15"/>
      <c r="K903" s="15"/>
      <c r="L903" s="15"/>
    </row>
    <row r="904" spans="9:12" ht="13.8">
      <c r="I904" s="14"/>
      <c r="J904" s="15"/>
      <c r="K904" s="15"/>
      <c r="L904" s="15"/>
    </row>
    <row r="905" spans="9:12" ht="13.8">
      <c r="I905" s="14"/>
      <c r="J905" s="15"/>
      <c r="K905" s="15"/>
      <c r="L905" s="15"/>
    </row>
    <row r="906" spans="9:12" ht="13.8">
      <c r="I906" s="14"/>
      <c r="J906" s="15"/>
      <c r="K906" s="15"/>
      <c r="L906" s="15"/>
    </row>
    <row r="907" spans="9:12" ht="13.8">
      <c r="I907" s="14"/>
      <c r="J907" s="15"/>
      <c r="K907" s="15"/>
      <c r="L907" s="15"/>
    </row>
    <row r="908" spans="9:12" ht="13.8">
      <c r="I908" s="14"/>
      <c r="J908" s="15"/>
      <c r="K908" s="15"/>
      <c r="L908" s="15"/>
    </row>
    <row r="909" spans="9:12" ht="13.8">
      <c r="I909" s="14"/>
      <c r="J909" s="15"/>
      <c r="K909" s="15"/>
      <c r="L909" s="15"/>
    </row>
    <row r="910" spans="9:12" ht="13.8">
      <c r="I910" s="14"/>
      <c r="J910" s="15"/>
      <c r="K910" s="15"/>
      <c r="L910" s="15"/>
    </row>
    <row r="911" spans="9:12" ht="13.8">
      <c r="I911" s="14"/>
      <c r="J911" s="15"/>
      <c r="K911" s="15"/>
      <c r="L911" s="15"/>
    </row>
    <row r="912" spans="9:12" ht="13.8">
      <c r="I912" s="14"/>
      <c r="J912" s="15"/>
      <c r="K912" s="15"/>
      <c r="L912" s="15"/>
    </row>
    <row r="913" spans="9:12" ht="13.8">
      <c r="I913" s="14"/>
      <c r="J913" s="15"/>
      <c r="K913" s="15"/>
      <c r="L913" s="15"/>
    </row>
    <row r="914" spans="9:12" ht="13.8">
      <c r="I914" s="14"/>
      <c r="J914" s="15"/>
      <c r="K914" s="15"/>
      <c r="L914" s="15"/>
    </row>
    <row r="915" spans="9:12" ht="13.8">
      <c r="I915" s="14"/>
      <c r="J915" s="15"/>
      <c r="K915" s="15"/>
      <c r="L915" s="15"/>
    </row>
    <row r="916" spans="9:12" ht="13.8">
      <c r="I916" s="14"/>
      <c r="J916" s="15"/>
      <c r="K916" s="15"/>
      <c r="L916" s="15"/>
    </row>
    <row r="917" spans="9:12" ht="13.8">
      <c r="I917" s="14"/>
      <c r="J917" s="15"/>
      <c r="K917" s="15"/>
      <c r="L917" s="15"/>
    </row>
    <row r="918" spans="9:12" ht="13.8">
      <c r="I918" s="14"/>
      <c r="J918" s="15"/>
      <c r="K918" s="15"/>
      <c r="L918" s="15"/>
    </row>
    <row r="919" spans="9:12" ht="13.8">
      <c r="I919" s="14"/>
      <c r="J919" s="15"/>
      <c r="K919" s="15"/>
      <c r="L919" s="15"/>
    </row>
    <row r="920" spans="9:12" ht="13.8">
      <c r="I920" s="14"/>
      <c r="J920" s="15"/>
      <c r="K920" s="15"/>
      <c r="L920" s="15"/>
    </row>
    <row r="921" spans="9:12" ht="13.8">
      <c r="I921" s="14"/>
      <c r="J921" s="15"/>
      <c r="K921" s="15"/>
      <c r="L921" s="15"/>
    </row>
    <row r="922" spans="9:12" ht="13.8">
      <c r="I922" s="14"/>
      <c r="J922" s="15"/>
      <c r="K922" s="15"/>
      <c r="L922" s="15"/>
    </row>
    <row r="923" spans="9:12" ht="13.8">
      <c r="I923" s="14"/>
      <c r="J923" s="15"/>
      <c r="K923" s="15"/>
      <c r="L923" s="15"/>
    </row>
    <row r="924" spans="9:12" ht="13.8">
      <c r="I924" s="14"/>
      <c r="J924" s="15"/>
      <c r="K924" s="15"/>
      <c r="L924" s="15"/>
    </row>
    <row r="925" spans="9:12" ht="13.8">
      <c r="I925" s="14"/>
      <c r="J925" s="15"/>
      <c r="K925" s="15"/>
      <c r="L925" s="15"/>
    </row>
    <row r="926" spans="9:12" ht="13.8">
      <c r="I926" s="14"/>
      <c r="J926" s="15"/>
      <c r="K926" s="15"/>
      <c r="L926" s="15"/>
    </row>
    <row r="927" spans="9:12" ht="13.8">
      <c r="I927" s="14"/>
      <c r="J927" s="15"/>
      <c r="K927" s="15"/>
      <c r="L927" s="15"/>
    </row>
    <row r="928" spans="9:12" ht="13.8">
      <c r="I928" s="14"/>
      <c r="J928" s="15"/>
      <c r="K928" s="15"/>
      <c r="L928" s="15"/>
    </row>
    <row r="929" spans="9:12" ht="13.8">
      <c r="I929" s="14"/>
      <c r="J929" s="15"/>
      <c r="K929" s="15"/>
      <c r="L929" s="15"/>
    </row>
    <row r="930" spans="9:12" ht="13.8">
      <c r="I930" s="14"/>
      <c r="J930" s="15"/>
      <c r="K930" s="15"/>
      <c r="L930" s="15"/>
    </row>
    <row r="931" spans="9:12" ht="13.8">
      <c r="I931" s="14"/>
      <c r="J931" s="15"/>
      <c r="K931" s="15"/>
      <c r="L931" s="15"/>
    </row>
    <row r="932" spans="9:12" ht="13.8">
      <c r="I932" s="14"/>
      <c r="J932" s="15"/>
      <c r="K932" s="15"/>
      <c r="L932" s="15"/>
    </row>
    <row r="933" spans="9:12" ht="13.8">
      <c r="I933" s="14"/>
      <c r="J933" s="15"/>
      <c r="K933" s="15"/>
      <c r="L933" s="15"/>
    </row>
    <row r="934" spans="9:12" ht="13.8">
      <c r="I934" s="14"/>
      <c r="J934" s="15"/>
      <c r="K934" s="15"/>
      <c r="L934" s="15"/>
    </row>
    <row r="935" spans="9:12" ht="13.8">
      <c r="I935" s="14"/>
      <c r="J935" s="15"/>
      <c r="K935" s="15"/>
      <c r="L935" s="15"/>
    </row>
    <row r="936" spans="9:12" ht="13.8">
      <c r="I936" s="14"/>
      <c r="J936" s="15"/>
      <c r="K936" s="15"/>
      <c r="L936" s="15"/>
    </row>
    <row r="937" spans="9:12" ht="13.8">
      <c r="I937" s="14"/>
      <c r="J937" s="15"/>
      <c r="K937" s="15"/>
      <c r="L937" s="15"/>
    </row>
    <row r="938" spans="9:12" ht="13.8">
      <c r="I938" s="14"/>
      <c r="J938" s="15"/>
      <c r="K938" s="15"/>
      <c r="L938" s="15"/>
    </row>
    <row r="939" spans="9:12" ht="13.8">
      <c r="I939" s="14"/>
      <c r="J939" s="15"/>
      <c r="K939" s="15"/>
      <c r="L939" s="15"/>
    </row>
    <row r="940" spans="9:12" ht="13.8">
      <c r="I940" s="14"/>
      <c r="J940" s="15"/>
      <c r="K940" s="15"/>
      <c r="L940" s="15"/>
    </row>
    <row r="941" spans="9:12" ht="13.8">
      <c r="I941" s="14"/>
      <c r="J941" s="15"/>
      <c r="K941" s="15"/>
      <c r="L941" s="15"/>
    </row>
    <row r="942" spans="9:12" ht="13.8">
      <c r="I942" s="14"/>
      <c r="J942" s="15"/>
      <c r="K942" s="15"/>
      <c r="L942" s="15"/>
    </row>
    <row r="943" spans="9:12" ht="13.8">
      <c r="I943" s="14"/>
      <c r="J943" s="15"/>
      <c r="K943" s="15"/>
      <c r="L943" s="15"/>
    </row>
    <row r="944" spans="9:12" ht="13.8">
      <c r="I944" s="14"/>
      <c r="J944" s="15"/>
      <c r="K944" s="15"/>
      <c r="L944" s="15"/>
    </row>
    <row r="945" spans="9:12" ht="13.8">
      <c r="I945" s="14"/>
      <c r="J945" s="15"/>
      <c r="K945" s="15"/>
      <c r="L945" s="15"/>
    </row>
    <row r="946" spans="9:12" ht="13.8">
      <c r="I946" s="14"/>
      <c r="J946" s="15"/>
      <c r="K946" s="15"/>
      <c r="L946" s="15"/>
    </row>
    <row r="947" spans="9:12" ht="13.8">
      <c r="I947" s="14"/>
      <c r="J947" s="15"/>
      <c r="K947" s="15"/>
      <c r="L947" s="15"/>
    </row>
    <row r="948" spans="9:12" ht="13.8">
      <c r="I948" s="14"/>
      <c r="J948" s="15"/>
      <c r="K948" s="15"/>
      <c r="L948" s="15"/>
    </row>
    <row r="949" spans="9:12" ht="13.8">
      <c r="I949" s="14"/>
      <c r="J949" s="15"/>
      <c r="K949" s="15"/>
      <c r="L949" s="15"/>
    </row>
    <row r="950" spans="9:12" ht="13.8">
      <c r="I950" s="14"/>
      <c r="J950" s="15"/>
      <c r="K950" s="15"/>
      <c r="L950" s="15"/>
    </row>
    <row r="951" spans="9:12" ht="13.8">
      <c r="I951" s="14"/>
      <c r="J951" s="15"/>
      <c r="K951" s="15"/>
      <c r="L951" s="15"/>
    </row>
    <row r="952" spans="9:12" ht="13.8">
      <c r="I952" s="14"/>
      <c r="J952" s="15"/>
      <c r="K952" s="15"/>
      <c r="L952" s="15"/>
    </row>
    <row r="953" spans="9:12" ht="13.8">
      <c r="I953" s="14"/>
      <c r="J953" s="15"/>
      <c r="K953" s="15"/>
      <c r="L953" s="15"/>
    </row>
    <row r="954" spans="9:12" ht="13.8">
      <c r="I954" s="14"/>
      <c r="J954" s="15"/>
      <c r="K954" s="15"/>
      <c r="L954" s="15"/>
    </row>
    <row r="955" spans="9:12" ht="13.8">
      <c r="I955" s="14"/>
      <c r="J955" s="15"/>
      <c r="K955" s="15"/>
      <c r="L955" s="15"/>
    </row>
    <row r="956" spans="9:12" ht="13.8">
      <c r="I956" s="14"/>
      <c r="J956" s="15"/>
      <c r="K956" s="15"/>
      <c r="L956" s="15"/>
    </row>
    <row r="957" spans="9:12" ht="13.8">
      <c r="I957" s="14"/>
      <c r="J957" s="15"/>
      <c r="K957" s="15"/>
      <c r="L957" s="15"/>
    </row>
    <row r="958" spans="9:12" ht="13.8">
      <c r="I958" s="14"/>
      <c r="J958" s="15"/>
      <c r="K958" s="15"/>
      <c r="L958" s="15"/>
    </row>
    <row r="959" spans="9:12" ht="13.8">
      <c r="I959" s="14"/>
      <c r="J959" s="15"/>
      <c r="K959" s="15"/>
      <c r="L959" s="15"/>
    </row>
    <row r="960" spans="9:12" ht="13.8">
      <c r="I960" s="14"/>
      <c r="J960" s="15"/>
      <c r="K960" s="15"/>
      <c r="L960" s="15"/>
    </row>
    <row r="961" spans="9:12" ht="13.8">
      <c r="I961" s="14"/>
      <c r="J961" s="15"/>
      <c r="K961" s="15"/>
      <c r="L961" s="15"/>
    </row>
    <row r="962" spans="9:12" ht="13.8">
      <c r="I962" s="14"/>
      <c r="J962" s="15"/>
      <c r="K962" s="15"/>
      <c r="L962" s="15"/>
    </row>
    <row r="963" spans="9:12" ht="13.8">
      <c r="I963" s="14"/>
      <c r="J963" s="15"/>
      <c r="K963" s="15"/>
      <c r="L963" s="15"/>
    </row>
    <row r="964" spans="9:12" ht="13.8">
      <c r="I964" s="14"/>
      <c r="J964" s="15"/>
      <c r="K964" s="15"/>
      <c r="L964" s="15"/>
    </row>
    <row r="965" spans="9:12" ht="13.8">
      <c r="I965" s="14"/>
      <c r="J965" s="15"/>
      <c r="K965" s="15"/>
      <c r="L965" s="15"/>
    </row>
    <row r="966" spans="9:12" ht="13.8">
      <c r="I966" s="14"/>
      <c r="J966" s="15"/>
      <c r="K966" s="15"/>
      <c r="L966" s="15"/>
    </row>
    <row r="967" spans="9:12" ht="13.8">
      <c r="I967" s="14"/>
      <c r="J967" s="15"/>
      <c r="K967" s="15"/>
      <c r="L967" s="15"/>
    </row>
    <row r="968" spans="9:12" ht="13.8">
      <c r="I968" s="14"/>
      <c r="J968" s="15"/>
      <c r="K968" s="15"/>
      <c r="L968" s="15"/>
    </row>
    <row r="969" spans="9:12" ht="13.8">
      <c r="I969" s="14"/>
      <c r="J969" s="15"/>
      <c r="K969" s="15"/>
      <c r="L969" s="15"/>
    </row>
    <row r="970" spans="9:12" ht="13.8">
      <c r="I970" s="14"/>
      <c r="J970" s="15"/>
      <c r="K970" s="15"/>
      <c r="L970" s="15"/>
    </row>
    <row r="971" spans="9:12" ht="13.8">
      <c r="I971" s="14"/>
      <c r="J971" s="15"/>
      <c r="K971" s="15"/>
      <c r="L971" s="15"/>
    </row>
    <row r="972" spans="9:12" ht="13.8">
      <c r="I972" s="14"/>
      <c r="J972" s="15"/>
      <c r="K972" s="15"/>
      <c r="L972" s="15"/>
    </row>
    <row r="973" spans="9:12" ht="13.8">
      <c r="I973" s="14"/>
      <c r="J973" s="15"/>
      <c r="K973" s="15"/>
      <c r="L973" s="15"/>
    </row>
    <row r="974" spans="9:12" ht="13.8">
      <c r="I974" s="14"/>
      <c r="J974" s="15"/>
      <c r="K974" s="15"/>
      <c r="L974" s="15"/>
    </row>
    <row r="975" spans="9:12" ht="13.8">
      <c r="I975" s="14"/>
      <c r="J975" s="15"/>
      <c r="K975" s="15"/>
      <c r="L975" s="15"/>
    </row>
    <row r="976" spans="9:12" ht="13.8">
      <c r="I976" s="14"/>
      <c r="J976" s="15"/>
      <c r="K976" s="15"/>
      <c r="L976" s="15"/>
    </row>
    <row r="977" spans="9:12" ht="13.8">
      <c r="I977" s="14"/>
      <c r="J977" s="15"/>
      <c r="K977" s="15"/>
      <c r="L977" s="15"/>
    </row>
    <row r="978" spans="9:12" ht="13.8">
      <c r="I978" s="14"/>
      <c r="J978" s="15"/>
      <c r="K978" s="15"/>
      <c r="L978" s="15"/>
    </row>
    <row r="979" spans="9:12" ht="13.8">
      <c r="I979" s="14"/>
      <c r="J979" s="15"/>
      <c r="K979" s="15"/>
      <c r="L979" s="15"/>
    </row>
    <row r="980" spans="9:12" ht="13.8">
      <c r="I980" s="14"/>
      <c r="J980" s="15"/>
      <c r="K980" s="15"/>
      <c r="L980" s="15"/>
    </row>
    <row r="981" spans="9:12" ht="13.8">
      <c r="I981" s="14"/>
      <c r="J981" s="15"/>
      <c r="K981" s="15"/>
      <c r="L981" s="15"/>
    </row>
    <row r="982" spans="9:12" ht="13.8">
      <c r="I982" s="14"/>
      <c r="J982" s="15"/>
      <c r="K982" s="15"/>
      <c r="L982" s="15"/>
    </row>
    <row r="983" spans="9:12" ht="13.8">
      <c r="I983" s="14"/>
      <c r="J983" s="15"/>
      <c r="K983" s="15"/>
      <c r="L983" s="15"/>
    </row>
    <row r="984" spans="9:12" ht="13.8">
      <c r="I984" s="14"/>
      <c r="J984" s="15"/>
      <c r="K984" s="15"/>
      <c r="L984" s="15"/>
    </row>
    <row r="985" spans="9:12" ht="14.4" thickBot="1">
      <c r="I985" s="14"/>
      <c r="J985" s="15"/>
      <c r="K985" s="15"/>
      <c r="L985" s="15"/>
    </row>
    <row r="986" spans="9:12" ht="14.4" thickBot="1">
      <c r="I986" s="14"/>
      <c r="J986" s="16"/>
      <c r="K986" s="16"/>
      <c r="L986" s="15"/>
    </row>
    <row r="987" spans="9:12" ht="14.4" thickBot="1">
      <c r="I987" s="14"/>
      <c r="J987" s="16"/>
      <c r="K987" s="16"/>
      <c r="L987" s="15"/>
    </row>
    <row r="988" spans="9:12" ht="14.4" thickBot="1">
      <c r="I988" s="14"/>
      <c r="J988" s="16"/>
      <c r="K988" s="16"/>
      <c r="L988" s="15"/>
    </row>
    <row r="989" spans="9:12" ht="14.4" thickBot="1">
      <c r="I989" s="14"/>
      <c r="J989" s="16"/>
      <c r="K989" s="16"/>
      <c r="L989" s="15"/>
    </row>
    <row r="990" spans="9:12" ht="14.4" thickBot="1">
      <c r="I990" s="14"/>
      <c r="J990" s="16"/>
      <c r="K990" s="16"/>
      <c r="L990" s="15"/>
    </row>
    <row r="991" spans="9:12" ht="14.4" thickBot="1">
      <c r="I991" s="14"/>
      <c r="J991" s="16"/>
      <c r="K991" s="16"/>
      <c r="L991" s="15"/>
    </row>
    <row r="992" spans="9:12" ht="14.4" thickBot="1">
      <c r="I992" s="14"/>
      <c r="J992" s="16"/>
      <c r="K992" s="16"/>
      <c r="L992" s="15"/>
    </row>
    <row r="993" spans="9:12" ht="14.4" thickBot="1">
      <c r="I993" s="14"/>
      <c r="J993" s="16"/>
      <c r="K993" s="16"/>
      <c r="L993" s="15"/>
    </row>
    <row r="994" spans="9:12" ht="14.4" thickBot="1">
      <c r="I994" s="14"/>
      <c r="J994" s="16"/>
      <c r="K994" s="16"/>
      <c r="L994" s="15"/>
    </row>
    <row r="995" spans="9:12" ht="14.4" thickBot="1">
      <c r="I995" s="14"/>
      <c r="J995" s="16"/>
      <c r="K995" s="16"/>
      <c r="L995" s="15"/>
    </row>
    <row r="996" spans="9:12" ht="14.4" thickBot="1">
      <c r="I996" s="14"/>
      <c r="J996" s="16"/>
      <c r="K996" s="16"/>
      <c r="L996" s="15"/>
    </row>
    <row r="997" spans="9:12" ht="14.4" thickBot="1">
      <c r="I997" s="14"/>
      <c r="J997" s="16"/>
      <c r="K997" s="16"/>
      <c r="L997" s="15"/>
    </row>
    <row r="998" spans="9:12" ht="14.4" thickBot="1">
      <c r="I998" s="14"/>
      <c r="J998" s="16"/>
      <c r="K998" s="16"/>
      <c r="L998" s="15"/>
    </row>
    <row r="999" spans="9:12" ht="14.4" thickBot="1">
      <c r="I999" s="14"/>
      <c r="J999" s="16"/>
      <c r="K999" s="16"/>
      <c r="L999" s="15"/>
    </row>
    <row r="1000" spans="9:12" ht="14.4" thickBot="1">
      <c r="I1000" s="14"/>
      <c r="J1000" s="16"/>
      <c r="K1000" s="16"/>
      <c r="L1000" s="15"/>
    </row>
    <row r="1001" spans="9:12" ht="14.4" thickBot="1">
      <c r="I1001" s="14"/>
      <c r="J1001" s="16"/>
      <c r="K1001" s="16"/>
      <c r="L1001" s="15"/>
    </row>
    <row r="1002" spans="9:12" ht="14.4" thickBot="1">
      <c r="I1002" s="14"/>
      <c r="J1002" s="16"/>
      <c r="K1002" s="16"/>
      <c r="L1002" s="15"/>
    </row>
    <row r="1003" spans="9:12" ht="14.4" thickBot="1">
      <c r="I1003" s="14"/>
      <c r="J1003" s="16"/>
      <c r="K1003" s="16"/>
      <c r="L1003" s="15"/>
    </row>
    <row r="1004" spans="9:12" ht="14.4" thickBot="1">
      <c r="I1004" s="14"/>
      <c r="J1004" s="16"/>
      <c r="K1004" s="16"/>
      <c r="L1004" s="15"/>
    </row>
    <row r="1005" spans="9:12" ht="14.4" thickBot="1">
      <c r="I1005" s="14"/>
      <c r="J1005" s="16"/>
      <c r="K1005" s="16"/>
      <c r="L1005" s="15"/>
    </row>
    <row r="1006" spans="9:12" ht="14.4" thickBot="1">
      <c r="I1006" s="14"/>
      <c r="J1006" s="16"/>
      <c r="K1006" s="16"/>
      <c r="L1006" s="15"/>
    </row>
    <row r="1007" spans="9:12" ht="14.4" thickBot="1">
      <c r="I1007" s="14"/>
      <c r="J1007" s="16"/>
      <c r="K1007" s="16"/>
      <c r="L1007" s="15"/>
    </row>
    <row r="1008" spans="9:12" ht="14.4" thickBot="1">
      <c r="I1008" s="14"/>
      <c r="J1008" s="16"/>
      <c r="K1008" s="16"/>
      <c r="L1008" s="15"/>
    </row>
    <row r="1009" spans="9:12" ht="14.4" thickBot="1">
      <c r="I1009" s="14"/>
      <c r="J1009" s="16"/>
      <c r="K1009" s="16"/>
      <c r="L1009" s="15"/>
    </row>
    <row r="1010" spans="9:12" ht="14.4" thickBot="1">
      <c r="I1010" s="14"/>
      <c r="J1010" s="16"/>
      <c r="K1010" s="16"/>
      <c r="L1010" s="15"/>
    </row>
    <row r="1011" spans="9:12" ht="14.4" thickBot="1">
      <c r="I1011" s="14"/>
      <c r="J1011" s="16"/>
      <c r="K1011" s="16"/>
      <c r="L1011" s="15"/>
    </row>
    <row r="1012" spans="9:12" ht="14.4" thickBot="1">
      <c r="I1012" s="14"/>
      <c r="J1012" s="16"/>
      <c r="K1012" s="16"/>
      <c r="L1012" s="15"/>
    </row>
    <row r="1013" spans="9:12" ht="14.4" thickBot="1">
      <c r="I1013" s="14"/>
      <c r="J1013" s="16"/>
      <c r="K1013" s="16"/>
      <c r="L1013" s="15"/>
    </row>
    <row r="1014" spans="9:12" ht="14.4" thickBot="1">
      <c r="I1014" s="14"/>
      <c r="J1014" s="16"/>
      <c r="K1014" s="16"/>
      <c r="L1014" s="15"/>
    </row>
    <row r="1015" spans="9:12" ht="14.4" thickBot="1">
      <c r="I1015" s="14"/>
      <c r="J1015" s="16"/>
      <c r="K1015" s="16"/>
      <c r="L1015" s="15"/>
    </row>
    <row r="1016" spans="9:12" ht="14.4" thickBot="1">
      <c r="I1016" s="14"/>
      <c r="J1016" s="16"/>
      <c r="K1016" s="16"/>
      <c r="L1016" s="15"/>
    </row>
  </sheetData>
  <autoFilter ref="A1:AC29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PARA FACTURISTAS PERIO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2026-05-18T17:32:52Z</dcterms:created>
  <dcterms:modified xsi:type="dcterms:W3CDTF">2026-05-18T18:09:12Z</dcterms:modified>
</cp:coreProperties>
</file>