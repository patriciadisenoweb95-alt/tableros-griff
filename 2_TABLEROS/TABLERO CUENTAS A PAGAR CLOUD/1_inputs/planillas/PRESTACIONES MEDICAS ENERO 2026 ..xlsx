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uario\Desktop\TABLERO CUENTAS A PAGAR CLOUD\1_inputs\planillas\"/>
    </mc:Choice>
  </mc:AlternateContent>
  <xr:revisionPtr revIDLastSave="0" documentId="8_{F35BBD4E-1D33-4434-B288-50A1C434AD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LA PARA FACTURISTAS PERIO" sheetId="1" r:id="rId1"/>
    <sheet name="POR TRANSFERENCIA" sheetId="3" r:id="rId2"/>
    <sheet name="PROPUESTAS" sheetId="2" r:id="rId3"/>
  </sheets>
  <definedNames>
    <definedName name="_xlnm._FilterDatabase" localSheetId="0" hidden="1">'PLANILLA PARA FACTURISTAS PERIO'!$A$1:$Q$200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5" i="3" l="1"/>
  <c r="J25" i="3" s="1"/>
  <c r="K25" i="3" s="1"/>
  <c r="I24" i="3"/>
  <c r="I23" i="3"/>
  <c r="I22" i="3"/>
  <c r="I21" i="3"/>
  <c r="J24" i="3" s="1"/>
  <c r="K24" i="3" s="1"/>
  <c r="I20" i="3"/>
  <c r="J20" i="3" s="1"/>
  <c r="K20" i="3" s="1"/>
  <c r="I19" i="3"/>
  <c r="J19" i="3" s="1"/>
  <c r="K19" i="3" s="1"/>
  <c r="J18" i="3"/>
  <c r="K18" i="3" s="1"/>
  <c r="I18" i="3"/>
  <c r="I17" i="3"/>
  <c r="J17" i="3" s="1"/>
  <c r="K17" i="3" s="1"/>
  <c r="I16" i="3"/>
  <c r="J16" i="3" s="1"/>
  <c r="K16" i="3" s="1"/>
  <c r="I15" i="3"/>
  <c r="J15" i="3" s="1"/>
  <c r="K15" i="3" s="1"/>
  <c r="I14" i="3"/>
  <c r="J14" i="3" s="1"/>
  <c r="K14" i="3" s="1"/>
  <c r="I13" i="3"/>
  <c r="J13" i="3" s="1"/>
  <c r="K13" i="3" s="1"/>
  <c r="I12" i="3"/>
  <c r="I11" i="3"/>
  <c r="J11" i="3" s="1"/>
  <c r="K11" i="3" s="1"/>
  <c r="I10" i="3"/>
  <c r="J10" i="3" s="1"/>
  <c r="K10" i="3" s="1"/>
  <c r="I9" i="3"/>
  <c r="J9" i="3" s="1"/>
  <c r="K9" i="3" s="1"/>
  <c r="I8" i="3"/>
  <c r="J8" i="3" s="1"/>
  <c r="K8" i="3" s="1"/>
  <c r="I7" i="3"/>
  <c r="J7" i="3" s="1"/>
  <c r="K7" i="3" s="1"/>
  <c r="I6" i="3"/>
  <c r="J6" i="3" s="1"/>
  <c r="K6" i="3" s="1"/>
  <c r="I5" i="3"/>
  <c r="J5" i="3" s="1"/>
  <c r="K5" i="3" s="1"/>
  <c r="I4" i="3"/>
  <c r="J4" i="3" s="1"/>
  <c r="K4" i="3" s="1"/>
  <c r="I3" i="3"/>
  <c r="J3" i="3" s="1"/>
  <c r="K3" i="3" s="1"/>
  <c r="I2" i="3"/>
  <c r="J2" i="3" s="1"/>
  <c r="K2" i="3" s="1"/>
  <c r="K26" i="3" l="1"/>
  <c r="L107" i="2"/>
  <c r="L106" i="2"/>
  <c r="L105" i="2"/>
  <c r="L104" i="2"/>
  <c r="L103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3" i="2"/>
  <c r="L72" i="2"/>
  <c r="L71" i="2"/>
  <c r="M73" i="2" s="1"/>
  <c r="L67" i="2"/>
  <c r="L66" i="2"/>
  <c r="L65" i="2"/>
  <c r="M107" i="2" l="1"/>
  <c r="P107" i="2" s="1"/>
  <c r="M98" i="2"/>
  <c r="O98" i="2" s="1"/>
  <c r="M67" i="2"/>
  <c r="O107" i="2"/>
  <c r="N107" i="2"/>
  <c r="O73" i="2"/>
  <c r="N73" i="2"/>
  <c r="N67" i="2"/>
  <c r="P67" i="2"/>
  <c r="O67" i="2"/>
  <c r="N98" i="2" l="1"/>
  <c r="J45" i="2" l="1"/>
  <c r="J57" i="2"/>
  <c r="J56" i="2"/>
  <c r="J55" i="2"/>
  <c r="J54" i="2"/>
  <c r="J53" i="2"/>
  <c r="J52" i="2"/>
  <c r="K57" i="2" s="1"/>
  <c r="L57" i="2" s="1"/>
  <c r="J35" i="2"/>
  <c r="J34" i="2"/>
  <c r="J33" i="2"/>
  <c r="J32" i="2"/>
  <c r="J50" i="2"/>
  <c r="J49" i="2"/>
  <c r="J48" i="2"/>
  <c r="J47" i="2"/>
  <c r="J46" i="2"/>
  <c r="J40" i="2"/>
  <c r="J39" i="2"/>
  <c r="J38" i="2"/>
  <c r="J37" i="2"/>
  <c r="M40" i="2" s="1"/>
  <c r="J36" i="2"/>
  <c r="K40" i="2" l="1"/>
  <c r="K50" i="2"/>
  <c r="L5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Carla Toledo</author>
  </authors>
  <commentList>
    <comment ref="M13" authorId="0" shapeId="0" xr:uid="{0E9F6076-B3CE-43A6-AD0E-954D0EF509D5}">
      <text>
        <r>
          <rPr>
            <b/>
            <sz val="9"/>
            <color indexed="81"/>
            <rFont val="Tahoma"/>
            <family val="2"/>
          </rPr>
          <t>Carla Toledo:</t>
        </r>
        <r>
          <rPr>
            <sz val="9"/>
            <color indexed="81"/>
            <rFont val="Tahoma"/>
            <family val="2"/>
          </rPr>
          <t xml:space="preserve">
10/04/2026
</t>
        </r>
      </text>
    </comment>
    <comment ref="M69" authorId="0" shapeId="0" xr:uid="{A78081C2-2B74-452F-B575-3107A68B7993}">
      <text>
        <r>
          <rPr>
            <b/>
            <sz val="9"/>
            <color indexed="81"/>
            <rFont val="Tahoma"/>
            <family val="2"/>
          </rPr>
          <t>Carla Toledo:</t>
        </r>
        <r>
          <rPr>
            <sz val="9"/>
            <color indexed="81"/>
            <rFont val="Tahoma"/>
            <family val="2"/>
          </rPr>
          <t xml:space="preserve">
05/04/2026
</t>
        </r>
      </text>
    </comment>
    <comment ref="M87" authorId="0" shapeId="0" xr:uid="{30D5355F-7652-4555-96D4-B8FFA2AFBEEA}">
      <text>
        <r>
          <rPr>
            <b/>
            <sz val="9"/>
            <color indexed="81"/>
            <rFont val="Tahoma"/>
            <family val="2"/>
          </rPr>
          <t>Carla Toledo:</t>
        </r>
        <r>
          <rPr>
            <sz val="9"/>
            <color indexed="81"/>
            <rFont val="Tahoma"/>
            <family val="2"/>
          </rPr>
          <t xml:space="preserve">
10/04/2026
</t>
        </r>
      </text>
    </comment>
    <comment ref="M138" authorId="0" shapeId="0" xr:uid="{2073ABFC-52FD-465C-8102-92241237DF68}">
      <text>
        <r>
          <rPr>
            <b/>
            <sz val="9"/>
            <color indexed="81"/>
            <rFont val="Tahoma"/>
            <family val="2"/>
          </rPr>
          <t>Carla Toledo:</t>
        </r>
        <r>
          <rPr>
            <sz val="9"/>
            <color indexed="81"/>
            <rFont val="Tahoma"/>
            <family val="2"/>
          </rPr>
          <t xml:space="preserve">
10/04/2026</t>
        </r>
      </text>
    </comment>
    <comment ref="M145" authorId="0" shapeId="0" xr:uid="{38C82AD9-AEA4-4B18-B3FC-243B386AFB57}">
      <text>
        <r>
          <rPr>
            <b/>
            <sz val="9"/>
            <color indexed="81"/>
            <rFont val="Tahoma"/>
            <family val="2"/>
          </rPr>
          <t>Carla Toledo:</t>
        </r>
        <r>
          <rPr>
            <sz val="9"/>
            <color indexed="81"/>
            <rFont val="Tahoma"/>
            <family val="2"/>
          </rPr>
          <t xml:space="preserve">
10/04/2026</t>
        </r>
      </text>
    </comment>
    <comment ref="M172" authorId="0" shapeId="0" xr:uid="{D1EEAA1E-3CDA-466C-AED4-AB0B55760ACC}">
      <text>
        <r>
          <rPr>
            <b/>
            <sz val="9"/>
            <color indexed="81"/>
            <rFont val="Tahoma"/>
            <family val="2"/>
          </rPr>
          <t>Carla Toledo:</t>
        </r>
        <r>
          <rPr>
            <sz val="9"/>
            <color indexed="81"/>
            <rFont val="Tahoma"/>
            <family val="2"/>
          </rPr>
          <t xml:space="preserve">
ECHEQ 20/04/2026
</t>
        </r>
      </text>
    </comment>
  </commentList>
</comments>
</file>

<file path=xl/sharedStrings.xml><?xml version="1.0" encoding="utf-8"?>
<sst xmlns="http://schemas.openxmlformats.org/spreadsheetml/2006/main" count="1156" uniqueCount="330">
  <si>
    <t>PRESTADOR</t>
  </si>
  <si>
    <t>CUIT</t>
  </si>
  <si>
    <t>Numero de Factura</t>
  </si>
  <si>
    <t>Fecha</t>
  </si>
  <si>
    <t>PERIODO-PRESTACION-OS-PLAZO</t>
  </si>
  <si>
    <t>Total Factura</t>
  </si>
  <si>
    <t>ADMINSITRATIVO</t>
  </si>
  <si>
    <t>MEDICO</t>
  </si>
  <si>
    <t>A PAGAR</t>
  </si>
  <si>
    <t>VISOR PRO S.A.S.</t>
  </si>
  <si>
    <t>00001-00000001</t>
  </si>
  <si>
    <t>12-2025-AMBULATORIO-OSPEVIC-60</t>
  </si>
  <si>
    <t>UROLIT SA</t>
  </si>
  <si>
    <t>00003-00004605</t>
  </si>
  <si>
    <t>01-2026-AMBULATORIO-OSPLYFC-60-FT</t>
  </si>
  <si>
    <t>00003-00004606</t>
  </si>
  <si>
    <t>01-2026-AMBULATORIO-OSPEVIC-60-FT</t>
  </si>
  <si>
    <t>00003-00004607</t>
  </si>
  <si>
    <t>01-2026-AMBULATORIO-OSPIF-60-FT</t>
  </si>
  <si>
    <t>00003-00004608</t>
  </si>
  <si>
    <t>01-2026-AMBULATORIO-OSPM-60-FT</t>
  </si>
  <si>
    <t>UNIDAD DIGESTIVA BAISTROCCHI S.R.L.</t>
  </si>
  <si>
    <t>00003-00001970</t>
  </si>
  <si>
    <t>01-2026-AMBULATORIO-OSPLYFC-60</t>
  </si>
  <si>
    <t>00003-00001971</t>
  </si>
  <si>
    <t>01-2026-AMBULATORIO-OSPIF-60</t>
  </si>
  <si>
    <t>00003-00001969</t>
  </si>
  <si>
    <t>01-2026-AMBULATORIO-OSSURRBAC-60</t>
  </si>
  <si>
    <t>00003-00001972</t>
  </si>
  <si>
    <t>01-2026-AMBULATORIO-OSPEVIC-60</t>
  </si>
  <si>
    <t>SOLBO S.A.S.</t>
  </si>
  <si>
    <t>00001-00000424</t>
  </si>
  <si>
    <t>00001-00000426</t>
  </si>
  <si>
    <t>00001-00000425</t>
  </si>
  <si>
    <t>00001-00000428</t>
  </si>
  <si>
    <t>00001-00000427</t>
  </si>
  <si>
    <t>SOCIEDAD DE BENEFICENCIA HOSPITAL ITALIANO</t>
  </si>
  <si>
    <t>00024-00022566</t>
  </si>
  <si>
    <t>00024-00022553</t>
  </si>
  <si>
    <t>01-2026-INTERNADO-OSPEVIC-60</t>
  </si>
  <si>
    <t>00024-00022554</t>
  </si>
  <si>
    <t>00024-00022551</t>
  </si>
  <si>
    <t>01-2026-INTERNADO-OSPIF-60</t>
  </si>
  <si>
    <t>00024-00022552</t>
  </si>
  <si>
    <t>SERVICIOS MEDICOS S R L</t>
  </si>
  <si>
    <t>00017-00012890</t>
  </si>
  <si>
    <t>00017-00012888</t>
  </si>
  <si>
    <t>00017-00012889</t>
  </si>
  <si>
    <t>00016-00009715</t>
  </si>
  <si>
    <t>00029-00003446</t>
  </si>
  <si>
    <t>00016-00009722</t>
  </si>
  <si>
    <t>SCM MEDICAS S.A.</t>
  </si>
  <si>
    <t>00003-00005534</t>
  </si>
  <si>
    <t>00003-00005535</t>
  </si>
  <si>
    <t>SANATORIO PRIVADO GATTI S R L</t>
  </si>
  <si>
    <t>00003-00003667</t>
  </si>
  <si>
    <t>00003-00003668</t>
  </si>
  <si>
    <t>SANATORIO PARQUE   S A</t>
  </si>
  <si>
    <t>00005-00009438</t>
  </si>
  <si>
    <t>SANATORIO DEL SALVADOR PRIVADO SA</t>
  </si>
  <si>
    <t>00011-00022550</t>
  </si>
  <si>
    <t>00011-00022551</t>
  </si>
  <si>
    <t>00011-00022552</t>
  </si>
  <si>
    <t>00011-00022553</t>
  </si>
  <si>
    <t>00011-00022554</t>
  </si>
  <si>
    <t>00011-00022610</t>
  </si>
  <si>
    <t>01-2026-AMBULATORIO-OSPIF-45</t>
  </si>
  <si>
    <t>00011-00022611</t>
  </si>
  <si>
    <t>01-2026-AMBULATORIO-OSPEVIC-45</t>
  </si>
  <si>
    <t>00011-00023863</t>
  </si>
  <si>
    <t>00011-00023905</t>
  </si>
  <si>
    <t>01-2026-AMBULATORIO-OSPM-45</t>
  </si>
  <si>
    <t>SANATORIO CRUZ AZUL SRL</t>
  </si>
  <si>
    <t>00006-00005919</t>
  </si>
  <si>
    <t>SAN FRANCISCO SALUD-CONSORCIO DE COOPERACION</t>
  </si>
  <si>
    <t>00004-00004283</t>
  </si>
  <si>
    <t>00003-00051052</t>
  </si>
  <si>
    <t>00003-00051054</t>
  </si>
  <si>
    <t>00004-00004284</t>
  </si>
  <si>
    <t>SALUD INTEGRAL SOCIEDAD ANONIMA</t>
  </si>
  <si>
    <t>00010-00005363</t>
  </si>
  <si>
    <t>00010-00005369</t>
  </si>
  <si>
    <t>ROENTGEN S A</t>
  </si>
  <si>
    <t>00017-00013852</t>
  </si>
  <si>
    <t>00017-00013853</t>
  </si>
  <si>
    <t>RESONANCIA MAGNETICA SRL</t>
  </si>
  <si>
    <t>00005-00005918</t>
  </si>
  <si>
    <t>00005-00005932</t>
  </si>
  <si>
    <t>POLICLINICO PRIVADO SAN LUCAS S A</t>
  </si>
  <si>
    <t>00110-00021648</t>
  </si>
  <si>
    <t>00110-00021632</t>
  </si>
  <si>
    <t>PARQUE SALUD S A</t>
  </si>
  <si>
    <t>00150-00010849</t>
  </si>
  <si>
    <t>OMED MEDICINA PRIVADA SOCIEDAD DE RESPONSABILIDAD LIMITADA</t>
  </si>
  <si>
    <t>00001-00000066</t>
  </si>
  <si>
    <t>NEUROTEAM S.A.S.</t>
  </si>
  <si>
    <t>00001-00001084</t>
  </si>
  <si>
    <t>INSTITUTO PRIVADO DE NEONATOLOGIA Y PEDIATRIA S.A.</t>
  </si>
  <si>
    <t>00900-00000528</t>
  </si>
  <si>
    <t>00500-00042848</t>
  </si>
  <si>
    <t>00500-00042896</t>
  </si>
  <si>
    <t>00300-00016185</t>
  </si>
  <si>
    <t>00300-00016184</t>
  </si>
  <si>
    <t>00300-00016186</t>
  </si>
  <si>
    <t>00500-00042911</t>
  </si>
  <si>
    <t>00300-00016187</t>
  </si>
  <si>
    <t>00500-00042912</t>
  </si>
  <si>
    <t>INSTITUTO CONCI CARPINELLA SRL</t>
  </si>
  <si>
    <t>00038-00003930</t>
  </si>
  <si>
    <t>00038-00003931</t>
  </si>
  <si>
    <t>00038-00003929</t>
  </si>
  <si>
    <t>00038-00003932</t>
  </si>
  <si>
    <t>00038-00003995</t>
  </si>
  <si>
    <t>00038-00004033</t>
  </si>
  <si>
    <t>00038-00004023</t>
  </si>
  <si>
    <t>00038-00004024</t>
  </si>
  <si>
    <t>00038-00004036</t>
  </si>
  <si>
    <t>00038-00004020</t>
  </si>
  <si>
    <t>00038-00004025</t>
  </si>
  <si>
    <t>00038-00004021</t>
  </si>
  <si>
    <t>00038-00004026</t>
  </si>
  <si>
    <t>00038-00004027</t>
  </si>
  <si>
    <t>00038-00004034</t>
  </si>
  <si>
    <t>00038-00004028</t>
  </si>
  <si>
    <t>00038-00004019</t>
  </si>
  <si>
    <t>00038-00004029</t>
  </si>
  <si>
    <t>00038-00004035</t>
  </si>
  <si>
    <t>00038-00004030</t>
  </si>
  <si>
    <t>00038-00004031</t>
  </si>
  <si>
    <t>00038-00004032</t>
  </si>
  <si>
    <t>IMAGENES MEDICAS S.R.L.</t>
  </si>
  <si>
    <t>00006-00008657</t>
  </si>
  <si>
    <t>GRUPO OPTICO SA</t>
  </si>
  <si>
    <t>00015-00004956</t>
  </si>
  <si>
    <t>00015-00004957</t>
  </si>
  <si>
    <t>00015-00004955</t>
  </si>
  <si>
    <t>GPAL BIOQUIMICA CLINICA S.A.S.</t>
  </si>
  <si>
    <t>00002-00001350</t>
  </si>
  <si>
    <t>00002-00001351</t>
  </si>
  <si>
    <t>00002-00001340</t>
  </si>
  <si>
    <t>00002-00001352</t>
  </si>
  <si>
    <t>FUNDACION FECUNDART</t>
  </si>
  <si>
    <t>00006-00000014</t>
  </si>
  <si>
    <t>FUNDACION CENTRO PREVENCION Y ATENCION CONTRA BULIMIA Y ANOREXIA Y OTRAS ENFERMEDADES SOCIALES</t>
  </si>
  <si>
    <t>00004-00002491</t>
  </si>
  <si>
    <t>FEDERACION DE BIOQUIMICOS DE LA PROVINCIA DE CORDOBA</t>
  </si>
  <si>
    <t>00005-00005680</t>
  </si>
  <si>
    <t>00005-00005681</t>
  </si>
  <si>
    <t>00005-00005682</t>
  </si>
  <si>
    <t>ESTIX S.A.S.</t>
  </si>
  <si>
    <t>00004-00000410</t>
  </si>
  <si>
    <t>EQUILIBRE SALUD S.A.S.</t>
  </si>
  <si>
    <t>00001-00000603</t>
  </si>
  <si>
    <t>EL JUNCO SERVICIOS SOCIALES SA</t>
  </si>
  <si>
    <t>00118-00000702</t>
  </si>
  <si>
    <t>00118-00000703</t>
  </si>
  <si>
    <t>00118-00000705</t>
  </si>
  <si>
    <t>00118-00000704</t>
  </si>
  <si>
    <t>ECCO S. A. U.</t>
  </si>
  <si>
    <t>00203-00154518</t>
  </si>
  <si>
    <t>00203-00154519</t>
  </si>
  <si>
    <t>DIAGNOSTICO Y TRATAMIENTO EN SALUD AMBULATORIA DEL INTERIOR S.R.L.</t>
  </si>
  <si>
    <t>00002-00002535</t>
  </si>
  <si>
    <t>DE LA VILLA SERVICIOS ASISTENCIALES S.A.</t>
  </si>
  <si>
    <t>00004-00015315</t>
  </si>
  <si>
    <t>00004-00015321</t>
  </si>
  <si>
    <t>00004-00015322</t>
  </si>
  <si>
    <t>00004-00015325</t>
  </si>
  <si>
    <t>00004-00015323</t>
  </si>
  <si>
    <t>00004-00015326</t>
  </si>
  <si>
    <t>00004-00015327</t>
  </si>
  <si>
    <t>COSEME SA</t>
  </si>
  <si>
    <t>00046-00004362</t>
  </si>
  <si>
    <t>00046-00004382</t>
  </si>
  <si>
    <t>00047-00001808</t>
  </si>
  <si>
    <t>COLEGIO MEDICO REGIONAL ARROYITO</t>
  </si>
  <si>
    <t>00004-00009420</t>
  </si>
  <si>
    <t>COLEGIO MED REG DEL SUR DE CBA</t>
  </si>
  <si>
    <t>00002-00003454</t>
  </si>
  <si>
    <t>CLINICA PRIVADA SANTA MARIA S.A.</t>
  </si>
  <si>
    <t>00004-00012725</t>
  </si>
  <si>
    <t>CLINICA PRIVADA SAINT MICHEL SRL</t>
  </si>
  <si>
    <t>00005-00009041</t>
  </si>
  <si>
    <t>01-2026-REFACTURACION-OSPEVIC-60</t>
  </si>
  <si>
    <t>00005-00009040</t>
  </si>
  <si>
    <t>CLINICA PRIVADA REGIONAL S R L</t>
  </si>
  <si>
    <t>00007-00002645</t>
  </si>
  <si>
    <t>CLINICA PRIVADA JESUS MARIA DR ANIBAL LUIS VIALE S.A.</t>
  </si>
  <si>
    <t>00008-00011812</t>
  </si>
  <si>
    <t>00008-00011816</t>
  </si>
  <si>
    <t>CLINICA PRIVADA INTEGRAL DE PSIQUIATRIA SAN NICOLAS SRL S. R. L.</t>
  </si>
  <si>
    <t>00003-00000224</t>
  </si>
  <si>
    <t>00003-00000223</t>
  </si>
  <si>
    <t>00003-00000225</t>
  </si>
  <si>
    <t>00003-00000226</t>
  </si>
  <si>
    <t>CLINICA PRIVADA DEL SOL S.A.</t>
  </si>
  <si>
    <t>00008-00020210</t>
  </si>
  <si>
    <t>00008-00020250</t>
  </si>
  <si>
    <t>00008-00020251</t>
  </si>
  <si>
    <t>01-2026-AMBULATORIO-OSPEVIC-30</t>
  </si>
  <si>
    <t>CLINICA PRIVADA DE LA CIUDAD SOC RESP LTDA</t>
  </si>
  <si>
    <t>00010-00003891</t>
  </si>
  <si>
    <t>00010-00003892</t>
  </si>
  <si>
    <t>00010-00003907</t>
  </si>
  <si>
    <t>00010-00003903</t>
  </si>
  <si>
    <t>00010-00003900</t>
  </si>
  <si>
    <t>CLINICA PRIVADA DE ESPECIALIDADES DE VILLA MARIA S R L</t>
  </si>
  <si>
    <t>00004-00013745</t>
  </si>
  <si>
    <t>CLINICA PRIVADA COAT S. R. L.</t>
  </si>
  <si>
    <t>00005-00005028</t>
  </si>
  <si>
    <t>00005-00005036</t>
  </si>
  <si>
    <t>CLINICA PRIVADA CARAFFA SRL</t>
  </si>
  <si>
    <t>00015-00001165</t>
  </si>
  <si>
    <t>00009-00003785</t>
  </si>
  <si>
    <t>00009-00003786</t>
  </si>
  <si>
    <t>00008-00001245</t>
  </si>
  <si>
    <t>CLINICA MEDITERRANEA SALUD S A</t>
  </si>
  <si>
    <t>00003-00022140</t>
  </si>
  <si>
    <t>CLINICA CHUTRO S R L</t>
  </si>
  <si>
    <t>00004-00005974</t>
  </si>
  <si>
    <t>00004-00005977</t>
  </si>
  <si>
    <t>CLINICA  PRIVADA  DEAN  FUNES  S.R.L.</t>
  </si>
  <si>
    <t>00004-00000897</t>
  </si>
  <si>
    <t>CIRCULO MEDICO REGIONAL MORTEROS</t>
  </si>
  <si>
    <t>00003-00003999</t>
  </si>
  <si>
    <t>CIRCULO DE PROFESIONALES DE LA REHABILITACION DEL DEPARTAMENTO SAN MARTIN</t>
  </si>
  <si>
    <t>00004-00003145</t>
  </si>
  <si>
    <t>CIPREM SRL</t>
  </si>
  <si>
    <t>00004-00014489</t>
  </si>
  <si>
    <t>01-2026-INTERNADO-OSPLYFC-60</t>
  </si>
  <si>
    <t>00004-00014481</t>
  </si>
  <si>
    <t>00004-00014492</t>
  </si>
  <si>
    <t>CIDI S.A</t>
  </si>
  <si>
    <t>00001-00006455</t>
  </si>
  <si>
    <t>00001-00006456</t>
  </si>
  <si>
    <t>CENTRO UROLOGICO PROFESOR BENGIO S A</t>
  </si>
  <si>
    <t>00003-00003253</t>
  </si>
  <si>
    <t>CENTRO MEDICO ROENTGEN S.R.L.</t>
  </si>
  <si>
    <t>00003-00004464</t>
  </si>
  <si>
    <t>CENTRO MEDICO PRIVADO SAN ANDRES SRL</t>
  </si>
  <si>
    <t>00001-00003984</t>
  </si>
  <si>
    <t>CEMO S.A.</t>
  </si>
  <si>
    <t>00004-00009900</t>
  </si>
  <si>
    <t>00004-00009901</t>
  </si>
  <si>
    <t>CAMARA DE ENTIDADES DE SALUD - CES</t>
  </si>
  <si>
    <t>00005-00001305</t>
  </si>
  <si>
    <t>00005-00001306</t>
  </si>
  <si>
    <t>00005-00001307</t>
  </si>
  <si>
    <t>00005-00001316</t>
  </si>
  <si>
    <t>00005-00001317</t>
  </si>
  <si>
    <t>00005-00001304</t>
  </si>
  <si>
    <t>BARIATRICA S.A. S. A.</t>
  </si>
  <si>
    <t>00002-00001184</t>
  </si>
  <si>
    <t>ASOCIACION PRESTADORES DE HEMODIALISIS Y TRANSPLANTES RENALES DEL CENTRO (APHE Y TRC)</t>
  </si>
  <si>
    <t>00003-00008304</t>
  </si>
  <si>
    <t>00003-00008309</t>
  </si>
  <si>
    <t>ASOCIACION MUTUAL DOCTOR ESTEBAN LAUREANO MARADONA SALUD (AMMA SALUD)</t>
  </si>
  <si>
    <t>00005-00000463</t>
  </si>
  <si>
    <t>ASOCIACION MEDICA DEL DPTO SAN MARTIN</t>
  </si>
  <si>
    <t>ASOCIACION DE CLINICAS DEL NORTE DE LA PROVINCIA DE CORDOBA A C L I N O R</t>
  </si>
  <si>
    <t>00004-00018548</t>
  </si>
  <si>
    <t>00004-00018518</t>
  </si>
  <si>
    <t>00004-00018515</t>
  </si>
  <si>
    <t>00004-00018516</t>
  </si>
  <si>
    <t>00004-00018517</t>
  </si>
  <si>
    <t>AMPARAR S.R.L</t>
  </si>
  <si>
    <t>00008-00001612</t>
  </si>
  <si>
    <t>00008-00001611</t>
  </si>
  <si>
    <t>00008-00001613</t>
  </si>
  <si>
    <t>00008-00001643</t>
  </si>
  <si>
    <t>ASOCIACION DE BIOQUIMICOS DEL DEPARTAMENTO SAN MARTIN</t>
  </si>
  <si>
    <t>00005-00006043</t>
  </si>
  <si>
    <t>UNIVERSIDAD NACIONAL DE CORDOBA</t>
  </si>
  <si>
    <t>00704-00003943</t>
  </si>
  <si>
    <t>00104-0000548</t>
  </si>
  <si>
    <t>00012-0000906</t>
  </si>
  <si>
    <t>00104-0000547</t>
  </si>
  <si>
    <t>00104-0000549</t>
  </si>
  <si>
    <t>00104-0000540</t>
  </si>
  <si>
    <t>00014-0000947</t>
  </si>
  <si>
    <t>SISTEMA ODONTOLOGICO PRIVADO</t>
  </si>
  <si>
    <t>9-10949</t>
  </si>
  <si>
    <t>9-10984</t>
  </si>
  <si>
    <t>REYLES S.A.</t>
  </si>
  <si>
    <t>000010-00003706</t>
  </si>
  <si>
    <t>12-118</t>
  </si>
  <si>
    <t>01-2026-INTERESES-OSPEVIC-60</t>
  </si>
  <si>
    <t>00002-00009230</t>
  </si>
  <si>
    <t>00002-00009231</t>
  </si>
  <si>
    <t>TOTAL POR PRESTADOR</t>
  </si>
  <si>
    <t>INDUSMED</t>
  </si>
  <si>
    <t>00001-00000091</t>
  </si>
  <si>
    <t>TRAN. 31/03/2026</t>
  </si>
  <si>
    <t>Nro. Doc. Emisor</t>
  </si>
  <si>
    <t xml:space="preserve">Numero de Factura </t>
  </si>
  <si>
    <t>ImpTotal</t>
  </si>
  <si>
    <t>ADMINISTRATIVO</t>
  </si>
  <si>
    <t>APAGAR</t>
  </si>
  <si>
    <t>TOTAL A PAGAR</t>
  </si>
  <si>
    <t>FAC</t>
  </si>
  <si>
    <t>A</t>
  </si>
  <si>
    <t>00016-00009593</t>
  </si>
  <si>
    <t>12-2025-INTERNADO-OSPEVIC-60</t>
  </si>
  <si>
    <t>00029-00003380</t>
  </si>
  <si>
    <t>00016-00009611</t>
  </si>
  <si>
    <t>00017-00012710</t>
  </si>
  <si>
    <t>00017-00012712</t>
  </si>
  <si>
    <t>12-2025-AMBULATORIO-OSPIF-60</t>
  </si>
  <si>
    <t>00017-00012711</t>
  </si>
  <si>
    <t>12-2025-AMBULATORIO-OSPM-60</t>
  </si>
  <si>
    <t>00015-00001145</t>
  </si>
  <si>
    <t>00009-00003706</t>
  </si>
  <si>
    <t>00009-00003707</t>
  </si>
  <si>
    <t>00008-00001230</t>
  </si>
  <si>
    <t>CAPITADO</t>
  </si>
  <si>
    <t>OSSURRBAC</t>
  </si>
  <si>
    <t>OSPLYFC</t>
  </si>
  <si>
    <t>OSPIF</t>
  </si>
  <si>
    <t>AMBULATORIO</t>
  </si>
  <si>
    <t>OSPEVIC</t>
  </si>
  <si>
    <t>INTERNADO</t>
  </si>
  <si>
    <t>INTERESES</t>
  </si>
  <si>
    <t>INSTERNADO</t>
  </si>
  <si>
    <t>REFACTURACION</t>
  </si>
  <si>
    <t>OSPM</t>
  </si>
  <si>
    <t>PROTESIS</t>
  </si>
  <si>
    <t>Detalle</t>
  </si>
  <si>
    <t>OBRA SOCIAL</t>
  </si>
  <si>
    <t>ospevic</t>
  </si>
  <si>
    <t>otro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</si>
</sst>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* #,##0.00_-;_-&quot;$&quot;* \-#,##0.00_-;_-&quot;$&quot;* &quot;-&quot;??_-;_-@"/>
    <numFmt numFmtId="165" formatCode="m\-yyyy"/>
    <numFmt numFmtId="166" formatCode="_-* #,##0.00\ _€_-;\-* #,##0.00\ _€_-;_-* &quot;-&quot;??\ _€_-;_-@_-"/>
    <numFmt numFmtId="167" formatCode="_-[$$-2C0A]\ * #,##0.00_-;\-[$$-2C0A]\ * #,##0.00_-;_-[$$-2C0A]\ * &quot;-&quot;??_-;_-@_-"/>
  </numFmts>
  <fonts count="1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0"/>
      <name val="Calibri"/>
      <family val="2"/>
    </font>
    <font>
      <sz val="10"/>
      <color theme="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</font>
    <font>
      <sz val="10"/>
      <color theme="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FF00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FFFFFF"/>
      </patternFill>
    </fill>
    <fill>
      <patternFill patternType="solid">
        <fgColor theme="1"/>
        <bgColor rgb="FF00FF0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9">
    <xf numFmtId="0" fontId="0" fillId="0" borderId="0" xfId="0"/>
    <xf numFmtId="0" fontId="0" fillId="0" borderId="1" xfId="0" applyBorder="1"/>
    <xf numFmtId="0" fontId="2" fillId="6" borderId="4" xfId="0" applyFont="1" applyFill="1" applyBorder="1"/>
    <xf numFmtId="0" fontId="2" fillId="6" borderId="5" xfId="0" applyFont="1" applyFill="1" applyBorder="1"/>
    <xf numFmtId="14" fontId="2" fillId="6" borderId="5" xfId="0" applyNumberFormat="1" applyFont="1" applyFill="1" applyBorder="1"/>
    <xf numFmtId="164" fontId="2" fillId="6" borderId="5" xfId="0" applyNumberFormat="1" applyFont="1" applyFill="1" applyBorder="1"/>
    <xf numFmtId="164" fontId="2" fillId="6" borderId="6" xfId="0" applyNumberFormat="1" applyFont="1" applyFill="1" applyBorder="1"/>
    <xf numFmtId="164" fontId="2" fillId="6" borderId="7" xfId="0" applyNumberFormat="1" applyFont="1" applyFill="1" applyBorder="1"/>
    <xf numFmtId="0" fontId="3" fillId="6" borderId="8" xfId="0" applyFont="1" applyFill="1" applyBorder="1"/>
    <xf numFmtId="14" fontId="3" fillId="6" borderId="8" xfId="0" applyNumberFormat="1" applyFont="1" applyFill="1" applyBorder="1"/>
    <xf numFmtId="14" fontId="3" fillId="6" borderId="9" xfId="0" applyNumberFormat="1" applyFont="1" applyFill="1" applyBorder="1"/>
    <xf numFmtId="0" fontId="4" fillId="3" borderId="0" xfId="0" applyFont="1" applyFill="1"/>
    <xf numFmtId="0" fontId="5" fillId="3" borderId="10" xfId="0" applyFont="1" applyFill="1" applyBorder="1"/>
    <xf numFmtId="0" fontId="5" fillId="3" borderId="11" xfId="0" applyFont="1" applyFill="1" applyBorder="1"/>
    <xf numFmtId="14" fontId="5" fillId="3" borderId="11" xfId="0" applyNumberFormat="1" applyFont="1" applyFill="1" applyBorder="1"/>
    <xf numFmtId="164" fontId="5" fillId="3" borderId="11" xfId="0" applyNumberFormat="1" applyFont="1" applyFill="1" applyBorder="1"/>
    <xf numFmtId="164" fontId="6" fillId="3" borderId="11" xfId="0" applyNumberFormat="1" applyFont="1" applyFill="1" applyBorder="1"/>
    <xf numFmtId="0" fontId="4" fillId="3" borderId="11" xfId="0" applyFont="1" applyFill="1" applyBorder="1"/>
    <xf numFmtId="0" fontId="4" fillId="3" borderId="7" xfId="0" applyFont="1" applyFill="1" applyBorder="1"/>
    <xf numFmtId="0" fontId="5" fillId="3" borderId="12" xfId="0" applyFont="1" applyFill="1" applyBorder="1"/>
    <xf numFmtId="0" fontId="5" fillId="3" borderId="1" xfId="0" applyFont="1" applyFill="1" applyBorder="1"/>
    <xf numFmtId="14" fontId="5" fillId="3" borderId="1" xfId="0" applyNumberFormat="1" applyFont="1" applyFill="1" applyBorder="1"/>
    <xf numFmtId="164" fontId="5" fillId="3" borderId="1" xfId="0" applyNumberFormat="1" applyFont="1" applyFill="1" applyBorder="1"/>
    <xf numFmtId="164" fontId="6" fillId="3" borderId="1" xfId="0" applyNumberFormat="1" applyFont="1" applyFill="1" applyBorder="1"/>
    <xf numFmtId="0" fontId="4" fillId="3" borderId="1" xfId="0" applyFont="1" applyFill="1" applyBorder="1"/>
    <xf numFmtId="0" fontId="5" fillId="3" borderId="13" xfId="0" applyFont="1" applyFill="1" applyBorder="1"/>
    <xf numFmtId="0" fontId="5" fillId="3" borderId="14" xfId="0" applyFont="1" applyFill="1" applyBorder="1"/>
    <xf numFmtId="14" fontId="5" fillId="3" borderId="14" xfId="0" applyNumberFormat="1" applyFont="1" applyFill="1" applyBorder="1"/>
    <xf numFmtId="164" fontId="5" fillId="3" borderId="14" xfId="0" applyNumberFormat="1" applyFont="1" applyFill="1" applyBorder="1"/>
    <xf numFmtId="164" fontId="6" fillId="3" borderId="14" xfId="0" applyNumberFormat="1" applyFont="1" applyFill="1" applyBorder="1"/>
    <xf numFmtId="0" fontId="4" fillId="3" borderId="14" xfId="0" applyFont="1" applyFill="1" applyBorder="1"/>
    <xf numFmtId="166" fontId="4" fillId="3" borderId="14" xfId="0" applyNumberFormat="1" applyFont="1" applyFill="1" applyBorder="1"/>
    <xf numFmtId="0" fontId="4" fillId="3" borderId="15" xfId="0" applyFont="1" applyFill="1" applyBorder="1"/>
    <xf numFmtId="0" fontId="5" fillId="3" borderId="16" xfId="0" applyFont="1" applyFill="1" applyBorder="1"/>
    <xf numFmtId="0" fontId="5" fillId="3" borderId="3" xfId="0" applyFont="1" applyFill="1" applyBorder="1"/>
    <xf numFmtId="14" fontId="5" fillId="3" borderId="3" xfId="0" applyNumberFormat="1" applyFont="1" applyFill="1" applyBorder="1"/>
    <xf numFmtId="164" fontId="5" fillId="3" borderId="3" xfId="0" applyNumberFormat="1" applyFont="1" applyFill="1" applyBorder="1"/>
    <xf numFmtId="164" fontId="6" fillId="3" borderId="3" xfId="0" applyNumberFormat="1" applyFont="1" applyFill="1" applyBorder="1"/>
    <xf numFmtId="164" fontId="4" fillId="3" borderId="14" xfId="0" applyNumberFormat="1" applyFont="1" applyFill="1" applyBorder="1"/>
    <xf numFmtId="0" fontId="5" fillId="2" borderId="16" xfId="0" applyFont="1" applyFill="1" applyBorder="1"/>
    <xf numFmtId="0" fontId="5" fillId="2" borderId="3" xfId="0" applyFont="1" applyFill="1" applyBorder="1"/>
    <xf numFmtId="14" fontId="5" fillId="2" borderId="3" xfId="0" applyNumberFormat="1" applyFont="1" applyFill="1" applyBorder="1"/>
    <xf numFmtId="164" fontId="5" fillId="2" borderId="3" xfId="0" applyNumberFormat="1" applyFont="1" applyFill="1" applyBorder="1"/>
    <xf numFmtId="164" fontId="6" fillId="2" borderId="3" xfId="0" applyNumberFormat="1" applyFont="1" applyFill="1" applyBorder="1"/>
    <xf numFmtId="0" fontId="4" fillId="0" borderId="0" xfId="0" applyFont="1"/>
    <xf numFmtId="164" fontId="4" fillId="3" borderId="3" xfId="0" applyNumberFormat="1" applyFont="1" applyFill="1" applyBorder="1"/>
    <xf numFmtId="4" fontId="12" fillId="7" borderId="19" xfId="0" applyNumberFormat="1" applyFont="1" applyFill="1" applyBorder="1"/>
    <xf numFmtId="4" fontId="12" fillId="7" borderId="19" xfId="0" applyNumberFormat="1" applyFont="1" applyFill="1" applyBorder="1" applyAlignment="1">
      <alignment horizontal="center"/>
    </xf>
    <xf numFmtId="4" fontId="12" fillId="8" borderId="19" xfId="0" applyNumberFormat="1" applyFont="1" applyFill="1" applyBorder="1"/>
    <xf numFmtId="4" fontId="12" fillId="7" borderId="17" xfId="0" applyNumberFormat="1" applyFont="1" applyFill="1" applyBorder="1"/>
    <xf numFmtId="4" fontId="12" fillId="7" borderId="0" xfId="0" applyNumberFormat="1" applyFont="1" applyFill="1"/>
    <xf numFmtId="14" fontId="3" fillId="6" borderId="20" xfId="0" applyNumberFormat="1" applyFont="1" applyFill="1" applyBorder="1"/>
    <xf numFmtId="0" fontId="5" fillId="5" borderId="21" xfId="0" applyFont="1" applyFill="1" applyBorder="1"/>
    <xf numFmtId="0" fontId="5" fillId="5" borderId="22" xfId="0" applyFont="1" applyFill="1" applyBorder="1"/>
    <xf numFmtId="0" fontId="5" fillId="5" borderId="22" xfId="0" applyFont="1" applyFill="1" applyBorder="1" applyAlignment="1">
      <alignment horizontal="center"/>
    </xf>
    <xf numFmtId="14" fontId="5" fillId="5" borderId="22" xfId="0" applyNumberFormat="1" applyFont="1" applyFill="1" applyBorder="1"/>
    <xf numFmtId="4" fontId="5" fillId="5" borderId="22" xfId="0" applyNumberFormat="1" applyFont="1" applyFill="1" applyBorder="1"/>
    <xf numFmtId="4" fontId="5" fillId="5" borderId="23" xfId="0" applyNumberFormat="1" applyFont="1" applyFill="1" applyBorder="1"/>
    <xf numFmtId="4" fontId="6" fillId="5" borderId="11" xfId="0" applyNumberFormat="1" applyFont="1" applyFill="1" applyBorder="1"/>
    <xf numFmtId="0" fontId="5" fillId="5" borderId="24" xfId="0" applyFont="1" applyFill="1" applyBorder="1"/>
    <xf numFmtId="0" fontId="5" fillId="5" borderId="25" xfId="0" applyFont="1" applyFill="1" applyBorder="1"/>
    <xf numFmtId="0" fontId="5" fillId="5" borderId="25" xfId="0" applyFont="1" applyFill="1" applyBorder="1" applyAlignment="1">
      <alignment horizontal="center"/>
    </xf>
    <xf numFmtId="14" fontId="5" fillId="5" borderId="25" xfId="0" applyNumberFormat="1" applyFont="1" applyFill="1" applyBorder="1"/>
    <xf numFmtId="4" fontId="5" fillId="5" borderId="25" xfId="0" applyNumberFormat="1" applyFont="1" applyFill="1" applyBorder="1"/>
    <xf numFmtId="4" fontId="5" fillId="5" borderId="26" xfId="0" applyNumberFormat="1" applyFont="1" applyFill="1" applyBorder="1"/>
    <xf numFmtId="4" fontId="6" fillId="5" borderId="1" xfId="0" applyNumberFormat="1" applyFont="1" applyFill="1" applyBorder="1"/>
    <xf numFmtId="167" fontId="4" fillId="3" borderId="1" xfId="0" applyNumberFormat="1" applyFont="1" applyFill="1" applyBorder="1"/>
    <xf numFmtId="0" fontId="5" fillId="3" borderId="24" xfId="0" applyFont="1" applyFill="1" applyBorder="1"/>
    <xf numFmtId="0" fontId="5" fillId="3" borderId="25" xfId="0" applyFont="1" applyFill="1" applyBorder="1"/>
    <xf numFmtId="0" fontId="5" fillId="3" borderId="25" xfId="0" applyFont="1" applyFill="1" applyBorder="1" applyAlignment="1">
      <alignment horizontal="center"/>
    </xf>
    <xf numFmtId="14" fontId="5" fillId="3" borderId="25" xfId="0" applyNumberFormat="1" applyFont="1" applyFill="1" applyBorder="1"/>
    <xf numFmtId="4" fontId="5" fillId="3" borderId="25" xfId="0" applyNumberFormat="1" applyFont="1" applyFill="1" applyBorder="1"/>
    <xf numFmtId="4" fontId="5" fillId="3" borderId="26" xfId="0" applyNumberFormat="1" applyFont="1" applyFill="1" applyBorder="1"/>
    <xf numFmtId="4" fontId="6" fillId="3" borderId="1" xfId="0" applyNumberFormat="1" applyFont="1" applyFill="1" applyBorder="1"/>
    <xf numFmtId="167" fontId="5" fillId="5" borderId="1" xfId="0" applyNumberFormat="1" applyFont="1" applyFill="1" applyBorder="1"/>
    <xf numFmtId="0" fontId="5" fillId="3" borderId="27" xfId="0" applyFont="1" applyFill="1" applyBorder="1"/>
    <xf numFmtId="0" fontId="5" fillId="3" borderId="28" xfId="0" applyFont="1" applyFill="1" applyBorder="1"/>
    <xf numFmtId="14" fontId="5" fillId="3" borderId="28" xfId="0" applyNumberFormat="1" applyFont="1" applyFill="1" applyBorder="1"/>
    <xf numFmtId="4" fontId="5" fillId="3" borderId="28" xfId="0" applyNumberFormat="1" applyFont="1" applyFill="1" applyBorder="1"/>
    <xf numFmtId="4" fontId="5" fillId="5" borderId="11" xfId="0" applyNumberFormat="1" applyFont="1" applyFill="1" applyBorder="1"/>
    <xf numFmtId="167" fontId="5" fillId="3" borderId="11" xfId="0" applyNumberFormat="1" applyFont="1" applyFill="1" applyBorder="1"/>
    <xf numFmtId="0" fontId="1" fillId="3" borderId="0" xfId="0" applyFont="1" applyFill="1"/>
    <xf numFmtId="4" fontId="5" fillId="5" borderId="1" xfId="0" applyNumberFormat="1" applyFont="1" applyFill="1" applyBorder="1"/>
    <xf numFmtId="167" fontId="5" fillId="3" borderId="1" xfId="0" applyNumberFormat="1" applyFont="1" applyFill="1" applyBorder="1"/>
    <xf numFmtId="4" fontId="5" fillId="3" borderId="1" xfId="0" applyNumberFormat="1" applyFont="1" applyFill="1" applyBorder="1"/>
    <xf numFmtId="0" fontId="5" fillId="5" borderId="27" xfId="0" applyFont="1" applyFill="1" applyBorder="1"/>
    <xf numFmtId="0" fontId="5" fillId="5" borderId="28" xfId="0" applyFont="1" applyFill="1" applyBorder="1"/>
    <xf numFmtId="0" fontId="5" fillId="5" borderId="28" xfId="0" applyFont="1" applyFill="1" applyBorder="1" applyAlignment="1">
      <alignment horizontal="center"/>
    </xf>
    <xf numFmtId="14" fontId="5" fillId="5" borderId="28" xfId="0" applyNumberFormat="1" applyFont="1" applyFill="1" applyBorder="1"/>
    <xf numFmtId="4" fontId="5" fillId="5" borderId="28" xfId="0" applyNumberFormat="1" applyFont="1" applyFill="1" applyBorder="1"/>
    <xf numFmtId="4" fontId="5" fillId="5" borderId="29" xfId="0" applyNumberFormat="1" applyFont="1" applyFill="1" applyBorder="1"/>
    <xf numFmtId="4" fontId="6" fillId="5" borderId="14" xfId="0" applyNumberFormat="1" applyFont="1" applyFill="1" applyBorder="1"/>
    <xf numFmtId="167" fontId="5" fillId="5" borderId="14" xfId="0" applyNumberFormat="1" applyFont="1" applyFill="1" applyBorder="1"/>
    <xf numFmtId="0" fontId="5" fillId="3" borderId="0" xfId="0" applyFont="1" applyFill="1"/>
    <xf numFmtId="0" fontId="5" fillId="3" borderId="30" xfId="0" applyFont="1" applyFill="1" applyBorder="1"/>
    <xf numFmtId="0" fontId="5" fillId="5" borderId="31" xfId="0" applyFont="1" applyFill="1" applyBorder="1"/>
    <xf numFmtId="0" fontId="5" fillId="5" borderId="32" xfId="0" applyFont="1" applyFill="1" applyBorder="1"/>
    <xf numFmtId="0" fontId="5" fillId="5" borderId="33" xfId="0" applyFont="1" applyFill="1" applyBorder="1"/>
    <xf numFmtId="0" fontId="5" fillId="5" borderId="34" xfId="0" applyFont="1" applyFill="1" applyBorder="1"/>
    <xf numFmtId="0" fontId="5" fillId="5" borderId="1" xfId="0" applyFont="1" applyFill="1" applyBorder="1"/>
    <xf numFmtId="0" fontId="5" fillId="3" borderId="1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4" fillId="3" borderId="35" xfId="0" applyFont="1" applyFill="1" applyBorder="1"/>
    <xf numFmtId="0" fontId="4" fillId="3" borderId="30" xfId="0" applyFont="1" applyFill="1" applyBorder="1"/>
    <xf numFmtId="0" fontId="4" fillId="3" borderId="36" xfId="0" applyFont="1" applyFill="1" applyBorder="1"/>
    <xf numFmtId="166" fontId="4" fillId="3" borderId="1" xfId="0" applyNumberFormat="1" applyFont="1" applyFill="1" applyBorder="1"/>
    <xf numFmtId="166" fontId="0" fillId="0" borderId="0" xfId="0" applyNumberFormat="1"/>
    <xf numFmtId="0" fontId="5" fillId="10" borderId="11" xfId="0" applyFont="1" applyFill="1" applyBorder="1"/>
    <xf numFmtId="0" fontId="7" fillId="10" borderId="1" xfId="0" applyFont="1" applyFill="1" applyBorder="1"/>
    <xf numFmtId="0" fontId="7" fillId="3" borderId="1" xfId="0" applyFont="1" applyFill="1" applyBorder="1"/>
    <xf numFmtId="0" fontId="4" fillId="11" borderId="3" xfId="0" applyFont="1" applyFill="1" applyBorder="1"/>
    <xf numFmtId="0" fontId="4" fillId="11" borderId="2" xfId="0" applyFont="1" applyFill="1" applyBorder="1"/>
    <xf numFmtId="0" fontId="4" fillId="11" borderId="11" xfId="0" applyFont="1" applyFill="1" applyBorder="1"/>
    <xf numFmtId="0" fontId="4" fillId="11" borderId="7" xfId="0" applyFont="1" applyFill="1" applyBorder="1"/>
    <xf numFmtId="0" fontId="4" fillId="11" borderId="14" xfId="0" applyFont="1" applyFill="1" applyBorder="1"/>
    <xf numFmtId="0" fontId="4" fillId="11" borderId="15" xfId="0" applyFont="1" applyFill="1" applyBorder="1"/>
    <xf numFmtId="0" fontId="4" fillId="11" borderId="1" xfId="0" applyFont="1" applyFill="1" applyBorder="1"/>
    <xf numFmtId="0" fontId="4" fillId="11" borderId="0" xfId="0" applyFont="1" applyFill="1"/>
    <xf numFmtId="0" fontId="5" fillId="12" borderId="14" xfId="0" applyFont="1" applyFill="1" applyBorder="1"/>
    <xf numFmtId="0" fontId="5" fillId="12" borderId="15" xfId="0" applyFont="1" applyFill="1" applyBorder="1"/>
    <xf numFmtId="0" fontId="5" fillId="12" borderId="8" xfId="0" applyFont="1" applyFill="1" applyBorder="1"/>
    <xf numFmtId="0" fontId="5" fillId="12" borderId="7" xfId="0" applyFont="1" applyFill="1" applyBorder="1"/>
    <xf numFmtId="164" fontId="13" fillId="6" borderId="0" xfId="0" applyNumberFormat="1" applyFont="1" applyFill="1"/>
    <xf numFmtId="4" fontId="12" fillId="8" borderId="19" xfId="0" applyNumberFormat="1" applyFont="1" applyFill="1" applyBorder="1" applyAlignment="1">
      <alignment horizontal="center"/>
    </xf>
    <xf numFmtId="4" fontId="12" fillId="7" borderId="17" xfId="0" applyNumberFormat="1" applyFont="1" applyFill="1" applyBorder="1" applyAlignment="1">
      <alignment horizontal="center"/>
    </xf>
    <xf numFmtId="4" fontId="12" fillId="7" borderId="0" xfId="0" applyNumberFormat="1" applyFont="1" applyFill="1" applyAlignment="1">
      <alignment horizontal="center"/>
    </xf>
    <xf numFmtId="14" fontId="3" fillId="6" borderId="20" xfId="0" applyNumberFormat="1" applyFont="1" applyFill="1" applyBorder="1" applyAlignment="1">
      <alignment horizontal="center"/>
    </xf>
    <xf numFmtId="164" fontId="5" fillId="3" borderId="38" xfId="0" applyNumberFormat="1" applyFont="1" applyFill="1" applyBorder="1"/>
    <xf numFmtId="4" fontId="6" fillId="3" borderId="20" xfId="0" applyNumberFormat="1" applyFont="1" applyFill="1" applyBorder="1"/>
    <xf numFmtId="4" fontId="6" fillId="3" borderId="39" xfId="0" applyNumberFormat="1" applyFont="1" applyFill="1" applyBorder="1"/>
    <xf numFmtId="164" fontId="6" fillId="3" borderId="20" xfId="0" applyNumberFormat="1" applyFont="1" applyFill="1" applyBorder="1"/>
    <xf numFmtId="164" fontId="6" fillId="3" borderId="39" xfId="0" applyNumberFormat="1" applyFont="1" applyFill="1" applyBorder="1"/>
    <xf numFmtId="167" fontId="4" fillId="9" borderId="30" xfId="0" applyNumberFormat="1" applyFont="1" applyFill="1" applyBorder="1"/>
    <xf numFmtId="166" fontId="4" fillId="9" borderId="1" xfId="0" applyNumberFormat="1" applyFont="1" applyFill="1" applyBorder="1"/>
    <xf numFmtId="0" fontId="5" fillId="5" borderId="22" xfId="0" applyFont="1" applyFill="1" applyBorder="1" applyAlignment="1">
      <alignment horizontal="left"/>
    </xf>
    <xf numFmtId="0" fontId="5" fillId="5" borderId="25" xfId="0" applyFont="1" applyFill="1" applyBorder="1" applyAlignment="1">
      <alignment horizontal="left"/>
    </xf>
    <xf numFmtId="0" fontId="5" fillId="3" borderId="25" xfId="0" applyFont="1" applyFill="1" applyBorder="1" applyAlignment="1">
      <alignment horizontal="left"/>
    </xf>
    <xf numFmtId="0" fontId="5" fillId="3" borderId="28" xfId="0" applyFont="1" applyFill="1" applyBorder="1" applyAlignment="1">
      <alignment horizontal="left"/>
    </xf>
    <xf numFmtId="0" fontId="5" fillId="12" borderId="36" xfId="0" applyFont="1" applyFill="1" applyBorder="1"/>
    <xf numFmtId="0" fontId="5" fillId="12" borderId="40" xfId="0" applyFont="1" applyFill="1" applyBorder="1"/>
    <xf numFmtId="0" fontId="5" fillId="3" borderId="41" xfId="0" applyFont="1" applyFill="1" applyBorder="1"/>
    <xf numFmtId="0" fontId="5" fillId="3" borderId="20" xfId="0" applyFont="1" applyFill="1" applyBorder="1"/>
    <xf numFmtId="14" fontId="5" fillId="3" borderId="20" xfId="0" applyNumberFormat="1" applyFont="1" applyFill="1" applyBorder="1"/>
    <xf numFmtId="164" fontId="5" fillId="3" borderId="20" xfId="0" applyNumberFormat="1" applyFont="1" applyFill="1" applyBorder="1"/>
    <xf numFmtId="0" fontId="4" fillId="3" borderId="20" xfId="0" applyFont="1" applyFill="1" applyBorder="1"/>
    <xf numFmtId="164" fontId="5" fillId="4" borderId="42" xfId="0" applyNumberFormat="1" applyFont="1" applyFill="1" applyBorder="1"/>
    <xf numFmtId="4" fontId="12" fillId="7" borderId="17" xfId="0" applyNumberFormat="1" applyFont="1" applyFill="1" applyBorder="1" applyAlignment="1">
      <alignment horizontal="right"/>
    </xf>
    <xf numFmtId="0" fontId="3" fillId="6" borderId="18" xfId="0" applyFont="1" applyFill="1" applyBorder="1"/>
    <xf numFmtId="0" fontId="4" fillId="0" borderId="0" xfId="0" applyFont="1" applyFill="1"/>
    <xf numFmtId="0" fontId="5" fillId="0" borderId="10" xfId="0" applyFont="1" applyFill="1" applyBorder="1"/>
    <xf numFmtId="0" fontId="5" fillId="0" borderId="11" xfId="0" applyFont="1" applyFill="1" applyBorder="1"/>
    <xf numFmtId="14" fontId="5" fillId="0" borderId="11" xfId="0" applyNumberFormat="1" applyFont="1" applyFill="1" applyBorder="1"/>
    <xf numFmtId="164" fontId="5" fillId="0" borderId="11" xfId="0" applyNumberFormat="1" applyFont="1" applyFill="1" applyBorder="1"/>
    <xf numFmtId="164" fontId="6" fillId="0" borderId="11" xfId="0" applyNumberFormat="1" applyFont="1" applyFill="1" applyBorder="1"/>
    <xf numFmtId="0" fontId="4" fillId="0" borderId="11" xfId="0" applyFont="1" applyFill="1" applyBorder="1"/>
    <xf numFmtId="0" fontId="4" fillId="0" borderId="7" xfId="0" applyFont="1" applyFill="1" applyBorder="1"/>
    <xf numFmtId="0" fontId="5" fillId="0" borderId="12" xfId="0" applyFont="1" applyFill="1" applyBorder="1"/>
    <xf numFmtId="0" fontId="5" fillId="0" borderId="1" xfId="0" applyFont="1" applyFill="1" applyBorder="1"/>
    <xf numFmtId="14" fontId="5" fillId="0" borderId="1" xfId="0" applyNumberFormat="1" applyFont="1" applyFill="1" applyBorder="1"/>
    <xf numFmtId="164" fontId="5" fillId="0" borderId="1" xfId="0" applyNumberFormat="1" applyFont="1" applyFill="1" applyBorder="1"/>
    <xf numFmtId="164" fontId="6" fillId="0" borderId="1" xfId="0" applyNumberFormat="1" applyFont="1" applyFill="1" applyBorder="1"/>
    <xf numFmtId="0" fontId="4" fillId="0" borderId="1" xfId="0" applyFont="1" applyFill="1" applyBorder="1"/>
    <xf numFmtId="0" fontId="5" fillId="0" borderId="13" xfId="0" applyFont="1" applyFill="1" applyBorder="1"/>
    <xf numFmtId="0" fontId="5" fillId="0" borderId="14" xfId="0" applyFont="1" applyFill="1" applyBorder="1"/>
    <xf numFmtId="14" fontId="5" fillId="0" borderId="14" xfId="0" applyNumberFormat="1" applyFont="1" applyFill="1" applyBorder="1"/>
    <xf numFmtId="164" fontId="5" fillId="0" borderId="14" xfId="0" applyNumberFormat="1" applyFont="1" applyFill="1" applyBorder="1"/>
    <xf numFmtId="164" fontId="6" fillId="0" borderId="14" xfId="0" applyNumberFormat="1" applyFont="1" applyFill="1" applyBorder="1"/>
    <xf numFmtId="0" fontId="4" fillId="0" borderId="14" xfId="0" applyFont="1" applyFill="1" applyBorder="1"/>
    <xf numFmtId="166" fontId="4" fillId="0" borderId="14" xfId="0" applyNumberFormat="1" applyFont="1" applyFill="1" applyBorder="1"/>
    <xf numFmtId="0" fontId="4" fillId="0" borderId="15" xfId="0" applyFont="1" applyFill="1" applyBorder="1"/>
    <xf numFmtId="0" fontId="5" fillId="0" borderId="16" xfId="0" applyFont="1" applyFill="1" applyBorder="1"/>
    <xf numFmtId="0" fontId="5" fillId="0" borderId="3" xfId="0" applyFont="1" applyFill="1" applyBorder="1"/>
    <xf numFmtId="14" fontId="5" fillId="0" borderId="3" xfId="0" applyNumberFormat="1" applyFont="1" applyFill="1" applyBorder="1"/>
    <xf numFmtId="164" fontId="5" fillId="0" borderId="3" xfId="0" applyNumberFormat="1" applyFont="1" applyFill="1" applyBorder="1"/>
    <xf numFmtId="164" fontId="6" fillId="0" borderId="3" xfId="0" applyNumberFormat="1" applyFont="1" applyFill="1" applyBorder="1"/>
    <xf numFmtId="0" fontId="4" fillId="0" borderId="3" xfId="0" applyFont="1" applyFill="1" applyBorder="1"/>
    <xf numFmtId="0" fontId="4" fillId="0" borderId="2" xfId="0" applyFont="1" applyFill="1" applyBorder="1"/>
    <xf numFmtId="164" fontId="4" fillId="0" borderId="14" xfId="0" applyNumberFormat="1" applyFont="1" applyFill="1" applyBorder="1"/>
    <xf numFmtId="0" fontId="7" fillId="0" borderId="10" xfId="0" applyFont="1" applyFill="1" applyBorder="1"/>
    <xf numFmtId="0" fontId="7" fillId="0" borderId="11" xfId="0" applyFont="1" applyFill="1" applyBorder="1"/>
    <xf numFmtId="14" fontId="7" fillId="0" borderId="11" xfId="0" applyNumberFormat="1" applyFont="1" applyFill="1" applyBorder="1"/>
    <xf numFmtId="164" fontId="7" fillId="0" borderId="11" xfId="0" applyNumberFormat="1" applyFont="1" applyFill="1" applyBorder="1"/>
    <xf numFmtId="164" fontId="8" fillId="0" borderId="11" xfId="0" applyNumberFormat="1" applyFont="1" applyFill="1" applyBorder="1"/>
    <xf numFmtId="0" fontId="7" fillId="0" borderId="13" xfId="0" applyFont="1" applyFill="1" applyBorder="1"/>
    <xf numFmtId="0" fontId="7" fillId="0" borderId="14" xfId="0" applyFont="1" applyFill="1" applyBorder="1"/>
    <xf numFmtId="14" fontId="7" fillId="0" borderId="14" xfId="0" applyNumberFormat="1" applyFont="1" applyFill="1" applyBorder="1"/>
    <xf numFmtId="164" fontId="7" fillId="0" borderId="14" xfId="0" applyNumberFormat="1" applyFont="1" applyFill="1" applyBorder="1"/>
    <xf numFmtId="164" fontId="8" fillId="0" borderId="14" xfId="0" applyNumberFormat="1" applyFont="1" applyFill="1" applyBorder="1"/>
    <xf numFmtId="164" fontId="4" fillId="0" borderId="3" xfId="0" applyNumberFormat="1" applyFont="1" applyFill="1" applyBorder="1"/>
    <xf numFmtId="165" fontId="5" fillId="0" borderId="1" xfId="0" applyNumberFormat="1" applyFont="1" applyFill="1" applyBorder="1" applyAlignment="1">
      <alignment horizontal="left"/>
    </xf>
    <xf numFmtId="165" fontId="5" fillId="0" borderId="14" xfId="0" applyNumberFormat="1" applyFont="1" applyFill="1" applyBorder="1" applyAlignment="1">
      <alignment horizontal="left"/>
    </xf>
    <xf numFmtId="0" fontId="5" fillId="0" borderId="7" xfId="0" applyFont="1" applyFill="1" applyBorder="1"/>
    <xf numFmtId="0" fontId="5" fillId="0" borderId="0" xfId="0" applyFont="1" applyFill="1"/>
    <xf numFmtId="0" fontId="5" fillId="0" borderId="15" xfId="0" applyFont="1" applyFill="1" applyBorder="1"/>
    <xf numFmtId="166" fontId="4" fillId="0" borderId="3" xfId="0" applyNumberFormat="1" applyFont="1" applyFill="1" applyBorder="1"/>
    <xf numFmtId="0" fontId="9" fillId="0" borderId="1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7" fillId="0" borderId="1" xfId="0" applyFont="1" applyFill="1" applyBorder="1"/>
    <xf numFmtId="0" fontId="7" fillId="0" borderId="0" xfId="0" applyFont="1" applyFill="1"/>
    <xf numFmtId="166" fontId="4" fillId="0" borderId="1" xfId="0" applyNumberFormat="1" applyFont="1" applyFill="1" applyBorder="1"/>
    <xf numFmtId="0" fontId="5" fillId="0" borderId="37" xfId="0" applyFont="1" applyFill="1" applyBorder="1"/>
    <xf numFmtId="0" fontId="5" fillId="0" borderId="8" xfId="0" applyFont="1" applyFill="1" applyBorder="1"/>
    <xf numFmtId="14" fontId="5" fillId="0" borderId="8" xfId="0" applyNumberFormat="1" applyFont="1" applyFill="1" applyBorder="1"/>
    <xf numFmtId="164" fontId="5" fillId="0" borderId="8" xfId="0" applyNumberFormat="1" applyFont="1" applyFill="1" applyBorder="1"/>
    <xf numFmtId="164" fontId="6" fillId="0" borderId="8" xfId="0" applyNumberFormat="1" applyFont="1" applyFill="1" applyBorder="1"/>
    <xf numFmtId="166" fontId="5" fillId="0" borderId="14" xfId="0" applyNumberFormat="1" applyFont="1" applyFill="1" applyBorder="1"/>
    <xf numFmtId="164" fontId="5" fillId="0" borderId="0" xfId="0" applyNumberFormat="1" applyFont="1" applyFill="1"/>
    <xf numFmtId="164" fontId="6" fillId="0" borderId="0" xfId="0" applyNumberFormat="1" applyFont="1" applyFill="1"/>
    <xf numFmtId="0" fontId="9" fillId="0" borderId="0" xfId="0" applyFont="1" applyFill="1"/>
    <xf numFmtId="0" fontId="8" fillId="0" borderId="4" xfId="0" applyFont="1" applyFill="1" applyBorder="1"/>
    <xf numFmtId="0" fontId="8" fillId="0" borderId="5" xfId="0" applyFont="1" applyFill="1" applyBorder="1"/>
    <xf numFmtId="14" fontId="8" fillId="0" borderId="5" xfId="0" applyNumberFormat="1" applyFont="1" applyFill="1" applyBorder="1"/>
    <xf numFmtId="164" fontId="8" fillId="0" borderId="5" xfId="0" applyNumberFormat="1" applyFont="1" applyFill="1" applyBorder="1"/>
    <xf numFmtId="164" fontId="8" fillId="0" borderId="6" xfId="0" applyNumberFormat="1" applyFont="1" applyFill="1" applyBorder="1"/>
    <xf numFmtId="164" fontId="8" fillId="0" borderId="7" xfId="0" applyNumberFormat="1" applyFont="1" applyFill="1" applyBorder="1"/>
    <xf numFmtId="0" fontId="7" fillId="0" borderId="8" xfId="0" applyFont="1" applyFill="1" applyBorder="1"/>
    <xf numFmtId="14" fontId="7" fillId="0" borderId="8" xfId="0" applyNumberFormat="1" applyFont="1" applyFill="1" applyBorder="1"/>
    <xf numFmtId="14" fontId="7" fillId="0" borderId="9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930"/>
  <sheetViews>
    <sheetView tabSelected="1" workbookViewId="0">
      <pane ySplit="1" topLeftCell="A2" activePane="bottomLeft" state="frozen"/>
      <selection pane="bottomLeft"/>
    </sheetView>
  </sheetViews>
  <sheetFormatPr baseColWidth="10" defaultColWidth="12.5546875" defaultRowHeight="15.75" customHeight="1" x14ac:dyDescent="0.3"/>
  <cols>
    <col min="1" max="1" width="48.109375" style="149" customWidth="1"/>
    <col min="2" max="2" width="14" style="149" customWidth="1"/>
    <col min="3" max="3" width="16.33203125" style="149" customWidth="1"/>
    <col min="4" max="4" width="15" style="149" customWidth="1"/>
    <col min="5" max="8" width="38.33203125" style="149" customWidth="1"/>
    <col min="9" max="9" width="15.44140625" style="149" customWidth="1"/>
    <col min="10" max="10" width="15.77734375" style="149" bestFit="1" customWidth="1"/>
    <col min="11" max="11" width="13.44140625" style="149" customWidth="1"/>
    <col min="12" max="12" width="15.44140625" style="149" bestFit="1" customWidth="1"/>
    <col min="13" max="13" width="24.5546875" style="209" bestFit="1" customWidth="1"/>
    <col min="14" max="14" width="18.5546875" style="149" bestFit="1" customWidth="1"/>
    <col min="15" max="15" width="17.44140625" style="149" bestFit="1" customWidth="1"/>
    <col min="16" max="16" width="14.88671875" style="149" bestFit="1" customWidth="1"/>
    <col min="17" max="18" width="14.44140625" style="149" bestFit="1" customWidth="1"/>
    <col min="19" max="19" width="13.88671875" style="149" bestFit="1" customWidth="1"/>
    <col min="20" max="16384" width="12.5546875" style="149"/>
  </cols>
  <sheetData>
    <row r="1" spans="1:17" s="199" customFormat="1" ht="14.4" thickBot="1" x14ac:dyDescent="0.35">
      <c r="A1" s="210" t="s">
        <v>0</v>
      </c>
      <c r="B1" s="211" t="s">
        <v>1</v>
      </c>
      <c r="C1" s="211" t="s">
        <v>2</v>
      </c>
      <c r="D1" s="212" t="s">
        <v>3</v>
      </c>
      <c r="E1" s="211" t="s">
        <v>326</v>
      </c>
      <c r="F1" s="211" t="s">
        <v>327</v>
      </c>
      <c r="G1" s="213" t="s">
        <v>5</v>
      </c>
      <c r="H1" s="213" t="s">
        <v>6</v>
      </c>
      <c r="I1" s="213" t="s">
        <v>7</v>
      </c>
      <c r="J1" s="214" t="s">
        <v>8</v>
      </c>
      <c r="K1" s="215" t="s">
        <v>289</v>
      </c>
      <c r="L1" s="216" t="s">
        <v>292</v>
      </c>
      <c r="M1" s="217">
        <v>46142</v>
      </c>
      <c r="N1" s="217">
        <v>46173</v>
      </c>
      <c r="O1" s="217">
        <v>46203</v>
      </c>
      <c r="P1" s="217">
        <v>46234</v>
      </c>
      <c r="Q1" s="218">
        <v>46265</v>
      </c>
    </row>
    <row r="2" spans="1:17" s="156" customFormat="1" ht="13.8" x14ac:dyDescent="0.3">
      <c r="A2" s="150" t="s">
        <v>265</v>
      </c>
      <c r="B2" s="151">
        <v>30708686499</v>
      </c>
      <c r="C2" s="151" t="s">
        <v>266</v>
      </c>
      <c r="D2" s="152">
        <v>46055</v>
      </c>
      <c r="E2" s="151" t="s">
        <v>314</v>
      </c>
      <c r="F2" s="151" t="s">
        <v>315</v>
      </c>
      <c r="G2" s="153">
        <v>299255.03999999998</v>
      </c>
      <c r="H2" s="153">
        <v>0</v>
      </c>
      <c r="I2" s="153">
        <v>0</v>
      </c>
      <c r="J2" s="153">
        <v>299255.03999999998</v>
      </c>
      <c r="K2" s="154"/>
      <c r="L2" s="155"/>
      <c r="M2" s="155"/>
      <c r="N2" s="155"/>
      <c r="O2" s="155"/>
      <c r="P2" s="155"/>
      <c r="Q2" s="155"/>
    </row>
    <row r="3" spans="1:17" ht="13.8" x14ac:dyDescent="0.3">
      <c r="A3" s="157" t="s">
        <v>265</v>
      </c>
      <c r="B3" s="158">
        <v>30708686499</v>
      </c>
      <c r="C3" s="158" t="s">
        <v>267</v>
      </c>
      <c r="D3" s="159">
        <v>46055</v>
      </c>
      <c r="E3" s="158" t="s">
        <v>314</v>
      </c>
      <c r="F3" s="158" t="s">
        <v>316</v>
      </c>
      <c r="G3" s="160">
        <v>728246.64</v>
      </c>
      <c r="H3" s="160">
        <v>31766.16</v>
      </c>
      <c r="I3" s="160">
        <v>0</v>
      </c>
      <c r="J3" s="160">
        <v>696480.48</v>
      </c>
      <c r="K3" s="161"/>
      <c r="L3" s="162"/>
      <c r="M3" s="162"/>
      <c r="N3" s="162"/>
      <c r="O3" s="162"/>
      <c r="P3" s="162"/>
      <c r="Q3" s="162"/>
    </row>
    <row r="4" spans="1:17" ht="13.8" x14ac:dyDescent="0.3">
      <c r="A4" s="157" t="s">
        <v>265</v>
      </c>
      <c r="B4" s="158">
        <v>30708686499</v>
      </c>
      <c r="C4" s="158" t="s">
        <v>268</v>
      </c>
      <c r="D4" s="159">
        <v>46055</v>
      </c>
      <c r="E4" s="158" t="s">
        <v>314</v>
      </c>
      <c r="F4" s="158" t="s">
        <v>317</v>
      </c>
      <c r="G4" s="160">
        <v>2749702.56</v>
      </c>
      <c r="H4" s="160">
        <v>0</v>
      </c>
      <c r="I4" s="160">
        <v>0</v>
      </c>
      <c r="J4" s="160">
        <v>2749702.56</v>
      </c>
      <c r="K4" s="161"/>
      <c r="L4" s="162"/>
      <c r="M4" s="162"/>
      <c r="N4" s="162"/>
      <c r="O4" s="162"/>
      <c r="P4" s="162"/>
      <c r="Q4" s="162"/>
    </row>
    <row r="5" spans="1:17" s="170" customFormat="1" ht="14.4" thickBot="1" x14ac:dyDescent="0.35">
      <c r="A5" s="163" t="s">
        <v>265</v>
      </c>
      <c r="B5" s="164">
        <v>30708686499</v>
      </c>
      <c r="C5" s="164" t="s">
        <v>269</v>
      </c>
      <c r="D5" s="165">
        <v>46056</v>
      </c>
      <c r="E5" s="164" t="s">
        <v>318</v>
      </c>
      <c r="F5" s="164" t="s">
        <v>319</v>
      </c>
      <c r="G5" s="166">
        <v>14374.8</v>
      </c>
      <c r="H5" s="166">
        <v>2494.8000000000002</v>
      </c>
      <c r="I5" s="166">
        <v>0</v>
      </c>
      <c r="J5" s="166">
        <v>11880</v>
      </c>
      <c r="K5" s="167">
        <v>3757318.08</v>
      </c>
      <c r="L5" s="168"/>
      <c r="M5" s="168"/>
      <c r="N5" s="168"/>
      <c r="O5" s="169">
        <v>1878659.04</v>
      </c>
      <c r="P5" s="169">
        <v>1878659.04</v>
      </c>
      <c r="Q5" s="168"/>
    </row>
    <row r="6" spans="1:17" s="177" customFormat="1" ht="14.4" thickBot="1" x14ac:dyDescent="0.35">
      <c r="A6" s="171" t="s">
        <v>270</v>
      </c>
      <c r="B6" s="172">
        <v>30582058608</v>
      </c>
      <c r="C6" s="172" t="s">
        <v>271</v>
      </c>
      <c r="D6" s="173">
        <v>46059</v>
      </c>
      <c r="E6" s="172" t="s">
        <v>318</v>
      </c>
      <c r="F6" s="158" t="s">
        <v>317</v>
      </c>
      <c r="G6" s="174">
        <v>4388145.2</v>
      </c>
      <c r="H6" s="174">
        <v>4388145.2</v>
      </c>
      <c r="I6" s="174">
        <v>0</v>
      </c>
      <c r="J6" s="174">
        <v>0</v>
      </c>
      <c r="K6" s="175">
        <v>0</v>
      </c>
      <c r="L6" s="176"/>
      <c r="M6" s="176"/>
      <c r="N6" s="176"/>
      <c r="O6" s="176"/>
      <c r="P6" s="176"/>
      <c r="Q6" s="176"/>
    </row>
    <row r="7" spans="1:17" s="156" customFormat="1" ht="13.8" x14ac:dyDescent="0.3">
      <c r="A7" s="150" t="s">
        <v>259</v>
      </c>
      <c r="B7" s="151">
        <v>30678724447</v>
      </c>
      <c r="C7" s="151" t="s">
        <v>260</v>
      </c>
      <c r="D7" s="152">
        <v>46062</v>
      </c>
      <c r="E7" s="151" t="s">
        <v>320</v>
      </c>
      <c r="F7" s="151" t="s">
        <v>319</v>
      </c>
      <c r="G7" s="153">
        <v>19040221.809999999</v>
      </c>
      <c r="H7" s="153">
        <v>3851863.92</v>
      </c>
      <c r="I7" s="153">
        <v>2168481.5</v>
      </c>
      <c r="J7" s="153">
        <v>13019876.389999999</v>
      </c>
      <c r="K7" s="154"/>
      <c r="L7" s="155"/>
      <c r="M7" s="155"/>
      <c r="N7" s="155"/>
      <c r="O7" s="155"/>
      <c r="P7" s="155"/>
      <c r="Q7" s="155"/>
    </row>
    <row r="8" spans="1:17" ht="13.8" x14ac:dyDescent="0.3">
      <c r="A8" s="157" t="s">
        <v>259</v>
      </c>
      <c r="B8" s="158">
        <v>30678724447</v>
      </c>
      <c r="C8" s="158" t="s">
        <v>261</v>
      </c>
      <c r="D8" s="159">
        <v>46062</v>
      </c>
      <c r="E8" s="158" t="s">
        <v>318</v>
      </c>
      <c r="F8" s="158" t="s">
        <v>315</v>
      </c>
      <c r="G8" s="160">
        <v>140507.24</v>
      </c>
      <c r="H8" s="160">
        <v>6691.24</v>
      </c>
      <c r="I8" s="160">
        <v>0</v>
      </c>
      <c r="J8" s="160">
        <v>133816</v>
      </c>
      <c r="K8" s="161"/>
      <c r="L8" s="162"/>
      <c r="M8" s="162"/>
      <c r="N8" s="162"/>
      <c r="O8" s="162"/>
      <c r="P8" s="162"/>
      <c r="Q8" s="162"/>
    </row>
    <row r="9" spans="1:17" ht="13.8" x14ac:dyDescent="0.3">
      <c r="A9" s="157" t="s">
        <v>259</v>
      </c>
      <c r="B9" s="158">
        <v>30678724447</v>
      </c>
      <c r="C9" s="158" t="s">
        <v>262</v>
      </c>
      <c r="D9" s="159">
        <v>46062</v>
      </c>
      <c r="E9" s="158" t="s">
        <v>318</v>
      </c>
      <c r="F9" s="158" t="s">
        <v>316</v>
      </c>
      <c r="G9" s="160">
        <v>20858</v>
      </c>
      <c r="H9" s="160">
        <v>0</v>
      </c>
      <c r="I9" s="160">
        <v>0</v>
      </c>
      <c r="J9" s="160">
        <v>20858</v>
      </c>
      <c r="K9" s="161"/>
      <c r="L9" s="162"/>
      <c r="M9" s="162"/>
      <c r="N9" s="162"/>
      <c r="O9" s="162"/>
      <c r="P9" s="162"/>
      <c r="Q9" s="162"/>
    </row>
    <row r="10" spans="1:17" ht="13.8" x14ac:dyDescent="0.3">
      <c r="A10" s="157" t="s">
        <v>259</v>
      </c>
      <c r="B10" s="158">
        <v>30678724447</v>
      </c>
      <c r="C10" s="158" t="s">
        <v>263</v>
      </c>
      <c r="D10" s="159">
        <v>46062</v>
      </c>
      <c r="E10" s="158" t="s">
        <v>318</v>
      </c>
      <c r="F10" s="158" t="s">
        <v>319</v>
      </c>
      <c r="G10" s="160">
        <v>4513039.3899999997</v>
      </c>
      <c r="H10" s="160">
        <v>155544.98000000001</v>
      </c>
      <c r="I10" s="160">
        <v>0</v>
      </c>
      <c r="J10" s="160">
        <v>4357494.4099999992</v>
      </c>
      <c r="K10" s="161"/>
      <c r="L10" s="162"/>
      <c r="M10" s="162"/>
      <c r="N10" s="162"/>
      <c r="O10" s="162"/>
      <c r="P10" s="162"/>
      <c r="Q10" s="162"/>
    </row>
    <row r="11" spans="1:17" s="170" customFormat="1" ht="14.4" thickBot="1" x14ac:dyDescent="0.35">
      <c r="A11" s="163" t="s">
        <v>259</v>
      </c>
      <c r="B11" s="164">
        <v>30678724447</v>
      </c>
      <c r="C11" s="164" t="s">
        <v>264</v>
      </c>
      <c r="D11" s="165">
        <v>46062</v>
      </c>
      <c r="E11" s="164" t="s">
        <v>318</v>
      </c>
      <c r="F11" s="158" t="s">
        <v>317</v>
      </c>
      <c r="G11" s="166">
        <v>195585</v>
      </c>
      <c r="H11" s="166">
        <v>151891.04</v>
      </c>
      <c r="I11" s="166">
        <v>0</v>
      </c>
      <c r="J11" s="166">
        <v>43693.959999999992</v>
      </c>
      <c r="K11" s="167">
        <v>17575738.759999998</v>
      </c>
      <c r="L11" s="168"/>
      <c r="M11" s="178">
        <v>17575738.759999998</v>
      </c>
      <c r="N11" s="168"/>
      <c r="O11" s="168"/>
      <c r="P11" s="168"/>
      <c r="Q11" s="168"/>
    </row>
    <row r="12" spans="1:17" s="156" customFormat="1" ht="13.8" x14ac:dyDescent="0.3">
      <c r="A12" s="179" t="s">
        <v>258</v>
      </c>
      <c r="B12" s="180">
        <v>30557695768</v>
      </c>
      <c r="C12" s="180" t="s">
        <v>287</v>
      </c>
      <c r="D12" s="181">
        <v>46057</v>
      </c>
      <c r="E12" s="180" t="s">
        <v>318</v>
      </c>
      <c r="F12" s="158" t="s">
        <v>317</v>
      </c>
      <c r="G12" s="182">
        <v>12347972.199999999</v>
      </c>
      <c r="H12" s="182"/>
      <c r="I12" s="182"/>
      <c r="J12" s="182">
        <v>12347972.199999999</v>
      </c>
      <c r="K12" s="183"/>
      <c r="L12" s="155"/>
      <c r="M12" s="155"/>
      <c r="N12" s="155"/>
      <c r="O12" s="155"/>
      <c r="P12" s="155"/>
      <c r="Q12" s="155"/>
    </row>
    <row r="13" spans="1:17" s="170" customFormat="1" ht="14.4" thickBot="1" x14ac:dyDescent="0.35">
      <c r="A13" s="184" t="s">
        <v>258</v>
      </c>
      <c r="B13" s="185">
        <v>30557695768</v>
      </c>
      <c r="C13" s="185" t="s">
        <v>288</v>
      </c>
      <c r="D13" s="186">
        <v>46057</v>
      </c>
      <c r="E13" s="185" t="s">
        <v>320</v>
      </c>
      <c r="F13" s="158" t="s">
        <v>317</v>
      </c>
      <c r="G13" s="187">
        <v>15286232.529999999</v>
      </c>
      <c r="H13" s="187"/>
      <c r="I13" s="187"/>
      <c r="J13" s="187">
        <v>15286232.529999999</v>
      </c>
      <c r="K13" s="188">
        <v>27634204.729999997</v>
      </c>
      <c r="L13" s="168"/>
      <c r="M13" s="178">
        <v>27634204.729999997</v>
      </c>
      <c r="N13" s="168"/>
      <c r="O13" s="168"/>
      <c r="P13" s="168"/>
      <c r="Q13" s="168"/>
    </row>
    <row r="14" spans="1:17" s="177" customFormat="1" ht="14.4" thickBot="1" x14ac:dyDescent="0.35">
      <c r="A14" s="171" t="s">
        <v>256</v>
      </c>
      <c r="B14" s="172">
        <v>33711300789</v>
      </c>
      <c r="C14" s="172" t="s">
        <v>257</v>
      </c>
      <c r="D14" s="173">
        <v>46049</v>
      </c>
      <c r="E14" s="172" t="s">
        <v>318</v>
      </c>
      <c r="F14" s="172" t="s">
        <v>319</v>
      </c>
      <c r="G14" s="174">
        <v>10170</v>
      </c>
      <c r="H14" s="174">
        <v>0</v>
      </c>
      <c r="I14" s="174">
        <v>0</v>
      </c>
      <c r="J14" s="174">
        <v>10170</v>
      </c>
      <c r="K14" s="175">
        <v>10170</v>
      </c>
      <c r="L14" s="189">
        <v>10170</v>
      </c>
      <c r="M14" s="176"/>
      <c r="N14" s="176"/>
      <c r="O14" s="176"/>
      <c r="P14" s="176"/>
      <c r="Q14" s="176"/>
    </row>
    <row r="15" spans="1:17" s="156" customFormat="1" ht="13.8" x14ac:dyDescent="0.3">
      <c r="A15" s="150" t="s">
        <v>253</v>
      </c>
      <c r="B15" s="151">
        <v>30644610256</v>
      </c>
      <c r="C15" s="151" t="s">
        <v>254</v>
      </c>
      <c r="D15" s="152">
        <v>46059</v>
      </c>
      <c r="E15" s="151" t="s">
        <v>318</v>
      </c>
      <c r="F15" s="158" t="s">
        <v>317</v>
      </c>
      <c r="G15" s="153">
        <v>13977151</v>
      </c>
      <c r="H15" s="153">
        <v>6004017</v>
      </c>
      <c r="I15" s="153">
        <v>0</v>
      </c>
      <c r="J15" s="153">
        <v>7973134</v>
      </c>
      <c r="K15" s="154"/>
      <c r="L15" s="155"/>
      <c r="M15" s="155"/>
      <c r="N15" s="155"/>
      <c r="O15" s="155"/>
      <c r="P15" s="155"/>
      <c r="Q15" s="155"/>
    </row>
    <row r="16" spans="1:17" s="170" customFormat="1" ht="14.4" thickBot="1" x14ac:dyDescent="0.35">
      <c r="A16" s="163" t="s">
        <v>253</v>
      </c>
      <c r="B16" s="164">
        <v>30644610256</v>
      </c>
      <c r="C16" s="164" t="s">
        <v>255</v>
      </c>
      <c r="D16" s="165">
        <v>46062</v>
      </c>
      <c r="E16" s="164" t="s">
        <v>318</v>
      </c>
      <c r="F16" s="164" t="s">
        <v>319</v>
      </c>
      <c r="G16" s="166">
        <v>18980000</v>
      </c>
      <c r="H16" s="166">
        <v>0</v>
      </c>
      <c r="I16" s="166">
        <v>0</v>
      </c>
      <c r="J16" s="166">
        <v>18980000</v>
      </c>
      <c r="K16" s="167">
        <v>26953134</v>
      </c>
      <c r="L16" s="168"/>
      <c r="M16" s="169">
        <v>13476567</v>
      </c>
      <c r="N16" s="169">
        <v>13476567</v>
      </c>
      <c r="O16" s="168"/>
      <c r="P16" s="168"/>
      <c r="Q16" s="168"/>
    </row>
    <row r="17" spans="1:17" s="177" customFormat="1" ht="14.4" thickBot="1" x14ac:dyDescent="0.35">
      <c r="A17" s="171" t="s">
        <v>251</v>
      </c>
      <c r="B17" s="172">
        <v>30709634964</v>
      </c>
      <c r="C17" s="172" t="s">
        <v>252</v>
      </c>
      <c r="D17" s="173">
        <v>46057</v>
      </c>
      <c r="E17" s="172" t="s">
        <v>318</v>
      </c>
      <c r="F17" s="172" t="s">
        <v>319</v>
      </c>
      <c r="G17" s="174">
        <v>199618.84</v>
      </c>
      <c r="H17" s="174">
        <v>28808.76</v>
      </c>
      <c r="I17" s="174">
        <v>0</v>
      </c>
      <c r="J17" s="174">
        <v>170810.08</v>
      </c>
      <c r="K17" s="175">
        <v>170810.08</v>
      </c>
      <c r="L17" s="189">
        <v>170810.08</v>
      </c>
      <c r="M17" s="176"/>
      <c r="N17" s="176"/>
      <c r="O17" s="176"/>
      <c r="P17" s="176"/>
      <c r="Q17" s="176"/>
    </row>
    <row r="18" spans="1:17" s="156" customFormat="1" ht="13.8" x14ac:dyDescent="0.3">
      <c r="A18" s="150" t="s">
        <v>244</v>
      </c>
      <c r="B18" s="151">
        <v>30715649159</v>
      </c>
      <c r="C18" s="151" t="s">
        <v>245</v>
      </c>
      <c r="D18" s="152">
        <v>46058</v>
      </c>
      <c r="E18" s="151" t="s">
        <v>318</v>
      </c>
      <c r="F18" s="151" t="s">
        <v>319</v>
      </c>
      <c r="G18" s="153">
        <v>2225379</v>
      </c>
      <c r="H18" s="153">
        <v>396064</v>
      </c>
      <c r="I18" s="153">
        <v>0</v>
      </c>
      <c r="J18" s="153">
        <v>1829315</v>
      </c>
      <c r="K18" s="154"/>
      <c r="L18" s="155"/>
      <c r="M18" s="155"/>
      <c r="N18" s="155"/>
      <c r="O18" s="155"/>
      <c r="P18" s="155"/>
      <c r="Q18" s="155"/>
    </row>
    <row r="19" spans="1:17" ht="13.8" x14ac:dyDescent="0.3">
      <c r="A19" s="157" t="s">
        <v>244</v>
      </c>
      <c r="B19" s="158">
        <v>30715649159</v>
      </c>
      <c r="C19" s="158" t="s">
        <v>246</v>
      </c>
      <c r="D19" s="159">
        <v>46058</v>
      </c>
      <c r="E19" s="158" t="s">
        <v>320</v>
      </c>
      <c r="F19" s="158" t="s">
        <v>316</v>
      </c>
      <c r="G19" s="160">
        <v>4084817.05</v>
      </c>
      <c r="H19" s="160">
        <v>0</v>
      </c>
      <c r="I19" s="160">
        <v>1026848.92</v>
      </c>
      <c r="J19" s="160">
        <v>3057968.13</v>
      </c>
      <c r="K19" s="161"/>
      <c r="L19" s="162"/>
      <c r="M19" s="162"/>
      <c r="N19" s="162"/>
      <c r="O19" s="162"/>
      <c r="P19" s="162"/>
      <c r="Q19" s="162"/>
    </row>
    <row r="20" spans="1:17" ht="13.8" x14ac:dyDescent="0.3">
      <c r="A20" s="157" t="s">
        <v>244</v>
      </c>
      <c r="B20" s="158">
        <v>30715649159</v>
      </c>
      <c r="C20" s="158" t="s">
        <v>247</v>
      </c>
      <c r="D20" s="159">
        <v>46058</v>
      </c>
      <c r="E20" s="158" t="s">
        <v>318</v>
      </c>
      <c r="F20" s="158" t="s">
        <v>316</v>
      </c>
      <c r="G20" s="160">
        <v>95972</v>
      </c>
      <c r="H20" s="160">
        <v>68386</v>
      </c>
      <c r="I20" s="160">
        <v>0</v>
      </c>
      <c r="J20" s="160">
        <v>27586</v>
      </c>
      <c r="K20" s="161"/>
      <c r="L20" s="162"/>
      <c r="M20" s="162"/>
      <c r="N20" s="162"/>
      <c r="O20" s="162"/>
      <c r="P20" s="162"/>
      <c r="Q20" s="162"/>
    </row>
    <row r="21" spans="1:17" ht="13.8" x14ac:dyDescent="0.3">
      <c r="A21" s="157" t="s">
        <v>244</v>
      </c>
      <c r="B21" s="158">
        <v>30715649159</v>
      </c>
      <c r="C21" s="158" t="s">
        <v>248</v>
      </c>
      <c r="D21" s="159">
        <v>46058</v>
      </c>
      <c r="E21" s="158" t="s">
        <v>320</v>
      </c>
      <c r="F21" s="158" t="s">
        <v>317</v>
      </c>
      <c r="G21" s="160">
        <v>679441.09</v>
      </c>
      <c r="H21" s="160">
        <v>0</v>
      </c>
      <c r="I21" s="160">
        <v>57761</v>
      </c>
      <c r="J21" s="160">
        <v>621680.09</v>
      </c>
      <c r="K21" s="161"/>
      <c r="L21" s="162"/>
      <c r="M21" s="162"/>
      <c r="N21" s="162"/>
      <c r="O21" s="162"/>
      <c r="P21" s="162"/>
      <c r="Q21" s="162"/>
    </row>
    <row r="22" spans="1:17" ht="13.8" x14ac:dyDescent="0.3">
      <c r="A22" s="157" t="s">
        <v>244</v>
      </c>
      <c r="B22" s="158">
        <v>30715649159</v>
      </c>
      <c r="C22" s="158" t="s">
        <v>249</v>
      </c>
      <c r="D22" s="159">
        <v>46058</v>
      </c>
      <c r="E22" s="158" t="s">
        <v>318</v>
      </c>
      <c r="F22" s="158" t="s">
        <v>317</v>
      </c>
      <c r="G22" s="160">
        <v>148320</v>
      </c>
      <c r="H22" s="160">
        <v>17700</v>
      </c>
      <c r="I22" s="160">
        <v>0</v>
      </c>
      <c r="J22" s="160">
        <v>130620</v>
      </c>
      <c r="K22" s="161"/>
      <c r="L22" s="162"/>
      <c r="M22" s="162"/>
      <c r="N22" s="162"/>
      <c r="O22" s="162"/>
      <c r="P22" s="162"/>
      <c r="Q22" s="162"/>
    </row>
    <row r="23" spans="1:17" s="170" customFormat="1" ht="14.4" thickBot="1" x14ac:dyDescent="0.35">
      <c r="A23" s="163" t="s">
        <v>244</v>
      </c>
      <c r="B23" s="164">
        <v>30715649159</v>
      </c>
      <c r="C23" s="164" t="s">
        <v>250</v>
      </c>
      <c r="D23" s="165">
        <v>46058</v>
      </c>
      <c r="E23" s="164" t="s">
        <v>320</v>
      </c>
      <c r="F23" s="164" t="s">
        <v>319</v>
      </c>
      <c r="G23" s="166">
        <v>11528505.439999999</v>
      </c>
      <c r="H23" s="166">
        <v>0</v>
      </c>
      <c r="I23" s="166">
        <v>1441715.47</v>
      </c>
      <c r="J23" s="166">
        <v>10086789.969999999</v>
      </c>
      <c r="K23" s="167">
        <v>15753959.189999998</v>
      </c>
      <c r="L23" s="168"/>
      <c r="M23" s="168"/>
      <c r="N23" s="169">
        <v>7876979.5949999988</v>
      </c>
      <c r="O23" s="169">
        <v>7876979.5949999988</v>
      </c>
      <c r="P23" s="168"/>
      <c r="Q23" s="168"/>
    </row>
    <row r="24" spans="1:17" s="156" customFormat="1" ht="13.8" x14ac:dyDescent="0.3">
      <c r="A24" s="150" t="s">
        <v>241</v>
      </c>
      <c r="B24" s="151">
        <v>30714353493</v>
      </c>
      <c r="C24" s="151" t="s">
        <v>242</v>
      </c>
      <c r="D24" s="152">
        <v>46053</v>
      </c>
      <c r="E24" s="151" t="s">
        <v>320</v>
      </c>
      <c r="F24" s="151" t="s">
        <v>319</v>
      </c>
      <c r="G24" s="153">
        <v>811294.04</v>
      </c>
      <c r="H24" s="153">
        <v>0</v>
      </c>
      <c r="I24" s="153">
        <v>0</v>
      </c>
      <c r="J24" s="153">
        <v>811294.04</v>
      </c>
      <c r="K24" s="154"/>
      <c r="L24" s="155"/>
      <c r="M24" s="155"/>
      <c r="N24" s="155"/>
      <c r="O24" s="155"/>
      <c r="P24" s="155"/>
      <c r="Q24" s="155"/>
    </row>
    <row r="25" spans="1:17" s="170" customFormat="1" ht="14.4" thickBot="1" x14ac:dyDescent="0.35">
      <c r="A25" s="163" t="s">
        <v>241</v>
      </c>
      <c r="B25" s="164">
        <v>30714353493</v>
      </c>
      <c r="C25" s="164" t="s">
        <v>243</v>
      </c>
      <c r="D25" s="165">
        <v>46053</v>
      </c>
      <c r="E25" s="164" t="s">
        <v>318</v>
      </c>
      <c r="F25" s="164" t="s">
        <v>319</v>
      </c>
      <c r="G25" s="166">
        <v>197804.1</v>
      </c>
      <c r="H25" s="166">
        <v>0</v>
      </c>
      <c r="I25" s="166">
        <v>0</v>
      </c>
      <c r="J25" s="166">
        <v>197804.1</v>
      </c>
      <c r="K25" s="167">
        <v>1009098.14</v>
      </c>
      <c r="L25" s="168"/>
      <c r="M25" s="168"/>
      <c r="N25" s="178">
        <v>1009098.14</v>
      </c>
      <c r="O25" s="168"/>
      <c r="P25" s="168"/>
      <c r="Q25" s="168"/>
    </row>
    <row r="26" spans="1:17" s="177" customFormat="1" ht="14.4" thickBot="1" x14ac:dyDescent="0.35">
      <c r="A26" s="171" t="s">
        <v>239</v>
      </c>
      <c r="B26" s="172">
        <v>30715347756</v>
      </c>
      <c r="C26" s="172" t="s">
        <v>240</v>
      </c>
      <c r="D26" s="173">
        <v>46058</v>
      </c>
      <c r="E26" s="172" t="s">
        <v>318</v>
      </c>
      <c r="F26" s="158" t="s">
        <v>317</v>
      </c>
      <c r="G26" s="174">
        <v>308608.65000000002</v>
      </c>
      <c r="H26" s="174">
        <v>0</v>
      </c>
      <c r="I26" s="174">
        <v>0</v>
      </c>
      <c r="J26" s="174">
        <v>308608.65000000002</v>
      </c>
      <c r="K26" s="175">
        <v>308608.65000000002</v>
      </c>
      <c r="L26" s="189">
        <v>308608.65000000002</v>
      </c>
      <c r="M26" s="176"/>
      <c r="N26" s="176"/>
      <c r="O26" s="176"/>
      <c r="P26" s="176"/>
      <c r="Q26" s="176"/>
    </row>
    <row r="27" spans="1:17" s="177" customFormat="1" ht="14.4" thickBot="1" x14ac:dyDescent="0.35">
      <c r="A27" s="171" t="s">
        <v>237</v>
      </c>
      <c r="B27" s="172">
        <v>30715316338</v>
      </c>
      <c r="C27" s="172" t="s">
        <v>238</v>
      </c>
      <c r="D27" s="173">
        <v>46057</v>
      </c>
      <c r="E27" s="172" t="s">
        <v>318</v>
      </c>
      <c r="F27" s="158" t="s">
        <v>317</v>
      </c>
      <c r="G27" s="174">
        <v>40566.74</v>
      </c>
      <c r="H27" s="174">
        <v>0</v>
      </c>
      <c r="I27" s="174">
        <v>0</v>
      </c>
      <c r="J27" s="174">
        <v>40566.74</v>
      </c>
      <c r="K27" s="175">
        <v>40566.74</v>
      </c>
      <c r="L27" s="189">
        <v>40566.74</v>
      </c>
      <c r="M27" s="176"/>
      <c r="N27" s="176"/>
      <c r="O27" s="176"/>
      <c r="P27" s="176"/>
      <c r="Q27" s="176"/>
    </row>
    <row r="28" spans="1:17" s="177" customFormat="1" ht="14.4" thickBot="1" x14ac:dyDescent="0.35">
      <c r="A28" s="171" t="s">
        <v>235</v>
      </c>
      <c r="B28" s="172">
        <v>30710118821</v>
      </c>
      <c r="C28" s="172" t="s">
        <v>236</v>
      </c>
      <c r="D28" s="173">
        <v>46058</v>
      </c>
      <c r="E28" s="172" t="s">
        <v>318</v>
      </c>
      <c r="F28" s="172" t="s">
        <v>319</v>
      </c>
      <c r="G28" s="174">
        <v>17444</v>
      </c>
      <c r="H28" s="174">
        <v>0</v>
      </c>
      <c r="I28" s="174">
        <v>0</v>
      </c>
      <c r="J28" s="174">
        <v>17444</v>
      </c>
      <c r="K28" s="175">
        <v>17444</v>
      </c>
      <c r="L28" s="189">
        <v>17444</v>
      </c>
      <c r="M28" s="176"/>
      <c r="N28" s="176"/>
      <c r="O28" s="176"/>
      <c r="P28" s="176"/>
      <c r="Q28" s="176"/>
    </row>
    <row r="29" spans="1:17" s="156" customFormat="1" ht="13.8" x14ac:dyDescent="0.3">
      <c r="A29" s="150" t="s">
        <v>232</v>
      </c>
      <c r="B29" s="151">
        <v>30715190253</v>
      </c>
      <c r="C29" s="151" t="s">
        <v>233</v>
      </c>
      <c r="D29" s="152">
        <v>46053</v>
      </c>
      <c r="E29" s="151" t="s">
        <v>318</v>
      </c>
      <c r="F29" s="158" t="s">
        <v>317</v>
      </c>
      <c r="G29" s="153">
        <v>105915.25</v>
      </c>
      <c r="H29" s="153">
        <v>0</v>
      </c>
      <c r="I29" s="153">
        <v>0</v>
      </c>
      <c r="J29" s="153">
        <v>105915.25</v>
      </c>
      <c r="K29" s="154"/>
      <c r="L29" s="155"/>
      <c r="M29" s="155"/>
      <c r="N29" s="155"/>
      <c r="O29" s="155"/>
      <c r="P29" s="155"/>
      <c r="Q29" s="155"/>
    </row>
    <row r="30" spans="1:17" s="170" customFormat="1" ht="14.4" thickBot="1" x14ac:dyDescent="0.35">
      <c r="A30" s="163" t="s">
        <v>232</v>
      </c>
      <c r="B30" s="164">
        <v>30715190253</v>
      </c>
      <c r="C30" s="164" t="s">
        <v>234</v>
      </c>
      <c r="D30" s="165">
        <v>46053</v>
      </c>
      <c r="E30" s="164" t="s">
        <v>318</v>
      </c>
      <c r="F30" s="164" t="s">
        <v>319</v>
      </c>
      <c r="G30" s="166">
        <v>2196629.31</v>
      </c>
      <c r="H30" s="166">
        <v>0</v>
      </c>
      <c r="I30" s="166">
        <v>0</v>
      </c>
      <c r="J30" s="166">
        <v>2196629.31</v>
      </c>
      <c r="K30" s="167">
        <v>2302544.56</v>
      </c>
      <c r="L30" s="168"/>
      <c r="M30" s="169">
        <v>1151272.28</v>
      </c>
      <c r="N30" s="169">
        <v>1151272.28</v>
      </c>
      <c r="O30" s="168"/>
      <c r="P30" s="168"/>
      <c r="Q30" s="168"/>
    </row>
    <row r="31" spans="1:17" s="156" customFormat="1" ht="13.8" x14ac:dyDescent="0.3">
      <c r="A31" s="150" t="s">
        <v>227</v>
      </c>
      <c r="B31" s="151">
        <v>30637580961</v>
      </c>
      <c r="C31" s="151" t="s">
        <v>228</v>
      </c>
      <c r="D31" s="152">
        <v>46062</v>
      </c>
      <c r="E31" s="151" t="s">
        <v>320</v>
      </c>
      <c r="F31" s="151" t="s">
        <v>316</v>
      </c>
      <c r="G31" s="153">
        <v>4757625.5999999996</v>
      </c>
      <c r="H31" s="153">
        <v>0</v>
      </c>
      <c r="I31" s="153">
        <v>0</v>
      </c>
      <c r="J31" s="153">
        <v>4757625.5999999996</v>
      </c>
      <c r="K31" s="154"/>
      <c r="L31" s="155"/>
      <c r="M31" s="155"/>
      <c r="N31" s="155"/>
      <c r="O31" s="155"/>
      <c r="P31" s="155"/>
      <c r="Q31" s="155"/>
    </row>
    <row r="32" spans="1:17" ht="13.8" x14ac:dyDescent="0.3">
      <c r="A32" s="157" t="s">
        <v>227</v>
      </c>
      <c r="B32" s="158">
        <v>30637580961</v>
      </c>
      <c r="C32" s="158" t="s">
        <v>230</v>
      </c>
      <c r="D32" s="159">
        <v>46062</v>
      </c>
      <c r="E32" s="158" t="s">
        <v>318</v>
      </c>
      <c r="F32" s="158" t="s">
        <v>319</v>
      </c>
      <c r="G32" s="160">
        <v>168405.02</v>
      </c>
      <c r="H32" s="160">
        <v>0</v>
      </c>
      <c r="I32" s="160">
        <v>0</v>
      </c>
      <c r="J32" s="160">
        <v>168405.02</v>
      </c>
      <c r="K32" s="161"/>
      <c r="L32" s="162"/>
      <c r="M32" s="162"/>
      <c r="N32" s="162"/>
      <c r="O32" s="162"/>
      <c r="P32" s="162"/>
      <c r="Q32" s="162"/>
    </row>
    <row r="33" spans="1:17" s="170" customFormat="1" ht="14.4" thickBot="1" x14ac:dyDescent="0.35">
      <c r="A33" s="163" t="s">
        <v>227</v>
      </c>
      <c r="B33" s="164">
        <v>30637580961</v>
      </c>
      <c r="C33" s="164" t="s">
        <v>231</v>
      </c>
      <c r="D33" s="165">
        <v>46062</v>
      </c>
      <c r="E33" s="164" t="s">
        <v>320</v>
      </c>
      <c r="F33" s="164" t="s">
        <v>319</v>
      </c>
      <c r="G33" s="166">
        <v>13681712.85</v>
      </c>
      <c r="H33" s="166">
        <v>130485.67</v>
      </c>
      <c r="I33" s="166">
        <v>747534.64</v>
      </c>
      <c r="J33" s="166">
        <v>12803692.539999999</v>
      </c>
      <c r="K33" s="167">
        <v>17729723.159999996</v>
      </c>
      <c r="L33" s="168"/>
      <c r="M33" s="168"/>
      <c r="N33" s="169">
        <v>5909907.7199999988</v>
      </c>
      <c r="O33" s="169">
        <v>5909907.7199999988</v>
      </c>
      <c r="P33" s="169">
        <v>5909907.7199999988</v>
      </c>
      <c r="Q33" s="168"/>
    </row>
    <row r="34" spans="1:17" s="177" customFormat="1" ht="14.4" thickBot="1" x14ac:dyDescent="0.35">
      <c r="A34" s="171" t="s">
        <v>225</v>
      </c>
      <c r="B34" s="172">
        <v>30674856756</v>
      </c>
      <c r="C34" s="172" t="s">
        <v>226</v>
      </c>
      <c r="D34" s="173">
        <v>46057</v>
      </c>
      <c r="E34" s="172" t="s">
        <v>318</v>
      </c>
      <c r="F34" s="158" t="s">
        <v>317</v>
      </c>
      <c r="G34" s="174">
        <v>620000</v>
      </c>
      <c r="H34" s="174">
        <v>0</v>
      </c>
      <c r="I34" s="174">
        <v>0</v>
      </c>
      <c r="J34" s="174">
        <v>620000</v>
      </c>
      <c r="K34" s="175">
        <v>620000</v>
      </c>
      <c r="L34" s="176"/>
      <c r="M34" s="189">
        <v>620000</v>
      </c>
      <c r="N34" s="176"/>
      <c r="O34" s="176"/>
      <c r="P34" s="176"/>
      <c r="Q34" s="176"/>
    </row>
    <row r="35" spans="1:17" s="177" customFormat="1" ht="14.4" thickBot="1" x14ac:dyDescent="0.35">
      <c r="A35" s="171" t="s">
        <v>223</v>
      </c>
      <c r="B35" s="172">
        <v>30589536084</v>
      </c>
      <c r="C35" s="172" t="s">
        <v>224</v>
      </c>
      <c r="D35" s="173">
        <v>46055</v>
      </c>
      <c r="E35" s="172" t="s">
        <v>318</v>
      </c>
      <c r="F35" s="172" t="s">
        <v>319</v>
      </c>
      <c r="G35" s="174">
        <v>9723</v>
      </c>
      <c r="H35" s="174">
        <v>0</v>
      </c>
      <c r="I35" s="174">
        <v>0</v>
      </c>
      <c r="J35" s="174">
        <v>9723</v>
      </c>
      <c r="K35" s="175">
        <v>9723</v>
      </c>
      <c r="L35" s="189">
        <v>9723</v>
      </c>
      <c r="M35" s="176"/>
      <c r="N35" s="176"/>
      <c r="O35" s="176"/>
      <c r="P35" s="176"/>
      <c r="Q35" s="176"/>
    </row>
    <row r="36" spans="1:17" s="177" customFormat="1" ht="14.4" thickBot="1" x14ac:dyDescent="0.35">
      <c r="A36" s="171" t="s">
        <v>221</v>
      </c>
      <c r="B36" s="172">
        <v>30708237791</v>
      </c>
      <c r="C36" s="172" t="s">
        <v>222</v>
      </c>
      <c r="D36" s="173">
        <v>46053</v>
      </c>
      <c r="E36" s="172" t="s">
        <v>318</v>
      </c>
      <c r="F36" s="172" t="s">
        <v>319</v>
      </c>
      <c r="G36" s="174">
        <v>111635</v>
      </c>
      <c r="H36" s="174">
        <v>0</v>
      </c>
      <c r="I36" s="174">
        <v>0</v>
      </c>
      <c r="J36" s="174">
        <v>111635</v>
      </c>
      <c r="K36" s="175">
        <v>111635</v>
      </c>
      <c r="L36" s="189">
        <v>111635</v>
      </c>
      <c r="M36" s="176"/>
      <c r="N36" s="176"/>
      <c r="O36" s="176"/>
      <c r="P36" s="176"/>
      <c r="Q36" s="176"/>
    </row>
    <row r="37" spans="1:17" s="156" customFormat="1" ht="13.8" x14ac:dyDescent="0.3">
      <c r="A37" s="150" t="s">
        <v>218</v>
      </c>
      <c r="B37" s="151">
        <v>30545996991</v>
      </c>
      <c r="C37" s="151" t="s">
        <v>219</v>
      </c>
      <c r="D37" s="152">
        <v>46063</v>
      </c>
      <c r="E37" s="151" t="s">
        <v>320</v>
      </c>
      <c r="F37" s="151" t="s">
        <v>319</v>
      </c>
      <c r="G37" s="153">
        <v>3109008.15</v>
      </c>
      <c r="H37" s="153">
        <v>0</v>
      </c>
      <c r="I37" s="153">
        <v>521841.4</v>
      </c>
      <c r="J37" s="153">
        <v>2587166.75</v>
      </c>
      <c r="K37" s="154"/>
      <c r="L37" s="155"/>
      <c r="M37" s="155"/>
      <c r="N37" s="155"/>
      <c r="O37" s="155"/>
      <c r="P37" s="155"/>
      <c r="Q37" s="155"/>
    </row>
    <row r="38" spans="1:17" ht="13.8" x14ac:dyDescent="0.3">
      <c r="A38" s="157" t="s">
        <v>218</v>
      </c>
      <c r="B38" s="158">
        <v>30545996991</v>
      </c>
      <c r="C38" s="158" t="s">
        <v>220</v>
      </c>
      <c r="D38" s="159">
        <v>46063</v>
      </c>
      <c r="E38" s="158" t="s">
        <v>320</v>
      </c>
      <c r="F38" s="158" t="s">
        <v>315</v>
      </c>
      <c r="G38" s="160">
        <v>109992.25</v>
      </c>
      <c r="H38" s="160">
        <v>0</v>
      </c>
      <c r="I38" s="160">
        <v>0</v>
      </c>
      <c r="J38" s="160">
        <v>109992.25</v>
      </c>
      <c r="K38" s="161"/>
      <c r="L38" s="162"/>
      <c r="M38" s="162"/>
      <c r="N38" s="162"/>
      <c r="O38" s="162"/>
      <c r="P38" s="162"/>
      <c r="Q38" s="162"/>
    </row>
    <row r="39" spans="1:17" ht="13.8" x14ac:dyDescent="0.3">
      <c r="A39" s="157" t="s">
        <v>218</v>
      </c>
      <c r="B39" s="158">
        <v>30545996991</v>
      </c>
      <c r="C39" s="190">
        <v>1488821</v>
      </c>
      <c r="D39" s="159">
        <v>46063</v>
      </c>
      <c r="E39" s="158" t="s">
        <v>329</v>
      </c>
      <c r="F39" s="158" t="s">
        <v>328</v>
      </c>
      <c r="G39" s="160">
        <v>1647150.87</v>
      </c>
      <c r="H39" s="160">
        <v>0</v>
      </c>
      <c r="I39" s="160">
        <v>0</v>
      </c>
      <c r="J39" s="160">
        <v>1647150.87</v>
      </c>
      <c r="K39" s="161"/>
      <c r="L39" s="162"/>
      <c r="M39" s="162"/>
      <c r="N39" s="162"/>
      <c r="O39" s="162"/>
      <c r="P39" s="162"/>
      <c r="Q39" s="162"/>
    </row>
    <row r="40" spans="1:17" ht="13.8" x14ac:dyDescent="0.3">
      <c r="A40" s="157" t="s">
        <v>218</v>
      </c>
      <c r="B40" s="158">
        <v>30545996991</v>
      </c>
      <c r="C40" s="190">
        <v>1491012</v>
      </c>
      <c r="D40" s="159">
        <v>46063</v>
      </c>
      <c r="E40" s="158" t="s">
        <v>329</v>
      </c>
      <c r="F40" s="158" t="s">
        <v>328</v>
      </c>
      <c r="G40" s="160">
        <v>119065.34</v>
      </c>
      <c r="H40" s="160">
        <v>110756.16</v>
      </c>
      <c r="I40" s="160">
        <v>0</v>
      </c>
      <c r="J40" s="160">
        <v>8309.179999999993</v>
      </c>
      <c r="K40" s="161"/>
      <c r="L40" s="162"/>
      <c r="M40" s="162"/>
      <c r="N40" s="162"/>
      <c r="O40" s="162"/>
      <c r="P40" s="162"/>
      <c r="Q40" s="162"/>
    </row>
    <row r="41" spans="1:17" s="170" customFormat="1" ht="14.4" thickBot="1" x14ac:dyDescent="0.35">
      <c r="A41" s="163" t="s">
        <v>218</v>
      </c>
      <c r="B41" s="164">
        <v>30545996991</v>
      </c>
      <c r="C41" s="191">
        <v>1490647</v>
      </c>
      <c r="D41" s="165">
        <v>46063</v>
      </c>
      <c r="E41" s="164">
        <v>60</v>
      </c>
      <c r="F41" s="164"/>
      <c r="G41" s="166">
        <v>158426.06</v>
      </c>
      <c r="H41" s="166">
        <v>106473.82</v>
      </c>
      <c r="I41" s="166">
        <v>0</v>
      </c>
      <c r="J41" s="166">
        <v>51952.239999999991</v>
      </c>
      <c r="K41" s="167">
        <v>4404571.29</v>
      </c>
      <c r="L41" s="168"/>
      <c r="M41" s="168"/>
      <c r="N41" s="168"/>
      <c r="O41" s="168"/>
      <c r="P41" s="168"/>
      <c r="Q41" s="168"/>
    </row>
    <row r="42" spans="1:17" s="177" customFormat="1" ht="14.4" thickBot="1" x14ac:dyDescent="0.35">
      <c r="A42" s="171" t="s">
        <v>216</v>
      </c>
      <c r="B42" s="172">
        <v>30708069791</v>
      </c>
      <c r="C42" s="172" t="s">
        <v>217</v>
      </c>
      <c r="D42" s="173">
        <v>46055</v>
      </c>
      <c r="E42" s="172" t="s">
        <v>318</v>
      </c>
      <c r="F42" s="172" t="s">
        <v>319</v>
      </c>
      <c r="G42" s="174">
        <v>125482</v>
      </c>
      <c r="H42" s="174">
        <v>4770</v>
      </c>
      <c r="I42" s="174">
        <v>0</v>
      </c>
      <c r="J42" s="174">
        <v>120712</v>
      </c>
      <c r="K42" s="175">
        <v>120712</v>
      </c>
      <c r="L42" s="189">
        <v>120712</v>
      </c>
      <c r="M42" s="176"/>
      <c r="N42" s="176"/>
      <c r="O42" s="176"/>
      <c r="P42" s="176"/>
      <c r="Q42" s="176"/>
    </row>
    <row r="43" spans="1:17" s="192" customFormat="1" ht="13.8" x14ac:dyDescent="0.3">
      <c r="A43" s="150" t="s">
        <v>211</v>
      </c>
      <c r="B43" s="151">
        <v>30596272165</v>
      </c>
      <c r="C43" s="151" t="s">
        <v>212</v>
      </c>
      <c r="D43" s="152">
        <v>46051</v>
      </c>
      <c r="E43" s="151" t="s">
        <v>318</v>
      </c>
      <c r="F43" s="151" t="s">
        <v>319</v>
      </c>
      <c r="G43" s="153">
        <v>6772.16</v>
      </c>
      <c r="H43" s="153">
        <v>0</v>
      </c>
      <c r="I43" s="153">
        <v>0</v>
      </c>
      <c r="J43" s="153">
        <v>6772.16</v>
      </c>
      <c r="K43" s="154"/>
      <c r="L43" s="151"/>
      <c r="M43" s="151"/>
      <c r="N43" s="151"/>
      <c r="O43" s="151"/>
      <c r="P43" s="151"/>
      <c r="Q43" s="151"/>
    </row>
    <row r="44" spans="1:17" s="193" customFormat="1" ht="13.8" x14ac:dyDescent="0.3">
      <c r="A44" s="157" t="s">
        <v>211</v>
      </c>
      <c r="B44" s="158">
        <v>30596272165</v>
      </c>
      <c r="C44" s="158" t="s">
        <v>285</v>
      </c>
      <c r="D44" s="159">
        <v>46099</v>
      </c>
      <c r="E44" s="158" t="s">
        <v>321</v>
      </c>
      <c r="F44" s="158" t="s">
        <v>319</v>
      </c>
      <c r="G44" s="160">
        <v>366051.84000000003</v>
      </c>
      <c r="H44" s="160"/>
      <c r="I44" s="160"/>
      <c r="J44" s="160">
        <v>366051.84000000003</v>
      </c>
      <c r="K44" s="161"/>
      <c r="L44" s="158"/>
      <c r="M44" s="158"/>
      <c r="N44" s="158"/>
      <c r="O44" s="158"/>
      <c r="P44" s="158"/>
      <c r="Q44" s="158"/>
    </row>
    <row r="45" spans="1:17" s="193" customFormat="1" ht="13.8" x14ac:dyDescent="0.3">
      <c r="A45" s="157" t="s">
        <v>211</v>
      </c>
      <c r="B45" s="158">
        <v>30596272165</v>
      </c>
      <c r="C45" s="158" t="s">
        <v>213</v>
      </c>
      <c r="D45" s="159">
        <v>46056</v>
      </c>
      <c r="E45" s="158" t="s">
        <v>318</v>
      </c>
      <c r="F45" s="158" t="s">
        <v>317</v>
      </c>
      <c r="G45" s="160">
        <v>19045.919999999998</v>
      </c>
      <c r="H45" s="160">
        <v>0</v>
      </c>
      <c r="I45" s="160">
        <v>0</v>
      </c>
      <c r="J45" s="160">
        <v>19045.919999999998</v>
      </c>
      <c r="K45" s="161"/>
      <c r="L45" s="158"/>
      <c r="M45" s="158"/>
      <c r="N45" s="158"/>
      <c r="O45" s="158"/>
      <c r="P45" s="158"/>
      <c r="Q45" s="158"/>
    </row>
    <row r="46" spans="1:17" s="193" customFormat="1" ht="13.8" x14ac:dyDescent="0.3">
      <c r="A46" s="157" t="s">
        <v>211</v>
      </c>
      <c r="B46" s="158">
        <v>30596272165</v>
      </c>
      <c r="C46" s="158" t="s">
        <v>214</v>
      </c>
      <c r="D46" s="159">
        <v>46056</v>
      </c>
      <c r="E46" s="158" t="s">
        <v>318</v>
      </c>
      <c r="F46" s="158" t="s">
        <v>319</v>
      </c>
      <c r="G46" s="160">
        <v>119934.72</v>
      </c>
      <c r="H46" s="160">
        <v>4620</v>
      </c>
      <c r="I46" s="160">
        <v>0</v>
      </c>
      <c r="J46" s="160">
        <v>115314.72</v>
      </c>
      <c r="K46" s="161"/>
      <c r="L46" s="158"/>
      <c r="M46" s="158"/>
      <c r="N46" s="158"/>
      <c r="O46" s="158"/>
      <c r="P46" s="158"/>
      <c r="Q46" s="158"/>
    </row>
    <row r="47" spans="1:17" s="194" customFormat="1" ht="14.4" thickBot="1" x14ac:dyDescent="0.35">
      <c r="A47" s="163" t="s">
        <v>211</v>
      </c>
      <c r="B47" s="164">
        <v>30596272165</v>
      </c>
      <c r="C47" s="164" t="s">
        <v>215</v>
      </c>
      <c r="D47" s="165">
        <v>46058</v>
      </c>
      <c r="E47" s="164" t="s">
        <v>320</v>
      </c>
      <c r="F47" s="164" t="s">
        <v>319</v>
      </c>
      <c r="G47" s="166">
        <v>459656.38</v>
      </c>
      <c r="H47" s="166">
        <v>0</v>
      </c>
      <c r="I47" s="166">
        <v>137505.06</v>
      </c>
      <c r="J47" s="166">
        <v>322151.32</v>
      </c>
      <c r="K47" s="167">
        <v>829335.96</v>
      </c>
      <c r="L47" s="164"/>
      <c r="M47" s="164"/>
      <c r="N47" s="166">
        <v>829335.96</v>
      </c>
      <c r="O47" s="164"/>
      <c r="P47" s="164"/>
      <c r="Q47" s="164"/>
    </row>
    <row r="48" spans="1:17" s="156" customFormat="1" ht="13.8" x14ac:dyDescent="0.3">
      <c r="A48" s="150" t="s">
        <v>208</v>
      </c>
      <c r="B48" s="151">
        <v>30682285431</v>
      </c>
      <c r="C48" s="151" t="s">
        <v>209</v>
      </c>
      <c r="D48" s="152">
        <v>46059</v>
      </c>
      <c r="E48" s="151" t="s">
        <v>318</v>
      </c>
      <c r="F48" s="151" t="s">
        <v>316</v>
      </c>
      <c r="G48" s="153">
        <v>500</v>
      </c>
      <c r="H48" s="153">
        <v>0</v>
      </c>
      <c r="I48" s="153">
        <v>0</v>
      </c>
      <c r="J48" s="153">
        <v>500</v>
      </c>
      <c r="K48" s="154"/>
      <c r="L48" s="155"/>
      <c r="M48" s="155"/>
      <c r="N48" s="155"/>
      <c r="O48" s="155"/>
      <c r="P48" s="155"/>
      <c r="Q48" s="155"/>
    </row>
    <row r="49" spans="1:17" s="170" customFormat="1" ht="14.4" thickBot="1" x14ac:dyDescent="0.35">
      <c r="A49" s="163" t="s">
        <v>208</v>
      </c>
      <c r="B49" s="164">
        <v>30682285431</v>
      </c>
      <c r="C49" s="164" t="s">
        <v>210</v>
      </c>
      <c r="D49" s="165">
        <v>46059</v>
      </c>
      <c r="E49" s="164" t="s">
        <v>318</v>
      </c>
      <c r="F49" s="164" t="s">
        <v>319</v>
      </c>
      <c r="G49" s="166">
        <v>212300</v>
      </c>
      <c r="H49" s="166">
        <v>32100</v>
      </c>
      <c r="I49" s="166">
        <v>0</v>
      </c>
      <c r="J49" s="166">
        <v>180200</v>
      </c>
      <c r="K49" s="167">
        <v>180700</v>
      </c>
      <c r="L49" s="168"/>
      <c r="M49" s="178">
        <v>180700</v>
      </c>
      <c r="N49" s="168"/>
      <c r="O49" s="168"/>
      <c r="P49" s="168"/>
      <c r="Q49" s="168"/>
    </row>
    <row r="50" spans="1:17" s="177" customFormat="1" ht="14.4" thickBot="1" x14ac:dyDescent="0.35">
      <c r="A50" s="171" t="s">
        <v>206</v>
      </c>
      <c r="B50" s="172">
        <v>30645574326</v>
      </c>
      <c r="C50" s="172" t="s">
        <v>207</v>
      </c>
      <c r="D50" s="173">
        <v>46059</v>
      </c>
      <c r="E50" s="172" t="s">
        <v>318</v>
      </c>
      <c r="F50" s="158" t="s">
        <v>317</v>
      </c>
      <c r="G50" s="174">
        <v>142225.76999999999</v>
      </c>
      <c r="H50" s="174">
        <v>44027.72</v>
      </c>
      <c r="I50" s="174">
        <v>0</v>
      </c>
      <c r="J50" s="174">
        <v>98198.049999999988</v>
      </c>
      <c r="K50" s="175">
        <v>98198.049999999988</v>
      </c>
      <c r="L50" s="189">
        <v>98198.049999999988</v>
      </c>
      <c r="M50" s="176"/>
      <c r="N50" s="176"/>
      <c r="O50" s="176"/>
      <c r="P50" s="176"/>
      <c r="Q50" s="176"/>
    </row>
    <row r="51" spans="1:17" s="156" customFormat="1" ht="13.8" x14ac:dyDescent="0.3">
      <c r="A51" s="150" t="s">
        <v>200</v>
      </c>
      <c r="B51" s="151">
        <v>30660567840</v>
      </c>
      <c r="C51" s="151" t="s">
        <v>201</v>
      </c>
      <c r="D51" s="152">
        <v>46052</v>
      </c>
      <c r="E51" s="151" t="s">
        <v>318</v>
      </c>
      <c r="F51" s="158" t="s">
        <v>317</v>
      </c>
      <c r="G51" s="153">
        <v>13661.85</v>
      </c>
      <c r="H51" s="153">
        <v>0</v>
      </c>
      <c r="I51" s="153">
        <v>0</v>
      </c>
      <c r="J51" s="153">
        <v>13661.85</v>
      </c>
      <c r="K51" s="154"/>
      <c r="L51" s="155"/>
      <c r="M51" s="155"/>
      <c r="N51" s="155"/>
      <c r="O51" s="155"/>
      <c r="P51" s="155"/>
      <c r="Q51" s="155"/>
    </row>
    <row r="52" spans="1:17" ht="13.8" x14ac:dyDescent="0.3">
      <c r="A52" s="157" t="s">
        <v>200</v>
      </c>
      <c r="B52" s="158">
        <v>30660567840</v>
      </c>
      <c r="C52" s="158" t="s">
        <v>202</v>
      </c>
      <c r="D52" s="159">
        <v>46052</v>
      </c>
      <c r="E52" s="158" t="s">
        <v>318</v>
      </c>
      <c r="F52" s="158" t="s">
        <v>317</v>
      </c>
      <c r="G52" s="160">
        <v>2911.71</v>
      </c>
      <c r="H52" s="160">
        <v>0</v>
      </c>
      <c r="I52" s="160">
        <v>0</v>
      </c>
      <c r="J52" s="160">
        <v>2911.71</v>
      </c>
      <c r="K52" s="161"/>
      <c r="L52" s="162"/>
      <c r="M52" s="162"/>
      <c r="N52" s="162"/>
      <c r="O52" s="162"/>
      <c r="P52" s="162"/>
      <c r="Q52" s="162"/>
    </row>
    <row r="53" spans="1:17" ht="13.8" x14ac:dyDescent="0.3">
      <c r="A53" s="157" t="s">
        <v>200</v>
      </c>
      <c r="B53" s="158">
        <v>30660567840</v>
      </c>
      <c r="C53" s="158" t="s">
        <v>203</v>
      </c>
      <c r="D53" s="159">
        <v>46052</v>
      </c>
      <c r="E53" s="158" t="s">
        <v>318</v>
      </c>
      <c r="F53" s="158" t="s">
        <v>319</v>
      </c>
      <c r="G53" s="160">
        <v>322387.14</v>
      </c>
      <c r="H53" s="160">
        <v>0</v>
      </c>
      <c r="I53" s="160">
        <v>0</v>
      </c>
      <c r="J53" s="160">
        <v>322387.14</v>
      </c>
      <c r="K53" s="161"/>
      <c r="L53" s="162"/>
      <c r="M53" s="162"/>
      <c r="N53" s="162"/>
      <c r="O53" s="162"/>
      <c r="P53" s="162"/>
      <c r="Q53" s="162"/>
    </row>
    <row r="54" spans="1:17" ht="13.8" x14ac:dyDescent="0.3">
      <c r="A54" s="157" t="s">
        <v>200</v>
      </c>
      <c r="B54" s="158">
        <v>30660567840</v>
      </c>
      <c r="C54" s="158" t="s">
        <v>204</v>
      </c>
      <c r="D54" s="159">
        <v>46052</v>
      </c>
      <c r="E54" s="158" t="s">
        <v>320</v>
      </c>
      <c r="F54" s="158" t="s">
        <v>319</v>
      </c>
      <c r="G54" s="160">
        <v>95690.559999999998</v>
      </c>
      <c r="H54" s="160">
        <v>0</v>
      </c>
      <c r="I54" s="160">
        <v>17060.080000000002</v>
      </c>
      <c r="J54" s="160">
        <v>78630.48</v>
      </c>
      <c r="K54" s="161"/>
      <c r="L54" s="162"/>
      <c r="M54" s="162"/>
      <c r="N54" s="162"/>
      <c r="O54" s="162"/>
      <c r="P54" s="162"/>
      <c r="Q54" s="162"/>
    </row>
    <row r="55" spans="1:17" s="170" customFormat="1" ht="14.4" thickBot="1" x14ac:dyDescent="0.35">
      <c r="A55" s="163" t="s">
        <v>200</v>
      </c>
      <c r="B55" s="164">
        <v>30660567840</v>
      </c>
      <c r="C55" s="164" t="s">
        <v>205</v>
      </c>
      <c r="D55" s="165">
        <v>46052</v>
      </c>
      <c r="E55" s="164" t="s">
        <v>318</v>
      </c>
      <c r="F55" s="164" t="s">
        <v>316</v>
      </c>
      <c r="G55" s="166">
        <v>17161.71</v>
      </c>
      <c r="H55" s="166">
        <v>0</v>
      </c>
      <c r="I55" s="166">
        <v>0</v>
      </c>
      <c r="J55" s="166">
        <v>17161.71</v>
      </c>
      <c r="K55" s="167">
        <v>434752.89</v>
      </c>
      <c r="L55" s="168"/>
      <c r="M55" s="168"/>
      <c r="N55" s="178">
        <v>434752.89</v>
      </c>
      <c r="O55" s="168"/>
      <c r="P55" s="168"/>
      <c r="Q55" s="168"/>
    </row>
    <row r="56" spans="1:17" s="156" customFormat="1" ht="13.8" x14ac:dyDescent="0.3">
      <c r="A56" s="150" t="s">
        <v>195</v>
      </c>
      <c r="B56" s="151">
        <v>30615571454</v>
      </c>
      <c r="C56" s="151" t="s">
        <v>196</v>
      </c>
      <c r="D56" s="152">
        <v>46059</v>
      </c>
      <c r="E56" s="151" t="s">
        <v>320</v>
      </c>
      <c r="F56" s="151" t="s">
        <v>319</v>
      </c>
      <c r="G56" s="153">
        <v>16081927.1</v>
      </c>
      <c r="H56" s="153">
        <v>36324</v>
      </c>
      <c r="I56" s="153">
        <v>151309.62</v>
      </c>
      <c r="J56" s="153">
        <v>15894293.48</v>
      </c>
      <c r="K56" s="154"/>
      <c r="L56" s="155"/>
      <c r="M56" s="155"/>
      <c r="N56" s="155"/>
      <c r="O56" s="155"/>
      <c r="P56" s="155"/>
      <c r="Q56" s="155"/>
    </row>
    <row r="57" spans="1:17" ht="13.8" x14ac:dyDescent="0.3">
      <c r="A57" s="157" t="s">
        <v>195</v>
      </c>
      <c r="B57" s="158">
        <v>30615571454</v>
      </c>
      <c r="C57" s="158" t="s">
        <v>197</v>
      </c>
      <c r="D57" s="159">
        <v>46062</v>
      </c>
      <c r="E57" s="158" t="s">
        <v>318</v>
      </c>
      <c r="F57" s="158" t="s">
        <v>316</v>
      </c>
      <c r="G57" s="160">
        <v>120841.77</v>
      </c>
      <c r="H57" s="160">
        <v>0</v>
      </c>
      <c r="I57" s="160">
        <v>0</v>
      </c>
      <c r="J57" s="160">
        <v>120841.77</v>
      </c>
      <c r="K57" s="161"/>
      <c r="L57" s="162"/>
      <c r="M57" s="162"/>
      <c r="N57" s="162"/>
      <c r="O57" s="162"/>
      <c r="P57" s="162"/>
      <c r="Q57" s="162"/>
    </row>
    <row r="58" spans="1:17" s="170" customFormat="1" ht="14.4" thickBot="1" x14ac:dyDescent="0.35">
      <c r="A58" s="163" t="s">
        <v>195</v>
      </c>
      <c r="B58" s="164">
        <v>30615571454</v>
      </c>
      <c r="C58" s="164" t="s">
        <v>198</v>
      </c>
      <c r="D58" s="165">
        <v>46062</v>
      </c>
      <c r="E58" s="164" t="s">
        <v>318</v>
      </c>
      <c r="F58" s="164" t="s">
        <v>319</v>
      </c>
      <c r="G58" s="166">
        <v>385893</v>
      </c>
      <c r="H58" s="166">
        <v>0</v>
      </c>
      <c r="I58" s="166">
        <v>0</v>
      </c>
      <c r="J58" s="166">
        <v>385893</v>
      </c>
      <c r="K58" s="167">
        <v>16401028.25</v>
      </c>
      <c r="L58" s="168"/>
      <c r="M58" s="169">
        <v>8200514.125</v>
      </c>
      <c r="N58" s="169">
        <v>8200514.125</v>
      </c>
      <c r="O58" s="168"/>
      <c r="P58" s="168"/>
      <c r="Q58" s="168"/>
    </row>
    <row r="59" spans="1:17" s="156" customFormat="1" ht="13.8" x14ac:dyDescent="0.3">
      <c r="A59" s="150" t="s">
        <v>190</v>
      </c>
      <c r="B59" s="151">
        <v>30608875227</v>
      </c>
      <c r="C59" s="151" t="s">
        <v>191</v>
      </c>
      <c r="D59" s="152">
        <v>46059</v>
      </c>
      <c r="E59" s="151" t="s">
        <v>322</v>
      </c>
      <c r="F59" s="151" t="s">
        <v>319</v>
      </c>
      <c r="G59" s="153">
        <v>3622500</v>
      </c>
      <c r="H59" s="153">
        <v>0</v>
      </c>
      <c r="I59" s="153">
        <v>0</v>
      </c>
      <c r="J59" s="153">
        <v>3622500</v>
      </c>
      <c r="K59" s="154"/>
      <c r="L59" s="155"/>
      <c r="M59" s="155"/>
      <c r="N59" s="155"/>
      <c r="O59" s="155"/>
      <c r="P59" s="155"/>
      <c r="Q59" s="155"/>
    </row>
    <row r="60" spans="1:17" ht="13.8" x14ac:dyDescent="0.3">
      <c r="A60" s="157" t="s">
        <v>190</v>
      </c>
      <c r="B60" s="158">
        <v>30608875227</v>
      </c>
      <c r="C60" s="158" t="s">
        <v>192</v>
      </c>
      <c r="D60" s="159">
        <v>46059</v>
      </c>
      <c r="E60" s="158" t="s">
        <v>318</v>
      </c>
      <c r="F60" s="158" t="s">
        <v>319</v>
      </c>
      <c r="G60" s="160">
        <v>668968</v>
      </c>
      <c r="H60" s="160">
        <v>112628</v>
      </c>
      <c r="I60" s="160">
        <v>0</v>
      </c>
      <c r="J60" s="160">
        <v>556340</v>
      </c>
      <c r="K60" s="161"/>
      <c r="L60" s="162"/>
      <c r="M60" s="162"/>
      <c r="N60" s="162"/>
      <c r="O60" s="162"/>
      <c r="P60" s="162"/>
      <c r="Q60" s="162"/>
    </row>
    <row r="61" spans="1:17" ht="13.8" x14ac:dyDescent="0.3">
      <c r="A61" s="157" t="s">
        <v>190</v>
      </c>
      <c r="B61" s="158">
        <v>30608875227</v>
      </c>
      <c r="C61" s="158" t="s">
        <v>193</v>
      </c>
      <c r="D61" s="159">
        <v>46059</v>
      </c>
      <c r="E61" s="158" t="s">
        <v>318</v>
      </c>
      <c r="F61" s="158" t="s">
        <v>316</v>
      </c>
      <c r="G61" s="160">
        <v>78643</v>
      </c>
      <c r="H61" s="160">
        <v>21336</v>
      </c>
      <c r="I61" s="160">
        <v>0</v>
      </c>
      <c r="J61" s="160">
        <v>57307</v>
      </c>
      <c r="K61" s="161"/>
      <c r="L61" s="162"/>
      <c r="M61" s="162"/>
      <c r="N61" s="162"/>
      <c r="O61" s="162"/>
      <c r="P61" s="162"/>
      <c r="Q61" s="162"/>
    </row>
    <row r="62" spans="1:17" s="170" customFormat="1" ht="14.4" thickBot="1" x14ac:dyDescent="0.35">
      <c r="A62" s="163" t="s">
        <v>190</v>
      </c>
      <c r="B62" s="164">
        <v>30608875227</v>
      </c>
      <c r="C62" s="164" t="s">
        <v>194</v>
      </c>
      <c r="D62" s="165">
        <v>46059</v>
      </c>
      <c r="E62" s="164" t="s">
        <v>318</v>
      </c>
      <c r="F62" s="164" t="s">
        <v>315</v>
      </c>
      <c r="G62" s="166">
        <v>33736</v>
      </c>
      <c r="H62" s="166">
        <v>0</v>
      </c>
      <c r="I62" s="166">
        <v>0</v>
      </c>
      <c r="J62" s="166">
        <v>33736</v>
      </c>
      <c r="K62" s="167">
        <v>4269883</v>
      </c>
      <c r="L62" s="168"/>
      <c r="M62" s="168"/>
      <c r="N62" s="169">
        <v>2134941.5</v>
      </c>
      <c r="O62" s="169">
        <v>2134941.5</v>
      </c>
      <c r="P62" s="168"/>
      <c r="Q62" s="168"/>
    </row>
    <row r="63" spans="1:17" s="156" customFormat="1" ht="13.8" x14ac:dyDescent="0.3">
      <c r="A63" s="150" t="s">
        <v>187</v>
      </c>
      <c r="B63" s="151">
        <v>30546133865</v>
      </c>
      <c r="C63" s="151" t="s">
        <v>188</v>
      </c>
      <c r="D63" s="152">
        <v>46057</v>
      </c>
      <c r="E63" s="151" t="s">
        <v>318</v>
      </c>
      <c r="F63" s="158" t="s">
        <v>317</v>
      </c>
      <c r="G63" s="153">
        <v>174427.02</v>
      </c>
      <c r="H63" s="153">
        <v>0</v>
      </c>
      <c r="I63" s="153">
        <v>0</v>
      </c>
      <c r="J63" s="153">
        <v>174427.02</v>
      </c>
      <c r="K63" s="154"/>
      <c r="L63" s="155"/>
      <c r="M63" s="155"/>
      <c r="N63" s="155"/>
      <c r="O63" s="155"/>
      <c r="P63" s="155"/>
      <c r="Q63" s="155"/>
    </row>
    <row r="64" spans="1:17" s="170" customFormat="1" ht="14.4" thickBot="1" x14ac:dyDescent="0.35">
      <c r="A64" s="163" t="s">
        <v>187</v>
      </c>
      <c r="B64" s="164">
        <v>30546133865</v>
      </c>
      <c r="C64" s="164" t="s">
        <v>189</v>
      </c>
      <c r="D64" s="165">
        <v>46058</v>
      </c>
      <c r="E64" s="164" t="s">
        <v>318</v>
      </c>
      <c r="F64" s="164" t="s">
        <v>319</v>
      </c>
      <c r="G64" s="166">
        <v>222983.78</v>
      </c>
      <c r="H64" s="166">
        <v>30660</v>
      </c>
      <c r="I64" s="166">
        <v>0</v>
      </c>
      <c r="J64" s="166">
        <v>192323.78</v>
      </c>
      <c r="K64" s="167">
        <v>366750.8</v>
      </c>
      <c r="L64" s="168"/>
      <c r="M64" s="178">
        <v>366750.8</v>
      </c>
      <c r="N64" s="168"/>
      <c r="O64" s="168"/>
      <c r="P64" s="168"/>
      <c r="Q64" s="168"/>
    </row>
    <row r="65" spans="1:17" s="177" customFormat="1" ht="14.4" thickBot="1" x14ac:dyDescent="0.35">
      <c r="A65" s="171" t="s">
        <v>185</v>
      </c>
      <c r="B65" s="172">
        <v>30680944691</v>
      </c>
      <c r="C65" s="172" t="s">
        <v>186</v>
      </c>
      <c r="D65" s="173">
        <v>46059</v>
      </c>
      <c r="E65" s="172" t="s">
        <v>318</v>
      </c>
      <c r="F65" s="172" t="s">
        <v>319</v>
      </c>
      <c r="G65" s="174">
        <v>34700</v>
      </c>
      <c r="H65" s="174">
        <v>0</v>
      </c>
      <c r="I65" s="174">
        <v>0</v>
      </c>
      <c r="J65" s="174">
        <v>34700</v>
      </c>
      <c r="K65" s="175">
        <v>34700</v>
      </c>
      <c r="L65" s="189">
        <v>34700</v>
      </c>
      <c r="M65" s="176"/>
      <c r="N65" s="176"/>
      <c r="O65" s="176"/>
      <c r="P65" s="176"/>
      <c r="Q65" s="176"/>
    </row>
    <row r="66" spans="1:17" s="156" customFormat="1" ht="13.8" x14ac:dyDescent="0.3">
      <c r="A66" s="150" t="s">
        <v>181</v>
      </c>
      <c r="B66" s="151">
        <v>30615748966</v>
      </c>
      <c r="C66" s="151" t="s">
        <v>182</v>
      </c>
      <c r="D66" s="152">
        <v>46055</v>
      </c>
      <c r="E66" s="151" t="s">
        <v>323</v>
      </c>
      <c r="F66" s="151" t="s">
        <v>319</v>
      </c>
      <c r="G66" s="153">
        <v>23832</v>
      </c>
      <c r="H66" s="153">
        <v>0</v>
      </c>
      <c r="I66" s="153">
        <v>0</v>
      </c>
      <c r="J66" s="153">
        <v>23832</v>
      </c>
      <c r="K66" s="154"/>
      <c r="L66" s="155"/>
      <c r="M66" s="155"/>
      <c r="N66" s="155"/>
      <c r="O66" s="155"/>
      <c r="P66" s="155"/>
      <c r="Q66" s="155"/>
    </row>
    <row r="67" spans="1:17" s="170" customFormat="1" ht="14.4" thickBot="1" x14ac:dyDescent="0.35">
      <c r="A67" s="163" t="s">
        <v>181</v>
      </c>
      <c r="B67" s="164">
        <v>30615748966</v>
      </c>
      <c r="C67" s="164" t="s">
        <v>184</v>
      </c>
      <c r="D67" s="165">
        <v>46055</v>
      </c>
      <c r="E67" s="164" t="s">
        <v>318</v>
      </c>
      <c r="F67" s="164" t="s">
        <v>319</v>
      </c>
      <c r="G67" s="166">
        <v>25024</v>
      </c>
      <c r="H67" s="166">
        <v>0</v>
      </c>
      <c r="I67" s="166">
        <v>0</v>
      </c>
      <c r="J67" s="166">
        <v>25024</v>
      </c>
      <c r="K67" s="167">
        <v>48856</v>
      </c>
      <c r="L67" s="178">
        <v>48856</v>
      </c>
      <c r="M67" s="168"/>
      <c r="N67" s="168"/>
      <c r="O67" s="168"/>
      <c r="P67" s="168"/>
      <c r="Q67" s="168"/>
    </row>
    <row r="68" spans="1:17" s="177" customFormat="1" ht="14.4" thickBot="1" x14ac:dyDescent="0.35">
      <c r="A68" s="171" t="s">
        <v>179</v>
      </c>
      <c r="B68" s="172">
        <v>33711273129</v>
      </c>
      <c r="C68" s="172" t="s">
        <v>180</v>
      </c>
      <c r="D68" s="173">
        <v>46053</v>
      </c>
      <c r="E68" s="172" t="s">
        <v>318</v>
      </c>
      <c r="F68" s="172" t="s">
        <v>319</v>
      </c>
      <c r="G68" s="174">
        <v>207454.42</v>
      </c>
      <c r="H68" s="174">
        <v>16800</v>
      </c>
      <c r="I68" s="174">
        <v>0</v>
      </c>
      <c r="J68" s="174">
        <v>190654.42</v>
      </c>
      <c r="K68" s="175">
        <v>190654.42</v>
      </c>
      <c r="L68" s="189">
        <v>190654.42</v>
      </c>
      <c r="M68" s="176"/>
      <c r="N68" s="176"/>
      <c r="O68" s="176"/>
      <c r="P68" s="176"/>
      <c r="Q68" s="176"/>
    </row>
    <row r="69" spans="1:17" s="177" customFormat="1" ht="14.4" thickBot="1" x14ac:dyDescent="0.35">
      <c r="A69" s="171" t="s">
        <v>177</v>
      </c>
      <c r="B69" s="172">
        <v>30553588266</v>
      </c>
      <c r="C69" s="172" t="s">
        <v>178</v>
      </c>
      <c r="D69" s="173">
        <v>46057</v>
      </c>
      <c r="E69" s="172" t="s">
        <v>318</v>
      </c>
      <c r="F69" s="158" t="s">
        <v>317</v>
      </c>
      <c r="G69" s="174">
        <v>913000.35</v>
      </c>
      <c r="H69" s="174">
        <v>2442.5</v>
      </c>
      <c r="I69" s="174">
        <v>0</v>
      </c>
      <c r="J69" s="174">
        <v>910557.85</v>
      </c>
      <c r="K69" s="175">
        <v>910557.85</v>
      </c>
      <c r="L69" s="176"/>
      <c r="M69" s="189">
        <v>910557.85</v>
      </c>
      <c r="N69" s="176"/>
      <c r="O69" s="176"/>
      <c r="P69" s="176"/>
      <c r="Q69" s="176"/>
    </row>
    <row r="70" spans="1:17" s="177" customFormat="1" ht="14.4" thickBot="1" x14ac:dyDescent="0.35">
      <c r="A70" s="171" t="s">
        <v>175</v>
      </c>
      <c r="B70" s="172">
        <v>30555217419</v>
      </c>
      <c r="C70" s="172" t="s">
        <v>176</v>
      </c>
      <c r="D70" s="173">
        <v>46058</v>
      </c>
      <c r="E70" s="172" t="s">
        <v>318</v>
      </c>
      <c r="F70" s="172" t="s">
        <v>324</v>
      </c>
      <c r="G70" s="174">
        <v>48594.17</v>
      </c>
      <c r="H70" s="174">
        <v>30744.17</v>
      </c>
      <c r="I70" s="174">
        <v>0</v>
      </c>
      <c r="J70" s="174">
        <v>17850</v>
      </c>
      <c r="K70" s="175">
        <v>17850</v>
      </c>
      <c r="L70" s="189">
        <v>17850</v>
      </c>
      <c r="M70" s="176"/>
      <c r="N70" s="176"/>
      <c r="O70" s="176"/>
      <c r="P70" s="176"/>
      <c r="Q70" s="176"/>
    </row>
    <row r="71" spans="1:17" s="156" customFormat="1" ht="13.8" x14ac:dyDescent="0.3">
      <c r="A71" s="150" t="s">
        <v>171</v>
      </c>
      <c r="B71" s="151">
        <v>30680565224</v>
      </c>
      <c r="C71" s="151" t="s">
        <v>172</v>
      </c>
      <c r="D71" s="152">
        <v>46058</v>
      </c>
      <c r="E71" s="151" t="s">
        <v>318</v>
      </c>
      <c r="F71" s="151" t="s">
        <v>319</v>
      </c>
      <c r="G71" s="153">
        <v>24436.3</v>
      </c>
      <c r="H71" s="153">
        <v>0</v>
      </c>
      <c r="I71" s="153">
        <v>0</v>
      </c>
      <c r="J71" s="153">
        <v>24436.3</v>
      </c>
      <c r="K71" s="154"/>
      <c r="L71" s="155"/>
      <c r="M71" s="155"/>
      <c r="N71" s="155"/>
      <c r="O71" s="155"/>
      <c r="P71" s="155"/>
      <c r="Q71" s="155"/>
    </row>
    <row r="72" spans="1:17" ht="13.8" x14ac:dyDescent="0.3">
      <c r="A72" s="157" t="s">
        <v>171</v>
      </c>
      <c r="B72" s="158">
        <v>30680565224</v>
      </c>
      <c r="C72" s="158" t="s">
        <v>173</v>
      </c>
      <c r="D72" s="159">
        <v>46059</v>
      </c>
      <c r="E72" s="158" t="s">
        <v>318</v>
      </c>
      <c r="F72" s="158" t="s">
        <v>319</v>
      </c>
      <c r="G72" s="160">
        <v>395123.35</v>
      </c>
      <c r="H72" s="160">
        <v>0</v>
      </c>
      <c r="I72" s="160">
        <v>0</v>
      </c>
      <c r="J72" s="160">
        <v>395123.35</v>
      </c>
      <c r="K72" s="161"/>
      <c r="L72" s="162"/>
      <c r="M72" s="162"/>
      <c r="N72" s="162"/>
      <c r="O72" s="162"/>
      <c r="P72" s="162"/>
      <c r="Q72" s="162"/>
    </row>
    <row r="73" spans="1:17" s="170" customFormat="1" ht="14.4" thickBot="1" x14ac:dyDescent="0.35">
      <c r="A73" s="163" t="s">
        <v>171</v>
      </c>
      <c r="B73" s="164">
        <v>30680565224</v>
      </c>
      <c r="C73" s="164" t="s">
        <v>174</v>
      </c>
      <c r="D73" s="165">
        <v>46063</v>
      </c>
      <c r="E73" s="164" t="s">
        <v>320</v>
      </c>
      <c r="F73" s="164" t="s">
        <v>319</v>
      </c>
      <c r="G73" s="166">
        <v>3656092.28</v>
      </c>
      <c r="H73" s="166"/>
      <c r="I73" s="166"/>
      <c r="J73" s="166">
        <v>3656092.28</v>
      </c>
      <c r="K73" s="167">
        <v>4075651.9299999997</v>
      </c>
      <c r="L73" s="168"/>
      <c r="M73" s="168"/>
      <c r="N73" s="168"/>
      <c r="O73" s="169">
        <v>2037825.9649999999</v>
      </c>
      <c r="P73" s="169">
        <v>2037825.9649999999</v>
      </c>
      <c r="Q73" s="168"/>
    </row>
    <row r="74" spans="1:17" s="156" customFormat="1" ht="13.8" x14ac:dyDescent="0.3">
      <c r="A74" s="150" t="s">
        <v>163</v>
      </c>
      <c r="B74" s="151">
        <v>30623442566</v>
      </c>
      <c r="C74" s="151" t="s">
        <v>164</v>
      </c>
      <c r="D74" s="152">
        <v>46057</v>
      </c>
      <c r="E74" s="151" t="s">
        <v>318</v>
      </c>
      <c r="F74" s="151" t="s">
        <v>315</v>
      </c>
      <c r="G74" s="153">
        <v>37206.21</v>
      </c>
      <c r="H74" s="153">
        <v>0</v>
      </c>
      <c r="I74" s="153">
        <v>0</v>
      </c>
      <c r="J74" s="153">
        <v>37206.21</v>
      </c>
      <c r="K74" s="154"/>
      <c r="L74" s="155"/>
      <c r="M74" s="155"/>
      <c r="N74" s="155"/>
      <c r="O74" s="155"/>
      <c r="P74" s="155"/>
      <c r="Q74" s="155"/>
    </row>
    <row r="75" spans="1:17" ht="13.8" x14ac:dyDescent="0.3">
      <c r="A75" s="157" t="s">
        <v>163</v>
      </c>
      <c r="B75" s="158">
        <v>30623442566</v>
      </c>
      <c r="C75" s="158" t="s">
        <v>165</v>
      </c>
      <c r="D75" s="159">
        <v>46057</v>
      </c>
      <c r="E75" s="158" t="s">
        <v>318</v>
      </c>
      <c r="F75" s="158" t="s">
        <v>316</v>
      </c>
      <c r="G75" s="160">
        <v>51468.85</v>
      </c>
      <c r="H75" s="160">
        <v>11196</v>
      </c>
      <c r="I75" s="160">
        <v>0</v>
      </c>
      <c r="J75" s="160">
        <v>40272.85</v>
      </c>
      <c r="K75" s="161"/>
      <c r="L75" s="162"/>
      <c r="M75" s="162"/>
      <c r="N75" s="162"/>
      <c r="O75" s="162"/>
      <c r="P75" s="162"/>
      <c r="Q75" s="162"/>
    </row>
    <row r="76" spans="1:17" ht="13.8" x14ac:dyDescent="0.3">
      <c r="A76" s="157" t="s">
        <v>163</v>
      </c>
      <c r="B76" s="158">
        <v>30623442566</v>
      </c>
      <c r="C76" s="158" t="s">
        <v>166</v>
      </c>
      <c r="D76" s="159">
        <v>46057</v>
      </c>
      <c r="E76" s="158" t="s">
        <v>318</v>
      </c>
      <c r="F76" s="158" t="s">
        <v>316</v>
      </c>
      <c r="G76" s="160">
        <v>63700.59</v>
      </c>
      <c r="H76" s="160">
        <v>0</v>
      </c>
      <c r="I76" s="160">
        <v>0</v>
      </c>
      <c r="J76" s="160">
        <v>63700.59</v>
      </c>
      <c r="K76" s="161"/>
      <c r="L76" s="162"/>
      <c r="M76" s="162"/>
      <c r="N76" s="162"/>
      <c r="O76" s="162"/>
      <c r="P76" s="162"/>
      <c r="Q76" s="162"/>
    </row>
    <row r="77" spans="1:17" ht="13.8" x14ac:dyDescent="0.3">
      <c r="A77" s="157" t="s">
        <v>163</v>
      </c>
      <c r="B77" s="158">
        <v>30623442566</v>
      </c>
      <c r="C77" s="158" t="s">
        <v>167</v>
      </c>
      <c r="D77" s="159">
        <v>46057</v>
      </c>
      <c r="E77" s="158" t="s">
        <v>318</v>
      </c>
      <c r="F77" s="158" t="s">
        <v>317</v>
      </c>
      <c r="G77" s="160">
        <v>1862897.86</v>
      </c>
      <c r="H77" s="160">
        <v>0</v>
      </c>
      <c r="I77" s="160">
        <v>0</v>
      </c>
      <c r="J77" s="160">
        <v>1862897.86</v>
      </c>
      <c r="K77" s="161"/>
      <c r="L77" s="162"/>
      <c r="M77" s="162"/>
      <c r="N77" s="162"/>
      <c r="O77" s="162"/>
      <c r="P77" s="162"/>
      <c r="Q77" s="162"/>
    </row>
    <row r="78" spans="1:17" ht="13.8" x14ac:dyDescent="0.3">
      <c r="A78" s="157" t="s">
        <v>163</v>
      </c>
      <c r="B78" s="158">
        <v>30623442566</v>
      </c>
      <c r="C78" s="158" t="s">
        <v>168</v>
      </c>
      <c r="D78" s="159">
        <v>46057</v>
      </c>
      <c r="E78" s="158" t="s">
        <v>318</v>
      </c>
      <c r="F78" s="158" t="s">
        <v>319</v>
      </c>
      <c r="G78" s="160">
        <v>36984.14</v>
      </c>
      <c r="H78" s="160">
        <v>0</v>
      </c>
      <c r="I78" s="160">
        <v>0</v>
      </c>
      <c r="J78" s="160">
        <v>36984.14</v>
      </c>
      <c r="K78" s="161"/>
      <c r="L78" s="162"/>
      <c r="M78" s="162"/>
      <c r="N78" s="162"/>
      <c r="O78" s="162"/>
      <c r="P78" s="162"/>
      <c r="Q78" s="162"/>
    </row>
    <row r="79" spans="1:17" ht="13.8" x14ac:dyDescent="0.3">
      <c r="A79" s="157" t="s">
        <v>163</v>
      </c>
      <c r="B79" s="158">
        <v>30623442566</v>
      </c>
      <c r="C79" s="158" t="s">
        <v>169</v>
      </c>
      <c r="D79" s="159">
        <v>46057</v>
      </c>
      <c r="E79" s="158" t="s">
        <v>318</v>
      </c>
      <c r="F79" s="158" t="s">
        <v>317</v>
      </c>
      <c r="G79" s="160">
        <v>187503.24</v>
      </c>
      <c r="H79" s="160">
        <v>0</v>
      </c>
      <c r="I79" s="160">
        <v>0</v>
      </c>
      <c r="J79" s="160">
        <v>187503.24</v>
      </c>
      <c r="K79" s="161"/>
      <c r="L79" s="162"/>
      <c r="M79" s="162"/>
      <c r="N79" s="162"/>
      <c r="O79" s="162"/>
      <c r="P79" s="162"/>
      <c r="Q79" s="162"/>
    </row>
    <row r="80" spans="1:17" s="170" customFormat="1" ht="14.4" thickBot="1" x14ac:dyDescent="0.35">
      <c r="A80" s="163" t="s">
        <v>163</v>
      </c>
      <c r="B80" s="164">
        <v>30623442566</v>
      </c>
      <c r="C80" s="164" t="s">
        <v>170</v>
      </c>
      <c r="D80" s="165">
        <v>46057</v>
      </c>
      <c r="E80" s="164" t="s">
        <v>318</v>
      </c>
      <c r="F80" s="158" t="s">
        <v>317</v>
      </c>
      <c r="G80" s="166">
        <v>50764.98</v>
      </c>
      <c r="H80" s="166">
        <v>0</v>
      </c>
      <c r="I80" s="166">
        <v>0</v>
      </c>
      <c r="J80" s="166">
        <v>50764.98</v>
      </c>
      <c r="K80" s="167">
        <v>2279329.8699999996</v>
      </c>
      <c r="L80" s="168"/>
      <c r="M80" s="168"/>
      <c r="N80" s="169">
        <v>1139664.9349999998</v>
      </c>
      <c r="O80" s="169">
        <v>1139664.9349999998</v>
      </c>
      <c r="P80" s="168"/>
      <c r="Q80" s="168"/>
    </row>
    <row r="81" spans="1:17" s="177" customFormat="1" ht="14.4" thickBot="1" x14ac:dyDescent="0.35">
      <c r="A81" s="171" t="s">
        <v>161</v>
      </c>
      <c r="B81" s="172">
        <v>30714473723</v>
      </c>
      <c r="C81" s="172" t="s">
        <v>162</v>
      </c>
      <c r="D81" s="173">
        <v>46056</v>
      </c>
      <c r="E81" s="172" t="s">
        <v>318</v>
      </c>
      <c r="F81" s="172" t="s">
        <v>319</v>
      </c>
      <c r="G81" s="174">
        <v>34041</v>
      </c>
      <c r="H81" s="174">
        <v>0</v>
      </c>
      <c r="I81" s="174">
        <v>0</v>
      </c>
      <c r="J81" s="174">
        <v>34041</v>
      </c>
      <c r="K81" s="175">
        <v>34041</v>
      </c>
      <c r="L81" s="189">
        <v>34041</v>
      </c>
      <c r="M81" s="176"/>
      <c r="N81" s="176"/>
      <c r="O81" s="176"/>
      <c r="P81" s="176"/>
      <c r="Q81" s="176"/>
    </row>
    <row r="82" spans="1:17" s="156" customFormat="1" ht="13.8" x14ac:dyDescent="0.3">
      <c r="A82" s="150" t="s">
        <v>158</v>
      </c>
      <c r="B82" s="151">
        <v>30602764032</v>
      </c>
      <c r="C82" s="151" t="s">
        <v>159</v>
      </c>
      <c r="D82" s="152">
        <v>46042</v>
      </c>
      <c r="E82" s="151" t="s">
        <v>314</v>
      </c>
      <c r="F82" s="151" t="s">
        <v>319</v>
      </c>
      <c r="G82" s="153">
        <v>2896120.44</v>
      </c>
      <c r="H82" s="153">
        <v>0</v>
      </c>
      <c r="I82" s="153">
        <v>0</v>
      </c>
      <c r="J82" s="153">
        <v>2896120.44</v>
      </c>
      <c r="K82" s="154"/>
      <c r="L82" s="155"/>
      <c r="M82" s="155"/>
      <c r="N82" s="155"/>
      <c r="O82" s="155"/>
      <c r="P82" s="155"/>
      <c r="Q82" s="155"/>
    </row>
    <row r="83" spans="1:17" s="170" customFormat="1" ht="14.4" thickBot="1" x14ac:dyDescent="0.35">
      <c r="A83" s="163" t="s">
        <v>158</v>
      </c>
      <c r="B83" s="164">
        <v>30602764032</v>
      </c>
      <c r="C83" s="164" t="s">
        <v>160</v>
      </c>
      <c r="D83" s="165">
        <v>46042</v>
      </c>
      <c r="E83" s="164" t="s">
        <v>314</v>
      </c>
      <c r="F83" s="164" t="s">
        <v>319</v>
      </c>
      <c r="G83" s="166">
        <v>4157334.18</v>
      </c>
      <c r="H83" s="166">
        <v>0</v>
      </c>
      <c r="I83" s="166">
        <v>0</v>
      </c>
      <c r="J83" s="166">
        <v>4157334.18</v>
      </c>
      <c r="K83" s="167">
        <v>7053454.6200000001</v>
      </c>
      <c r="L83" s="168"/>
      <c r="M83" s="168"/>
      <c r="N83" s="169">
        <v>3526727.31</v>
      </c>
      <c r="O83" s="169">
        <v>3526727.31</v>
      </c>
      <c r="P83" s="168"/>
      <c r="Q83" s="168"/>
    </row>
    <row r="84" spans="1:17" s="156" customFormat="1" ht="13.8" x14ac:dyDescent="0.3">
      <c r="A84" s="150" t="s">
        <v>153</v>
      </c>
      <c r="B84" s="151">
        <v>30708910208</v>
      </c>
      <c r="C84" s="151" t="s">
        <v>154</v>
      </c>
      <c r="D84" s="152">
        <v>46059</v>
      </c>
      <c r="E84" s="151" t="s">
        <v>318</v>
      </c>
      <c r="F84" s="151" t="s">
        <v>319</v>
      </c>
      <c r="G84" s="153">
        <v>175500</v>
      </c>
      <c r="H84" s="153">
        <v>0</v>
      </c>
      <c r="I84" s="153">
        <v>0</v>
      </c>
      <c r="J84" s="153">
        <v>175500</v>
      </c>
      <c r="K84" s="154"/>
      <c r="L84" s="155"/>
      <c r="M84" s="155"/>
      <c r="N84" s="155"/>
      <c r="O84" s="155"/>
      <c r="P84" s="155"/>
      <c r="Q84" s="155"/>
    </row>
    <row r="85" spans="1:17" ht="13.8" x14ac:dyDescent="0.3">
      <c r="A85" s="157" t="s">
        <v>153</v>
      </c>
      <c r="B85" s="158">
        <v>30708910208</v>
      </c>
      <c r="C85" s="158" t="s">
        <v>155</v>
      </c>
      <c r="D85" s="159">
        <v>46059</v>
      </c>
      <c r="E85" s="158" t="s">
        <v>318</v>
      </c>
      <c r="F85" s="158" t="s">
        <v>317</v>
      </c>
      <c r="G85" s="160">
        <v>95250</v>
      </c>
      <c r="H85" s="160">
        <v>0</v>
      </c>
      <c r="I85" s="160">
        <v>0</v>
      </c>
      <c r="J85" s="160">
        <v>95250</v>
      </c>
      <c r="K85" s="161"/>
      <c r="L85" s="162"/>
      <c r="M85" s="162"/>
      <c r="N85" s="162"/>
      <c r="O85" s="162"/>
      <c r="P85" s="162"/>
      <c r="Q85" s="162"/>
    </row>
    <row r="86" spans="1:17" ht="13.8" x14ac:dyDescent="0.3">
      <c r="A86" s="157" t="s">
        <v>153</v>
      </c>
      <c r="B86" s="158">
        <v>30708910208</v>
      </c>
      <c r="C86" s="158" t="s">
        <v>156</v>
      </c>
      <c r="D86" s="159">
        <v>46059</v>
      </c>
      <c r="E86" s="158" t="s">
        <v>318</v>
      </c>
      <c r="F86" s="158" t="s">
        <v>316</v>
      </c>
      <c r="G86" s="160">
        <v>157770</v>
      </c>
      <c r="H86" s="160">
        <v>0</v>
      </c>
      <c r="I86" s="160">
        <v>0</v>
      </c>
      <c r="J86" s="160">
        <v>157770</v>
      </c>
      <c r="K86" s="161"/>
      <c r="L86" s="162"/>
      <c r="M86" s="162"/>
      <c r="N86" s="162"/>
      <c r="O86" s="162"/>
      <c r="P86" s="162"/>
      <c r="Q86" s="162"/>
    </row>
    <row r="87" spans="1:17" s="170" customFormat="1" ht="14.4" thickBot="1" x14ac:dyDescent="0.35">
      <c r="A87" s="163" t="s">
        <v>153</v>
      </c>
      <c r="B87" s="164">
        <v>30708910208</v>
      </c>
      <c r="C87" s="164" t="s">
        <v>157</v>
      </c>
      <c r="D87" s="165">
        <v>46059</v>
      </c>
      <c r="E87" s="164" t="s">
        <v>318</v>
      </c>
      <c r="F87" s="164" t="s">
        <v>315</v>
      </c>
      <c r="G87" s="166">
        <v>14700</v>
      </c>
      <c r="H87" s="166">
        <v>0</v>
      </c>
      <c r="I87" s="166">
        <v>0</v>
      </c>
      <c r="J87" s="166">
        <v>14700</v>
      </c>
      <c r="K87" s="167">
        <v>443220</v>
      </c>
      <c r="L87" s="168"/>
      <c r="M87" s="178">
        <v>443220</v>
      </c>
      <c r="N87" s="168"/>
      <c r="O87" s="168"/>
      <c r="P87" s="168"/>
      <c r="Q87" s="168"/>
    </row>
    <row r="88" spans="1:17" s="177" customFormat="1" ht="14.4" thickBot="1" x14ac:dyDescent="0.35">
      <c r="A88" s="171" t="s">
        <v>151</v>
      </c>
      <c r="B88" s="172">
        <v>33716532629</v>
      </c>
      <c r="C88" s="172" t="s">
        <v>152</v>
      </c>
      <c r="D88" s="173">
        <v>46057</v>
      </c>
      <c r="E88" s="172" t="s">
        <v>318</v>
      </c>
      <c r="F88" s="172" t="s">
        <v>319</v>
      </c>
      <c r="G88" s="174">
        <v>119721</v>
      </c>
      <c r="H88" s="174">
        <v>76769</v>
      </c>
      <c r="I88" s="174">
        <v>0</v>
      </c>
      <c r="J88" s="174">
        <v>42952</v>
      </c>
      <c r="K88" s="175">
        <v>42952</v>
      </c>
      <c r="L88" s="189">
        <v>42952</v>
      </c>
      <c r="M88" s="176"/>
      <c r="N88" s="176"/>
      <c r="O88" s="176"/>
      <c r="P88" s="176"/>
      <c r="Q88" s="176"/>
    </row>
    <row r="89" spans="1:17" s="177" customFormat="1" ht="14.4" thickBot="1" x14ac:dyDescent="0.35">
      <c r="A89" s="171" t="s">
        <v>149</v>
      </c>
      <c r="B89" s="172">
        <v>30717147835</v>
      </c>
      <c r="C89" s="172" t="s">
        <v>150</v>
      </c>
      <c r="D89" s="173">
        <v>46059</v>
      </c>
      <c r="E89" s="172" t="s">
        <v>318</v>
      </c>
      <c r="F89" s="172" t="s">
        <v>319</v>
      </c>
      <c r="G89" s="174">
        <v>478647.56</v>
      </c>
      <c r="H89" s="174">
        <v>0</v>
      </c>
      <c r="I89" s="174">
        <v>0</v>
      </c>
      <c r="J89" s="174">
        <v>478647.56</v>
      </c>
      <c r="K89" s="175">
        <v>478647.56</v>
      </c>
      <c r="L89" s="176"/>
      <c r="M89" s="189">
        <v>478647.56</v>
      </c>
      <c r="N89" s="176"/>
      <c r="O89" s="176"/>
      <c r="P89" s="176"/>
      <c r="Q89" s="176"/>
    </row>
    <row r="90" spans="1:17" s="156" customFormat="1" ht="13.8" x14ac:dyDescent="0.3">
      <c r="A90" s="150" t="s">
        <v>145</v>
      </c>
      <c r="B90" s="151">
        <v>33577427009</v>
      </c>
      <c r="C90" s="151" t="s">
        <v>146</v>
      </c>
      <c r="D90" s="152">
        <v>46063</v>
      </c>
      <c r="E90" s="151" t="s">
        <v>318</v>
      </c>
      <c r="F90" s="151" t="s">
        <v>319</v>
      </c>
      <c r="G90" s="153">
        <v>1713569</v>
      </c>
      <c r="H90" s="153">
        <v>78798.5</v>
      </c>
      <c r="I90" s="153">
        <v>0</v>
      </c>
      <c r="J90" s="153">
        <v>1634770.5</v>
      </c>
      <c r="K90" s="154"/>
      <c r="L90" s="155"/>
      <c r="M90" s="155"/>
      <c r="N90" s="155"/>
      <c r="O90" s="155"/>
      <c r="P90" s="155"/>
      <c r="Q90" s="155"/>
    </row>
    <row r="91" spans="1:17" ht="13.8" x14ac:dyDescent="0.3">
      <c r="A91" s="157" t="s">
        <v>145</v>
      </c>
      <c r="B91" s="158">
        <v>33577427009</v>
      </c>
      <c r="C91" s="158" t="s">
        <v>147</v>
      </c>
      <c r="D91" s="159">
        <v>46063</v>
      </c>
      <c r="E91" s="158" t="s">
        <v>318</v>
      </c>
      <c r="F91" s="158" t="s">
        <v>317</v>
      </c>
      <c r="G91" s="160">
        <v>290233</v>
      </c>
      <c r="H91" s="160">
        <v>66521</v>
      </c>
      <c r="I91" s="160">
        <v>0</v>
      </c>
      <c r="J91" s="160">
        <v>223712</v>
      </c>
      <c r="K91" s="161"/>
      <c r="L91" s="162"/>
      <c r="M91" s="162"/>
      <c r="N91" s="162"/>
      <c r="O91" s="162"/>
      <c r="P91" s="162"/>
      <c r="Q91" s="162"/>
    </row>
    <row r="92" spans="1:17" s="170" customFormat="1" ht="14.4" thickBot="1" x14ac:dyDescent="0.35">
      <c r="A92" s="163" t="s">
        <v>145</v>
      </c>
      <c r="B92" s="164">
        <v>33577427009</v>
      </c>
      <c r="C92" s="164" t="s">
        <v>148</v>
      </c>
      <c r="D92" s="165">
        <v>46063</v>
      </c>
      <c r="E92" s="164" t="s">
        <v>318</v>
      </c>
      <c r="F92" s="158" t="s">
        <v>317</v>
      </c>
      <c r="G92" s="166">
        <v>367425</v>
      </c>
      <c r="H92" s="166">
        <v>113955</v>
      </c>
      <c r="I92" s="166">
        <v>0</v>
      </c>
      <c r="J92" s="166">
        <v>253470</v>
      </c>
      <c r="K92" s="167">
        <v>2111952.5</v>
      </c>
      <c r="L92" s="168"/>
      <c r="M92" s="168"/>
      <c r="N92" s="178">
        <v>2111952.5</v>
      </c>
      <c r="O92" s="168"/>
      <c r="P92" s="168"/>
      <c r="Q92" s="168"/>
    </row>
    <row r="93" spans="1:17" s="177" customFormat="1" ht="14.4" thickBot="1" x14ac:dyDescent="0.35">
      <c r="A93" s="171" t="s">
        <v>143</v>
      </c>
      <c r="B93" s="172">
        <v>30714398454</v>
      </c>
      <c r="C93" s="172" t="s">
        <v>144</v>
      </c>
      <c r="D93" s="173">
        <v>46055</v>
      </c>
      <c r="E93" s="172" t="s">
        <v>318</v>
      </c>
      <c r="F93" s="172" t="s">
        <v>319</v>
      </c>
      <c r="G93" s="174">
        <v>600000</v>
      </c>
      <c r="H93" s="174">
        <v>0</v>
      </c>
      <c r="I93" s="174">
        <v>0</v>
      </c>
      <c r="J93" s="174">
        <v>600000</v>
      </c>
      <c r="K93" s="175">
        <v>600000</v>
      </c>
      <c r="L93" s="176"/>
      <c r="M93" s="176"/>
      <c r="N93" s="189">
        <v>600000</v>
      </c>
      <c r="O93" s="176"/>
      <c r="P93" s="176"/>
      <c r="Q93" s="176"/>
    </row>
    <row r="94" spans="1:17" s="177" customFormat="1" ht="14.4" thickBot="1" x14ac:dyDescent="0.35">
      <c r="A94" s="171" t="s">
        <v>141</v>
      </c>
      <c r="B94" s="172">
        <v>30709242195</v>
      </c>
      <c r="C94" s="172" t="s">
        <v>142</v>
      </c>
      <c r="D94" s="173">
        <v>46062</v>
      </c>
      <c r="E94" s="172" t="s">
        <v>318</v>
      </c>
      <c r="F94" s="172" t="s">
        <v>319</v>
      </c>
      <c r="G94" s="174">
        <v>391264.2</v>
      </c>
      <c r="H94" s="174">
        <v>188789.6</v>
      </c>
      <c r="I94" s="174">
        <v>0</v>
      </c>
      <c r="J94" s="174">
        <v>202474.6</v>
      </c>
      <c r="K94" s="175">
        <v>202474.6</v>
      </c>
      <c r="L94" s="176"/>
      <c r="M94" s="176"/>
      <c r="N94" s="189">
        <v>202474.6</v>
      </c>
      <c r="O94" s="176"/>
      <c r="P94" s="176"/>
      <c r="Q94" s="176"/>
    </row>
    <row r="95" spans="1:17" s="156" customFormat="1" ht="13.8" x14ac:dyDescent="0.3">
      <c r="A95" s="150" t="s">
        <v>136</v>
      </c>
      <c r="B95" s="151">
        <v>30716142015</v>
      </c>
      <c r="C95" s="151" t="s">
        <v>137</v>
      </c>
      <c r="D95" s="152">
        <v>46062</v>
      </c>
      <c r="E95" s="151" t="s">
        <v>318</v>
      </c>
      <c r="F95" s="151" t="s">
        <v>315</v>
      </c>
      <c r="G95" s="153">
        <v>275321</v>
      </c>
      <c r="H95" s="153">
        <v>0</v>
      </c>
      <c r="I95" s="153">
        <v>0</v>
      </c>
      <c r="J95" s="153">
        <v>275321</v>
      </c>
      <c r="K95" s="154"/>
      <c r="L95" s="155"/>
      <c r="M95" s="155"/>
      <c r="N95" s="155"/>
      <c r="O95" s="155"/>
      <c r="P95" s="155"/>
      <c r="Q95" s="155"/>
    </row>
    <row r="96" spans="1:17" ht="13.8" x14ac:dyDescent="0.3">
      <c r="A96" s="157" t="s">
        <v>136</v>
      </c>
      <c r="B96" s="158">
        <v>30716142015</v>
      </c>
      <c r="C96" s="158" t="s">
        <v>138</v>
      </c>
      <c r="D96" s="159">
        <v>46062</v>
      </c>
      <c r="E96" s="158" t="s">
        <v>318</v>
      </c>
      <c r="F96" s="158" t="s">
        <v>319</v>
      </c>
      <c r="G96" s="160">
        <v>480694</v>
      </c>
      <c r="H96" s="160">
        <v>0</v>
      </c>
      <c r="I96" s="160">
        <v>0</v>
      </c>
      <c r="J96" s="160">
        <v>480694</v>
      </c>
      <c r="K96" s="161"/>
      <c r="L96" s="162"/>
      <c r="M96" s="162"/>
      <c r="N96" s="162"/>
      <c r="O96" s="162"/>
      <c r="P96" s="162"/>
      <c r="Q96" s="162"/>
    </row>
    <row r="97" spans="1:17" ht="13.8" x14ac:dyDescent="0.3">
      <c r="A97" s="157" t="s">
        <v>136</v>
      </c>
      <c r="B97" s="158">
        <v>30716142015</v>
      </c>
      <c r="C97" s="158" t="s">
        <v>139</v>
      </c>
      <c r="D97" s="159">
        <v>46062</v>
      </c>
      <c r="E97" s="158" t="s">
        <v>318</v>
      </c>
      <c r="F97" s="158" t="s">
        <v>316</v>
      </c>
      <c r="G97" s="160">
        <v>760778</v>
      </c>
      <c r="H97" s="160">
        <v>17000</v>
      </c>
      <c r="I97" s="160">
        <v>0</v>
      </c>
      <c r="J97" s="160">
        <v>743778</v>
      </c>
      <c r="K97" s="161"/>
      <c r="L97" s="162"/>
      <c r="M97" s="162"/>
      <c r="N97" s="162"/>
      <c r="O97" s="162"/>
      <c r="P97" s="162"/>
      <c r="Q97" s="162"/>
    </row>
    <row r="98" spans="1:17" s="170" customFormat="1" ht="14.4" thickBot="1" x14ac:dyDescent="0.35">
      <c r="A98" s="163" t="s">
        <v>136</v>
      </c>
      <c r="B98" s="164">
        <v>30716142015</v>
      </c>
      <c r="C98" s="164" t="s">
        <v>140</v>
      </c>
      <c r="D98" s="165">
        <v>46062</v>
      </c>
      <c r="E98" s="164" t="s">
        <v>318</v>
      </c>
      <c r="F98" s="158" t="s">
        <v>317</v>
      </c>
      <c r="G98" s="166">
        <v>539325</v>
      </c>
      <c r="H98" s="166">
        <v>4250</v>
      </c>
      <c r="I98" s="166">
        <v>0</v>
      </c>
      <c r="J98" s="166">
        <v>535075</v>
      </c>
      <c r="K98" s="167">
        <v>2034868</v>
      </c>
      <c r="L98" s="168"/>
      <c r="M98" s="168"/>
      <c r="N98" s="168"/>
      <c r="O98" s="169">
        <v>1017434</v>
      </c>
      <c r="P98" s="169">
        <v>1017434</v>
      </c>
      <c r="Q98" s="168"/>
    </row>
    <row r="99" spans="1:17" s="156" customFormat="1" ht="13.8" x14ac:dyDescent="0.3">
      <c r="A99" s="150" t="s">
        <v>132</v>
      </c>
      <c r="B99" s="151">
        <v>30709290866</v>
      </c>
      <c r="C99" s="151" t="s">
        <v>133</v>
      </c>
      <c r="D99" s="152">
        <v>46059</v>
      </c>
      <c r="E99" s="151" t="s">
        <v>314</v>
      </c>
      <c r="F99" s="151" t="s">
        <v>319</v>
      </c>
      <c r="G99" s="153">
        <v>217368</v>
      </c>
      <c r="H99" s="153">
        <v>0</v>
      </c>
      <c r="I99" s="153">
        <v>0</v>
      </c>
      <c r="J99" s="153">
        <v>217368</v>
      </c>
      <c r="K99" s="154"/>
      <c r="L99" s="155"/>
      <c r="M99" s="155"/>
      <c r="N99" s="155"/>
      <c r="O99" s="155"/>
      <c r="P99" s="155"/>
      <c r="Q99" s="155"/>
    </row>
    <row r="100" spans="1:17" ht="13.8" x14ac:dyDescent="0.3">
      <c r="A100" s="157" t="s">
        <v>132</v>
      </c>
      <c r="B100" s="158">
        <v>30709290866</v>
      </c>
      <c r="C100" s="158" t="s">
        <v>134</v>
      </c>
      <c r="D100" s="159">
        <v>46059</v>
      </c>
      <c r="E100" s="158" t="s">
        <v>314</v>
      </c>
      <c r="F100" s="158" t="s">
        <v>317</v>
      </c>
      <c r="G100" s="160">
        <v>16128</v>
      </c>
      <c r="H100" s="160">
        <v>0</v>
      </c>
      <c r="I100" s="160">
        <v>0</v>
      </c>
      <c r="J100" s="160">
        <v>16128</v>
      </c>
      <c r="K100" s="161"/>
      <c r="L100" s="162"/>
      <c r="M100" s="162"/>
      <c r="N100" s="162"/>
      <c r="O100" s="162"/>
      <c r="P100" s="162"/>
      <c r="Q100" s="162"/>
    </row>
    <row r="101" spans="1:17" s="170" customFormat="1" ht="14.4" thickBot="1" x14ac:dyDescent="0.35">
      <c r="A101" s="163" t="s">
        <v>132</v>
      </c>
      <c r="B101" s="164">
        <v>30709290866</v>
      </c>
      <c r="C101" s="164" t="s">
        <v>135</v>
      </c>
      <c r="D101" s="165">
        <v>46059</v>
      </c>
      <c r="E101" s="164" t="s">
        <v>314</v>
      </c>
      <c r="F101" s="164" t="s">
        <v>316</v>
      </c>
      <c r="G101" s="166">
        <v>24168</v>
      </c>
      <c r="H101" s="166">
        <v>0</v>
      </c>
      <c r="I101" s="166">
        <v>0</v>
      </c>
      <c r="J101" s="166">
        <v>24168</v>
      </c>
      <c r="K101" s="167">
        <v>257664</v>
      </c>
      <c r="L101" s="168"/>
      <c r="M101" s="168"/>
      <c r="N101" s="178">
        <v>257664</v>
      </c>
      <c r="O101" s="168"/>
      <c r="P101" s="168"/>
      <c r="Q101" s="168"/>
    </row>
    <row r="102" spans="1:17" s="177" customFormat="1" ht="14.4" thickBot="1" x14ac:dyDescent="0.35">
      <c r="A102" s="171" t="s">
        <v>130</v>
      </c>
      <c r="B102" s="172">
        <v>30689768861</v>
      </c>
      <c r="C102" s="172" t="s">
        <v>131</v>
      </c>
      <c r="D102" s="173">
        <v>46058</v>
      </c>
      <c r="E102" s="172" t="s">
        <v>318</v>
      </c>
      <c r="F102" s="172" t="s">
        <v>319</v>
      </c>
      <c r="G102" s="174">
        <v>558169.64</v>
      </c>
      <c r="H102" s="174">
        <v>0</v>
      </c>
      <c r="I102" s="174">
        <v>0</v>
      </c>
      <c r="J102" s="174">
        <v>558169.64</v>
      </c>
      <c r="K102" s="175">
        <v>558169.64</v>
      </c>
      <c r="L102" s="176"/>
      <c r="M102" s="176"/>
      <c r="N102" s="189">
        <v>558169.64</v>
      </c>
      <c r="O102" s="176"/>
      <c r="P102" s="176"/>
      <c r="Q102" s="176"/>
    </row>
    <row r="103" spans="1:17" s="156" customFormat="1" ht="13.8" x14ac:dyDescent="0.3">
      <c r="A103" s="150" t="s">
        <v>107</v>
      </c>
      <c r="B103" s="151">
        <v>30589770842</v>
      </c>
      <c r="C103" s="151" t="s">
        <v>108</v>
      </c>
      <c r="D103" s="152">
        <v>46053</v>
      </c>
      <c r="E103" s="151" t="s">
        <v>318</v>
      </c>
      <c r="F103" s="158" t="s">
        <v>317</v>
      </c>
      <c r="G103" s="153">
        <v>304297.64</v>
      </c>
      <c r="H103" s="153">
        <v>26780</v>
      </c>
      <c r="I103" s="153">
        <v>0</v>
      </c>
      <c r="J103" s="153">
        <v>277517.64</v>
      </c>
      <c r="K103" s="154"/>
      <c r="L103" s="155"/>
      <c r="M103" s="155"/>
      <c r="N103" s="155"/>
      <c r="O103" s="155"/>
      <c r="P103" s="155"/>
      <c r="Q103" s="155"/>
    </row>
    <row r="104" spans="1:17" ht="13.8" x14ac:dyDescent="0.3">
      <c r="A104" s="157" t="s">
        <v>107</v>
      </c>
      <c r="B104" s="158">
        <v>30589770842</v>
      </c>
      <c r="C104" s="158" t="s">
        <v>109</v>
      </c>
      <c r="D104" s="159">
        <v>46053</v>
      </c>
      <c r="E104" s="158" t="s">
        <v>318</v>
      </c>
      <c r="F104" s="158" t="s">
        <v>316</v>
      </c>
      <c r="G104" s="160">
        <v>353428.96</v>
      </c>
      <c r="H104" s="160">
        <v>25245</v>
      </c>
      <c r="I104" s="160">
        <v>0</v>
      </c>
      <c r="J104" s="160">
        <v>328183.96000000002</v>
      </c>
      <c r="K104" s="161"/>
      <c r="L104" s="162"/>
      <c r="M104" s="162"/>
      <c r="N104" s="162"/>
      <c r="O104" s="162"/>
      <c r="P104" s="162"/>
      <c r="Q104" s="162"/>
    </row>
    <row r="105" spans="1:17" ht="13.8" x14ac:dyDescent="0.3">
      <c r="A105" s="157" t="s">
        <v>107</v>
      </c>
      <c r="B105" s="158">
        <v>30589770842</v>
      </c>
      <c r="C105" s="158" t="s">
        <v>110</v>
      </c>
      <c r="D105" s="159">
        <v>46053</v>
      </c>
      <c r="E105" s="158" t="s">
        <v>318</v>
      </c>
      <c r="F105" s="158" t="s">
        <v>315</v>
      </c>
      <c r="G105" s="160">
        <v>202374.71</v>
      </c>
      <c r="H105" s="160">
        <v>0</v>
      </c>
      <c r="I105" s="160">
        <v>0</v>
      </c>
      <c r="J105" s="160">
        <v>202374.71</v>
      </c>
      <c r="K105" s="161"/>
      <c r="L105" s="162"/>
      <c r="M105" s="162"/>
      <c r="N105" s="162"/>
      <c r="O105" s="162"/>
      <c r="P105" s="162"/>
      <c r="Q105" s="162"/>
    </row>
    <row r="106" spans="1:17" ht="13.8" x14ac:dyDescent="0.3">
      <c r="A106" s="157" t="s">
        <v>107</v>
      </c>
      <c r="B106" s="158">
        <v>30589770842</v>
      </c>
      <c r="C106" s="158" t="s">
        <v>111</v>
      </c>
      <c r="D106" s="159">
        <v>46053</v>
      </c>
      <c r="E106" s="158" t="s">
        <v>318</v>
      </c>
      <c r="F106" s="158" t="s">
        <v>319</v>
      </c>
      <c r="G106" s="160">
        <v>154323.04999999999</v>
      </c>
      <c r="H106" s="160">
        <v>0</v>
      </c>
      <c r="I106" s="160">
        <v>0</v>
      </c>
      <c r="J106" s="160">
        <v>154323.04999999999</v>
      </c>
      <c r="K106" s="161"/>
      <c r="L106" s="162"/>
      <c r="M106" s="162"/>
      <c r="N106" s="162"/>
      <c r="O106" s="162"/>
      <c r="P106" s="162"/>
      <c r="Q106" s="162"/>
    </row>
    <row r="107" spans="1:17" ht="13.8" x14ac:dyDescent="0.3">
      <c r="A107" s="157" t="s">
        <v>107</v>
      </c>
      <c r="B107" s="158">
        <v>30589770842</v>
      </c>
      <c r="C107" s="158" t="s">
        <v>112</v>
      </c>
      <c r="D107" s="159">
        <v>46053</v>
      </c>
      <c r="E107" s="158" t="s">
        <v>318</v>
      </c>
      <c r="F107" s="158" t="s">
        <v>317</v>
      </c>
      <c r="G107" s="160">
        <v>26780</v>
      </c>
      <c r="H107" s="160">
        <v>0</v>
      </c>
      <c r="I107" s="160">
        <v>0</v>
      </c>
      <c r="J107" s="160">
        <v>26780</v>
      </c>
      <c r="K107" s="161"/>
      <c r="L107" s="162"/>
      <c r="M107" s="162"/>
      <c r="N107" s="162"/>
      <c r="O107" s="162"/>
      <c r="P107" s="162"/>
      <c r="Q107" s="162"/>
    </row>
    <row r="108" spans="1:17" ht="13.8" x14ac:dyDescent="0.3">
      <c r="A108" s="157" t="s">
        <v>107</v>
      </c>
      <c r="B108" s="158">
        <v>30589770842</v>
      </c>
      <c r="C108" s="158" t="s">
        <v>113</v>
      </c>
      <c r="D108" s="159">
        <v>46053</v>
      </c>
      <c r="E108" s="158" t="s">
        <v>318</v>
      </c>
      <c r="F108" s="158" t="s">
        <v>319</v>
      </c>
      <c r="G108" s="160">
        <v>365669.5</v>
      </c>
      <c r="H108" s="160">
        <v>0</v>
      </c>
      <c r="I108" s="160">
        <v>0</v>
      </c>
      <c r="J108" s="160">
        <v>365669.5</v>
      </c>
      <c r="K108" s="161"/>
      <c r="L108" s="162"/>
      <c r="M108" s="162"/>
      <c r="N108" s="162"/>
      <c r="O108" s="162"/>
      <c r="P108" s="162"/>
      <c r="Q108" s="162"/>
    </row>
    <row r="109" spans="1:17" ht="13.8" x14ac:dyDescent="0.3">
      <c r="A109" s="157" t="s">
        <v>107</v>
      </c>
      <c r="B109" s="158">
        <v>30589770842</v>
      </c>
      <c r="C109" s="158" t="s">
        <v>114</v>
      </c>
      <c r="D109" s="159">
        <v>46053</v>
      </c>
      <c r="E109" s="158" t="s">
        <v>318</v>
      </c>
      <c r="F109" s="158" t="s">
        <v>319</v>
      </c>
      <c r="G109" s="160">
        <v>1243510.22</v>
      </c>
      <c r="H109" s="160">
        <v>0</v>
      </c>
      <c r="I109" s="160">
        <v>0</v>
      </c>
      <c r="J109" s="160">
        <v>1243510.22</v>
      </c>
      <c r="K109" s="161"/>
      <c r="L109" s="162"/>
      <c r="M109" s="162"/>
      <c r="N109" s="162"/>
      <c r="O109" s="162"/>
      <c r="P109" s="162"/>
      <c r="Q109" s="162"/>
    </row>
    <row r="110" spans="1:17" ht="13.8" x14ac:dyDescent="0.3">
      <c r="A110" s="157" t="s">
        <v>107</v>
      </c>
      <c r="B110" s="158">
        <v>30589770842</v>
      </c>
      <c r="C110" s="158" t="s">
        <v>115</v>
      </c>
      <c r="D110" s="159">
        <v>46053</v>
      </c>
      <c r="E110" s="158" t="s">
        <v>318</v>
      </c>
      <c r="F110" s="158" t="s">
        <v>317</v>
      </c>
      <c r="G110" s="160">
        <v>59163.46</v>
      </c>
      <c r="H110" s="160">
        <v>0</v>
      </c>
      <c r="I110" s="160">
        <v>0</v>
      </c>
      <c r="J110" s="160">
        <v>59163.46</v>
      </c>
      <c r="K110" s="161"/>
      <c r="L110" s="162"/>
      <c r="M110" s="162"/>
      <c r="N110" s="162"/>
      <c r="O110" s="162"/>
      <c r="P110" s="162"/>
      <c r="Q110" s="162"/>
    </row>
    <row r="111" spans="1:17" ht="13.8" x14ac:dyDescent="0.3">
      <c r="A111" s="157" t="s">
        <v>107</v>
      </c>
      <c r="B111" s="158">
        <v>30589770842</v>
      </c>
      <c r="C111" s="158" t="s">
        <v>116</v>
      </c>
      <c r="D111" s="159">
        <v>46053</v>
      </c>
      <c r="E111" s="158" t="s">
        <v>318</v>
      </c>
      <c r="F111" s="158" t="s">
        <v>317</v>
      </c>
      <c r="G111" s="160">
        <v>2105118.9300000002</v>
      </c>
      <c r="H111" s="160">
        <v>0</v>
      </c>
      <c r="I111" s="160">
        <v>0</v>
      </c>
      <c r="J111" s="160">
        <v>2105118.9300000002</v>
      </c>
      <c r="K111" s="161"/>
      <c r="L111" s="162"/>
      <c r="M111" s="162"/>
      <c r="N111" s="162"/>
      <c r="O111" s="162"/>
      <c r="P111" s="162"/>
      <c r="Q111" s="162"/>
    </row>
    <row r="112" spans="1:17" ht="13.8" x14ac:dyDescent="0.3">
      <c r="A112" s="157" t="s">
        <v>107</v>
      </c>
      <c r="B112" s="158">
        <v>30589770842</v>
      </c>
      <c r="C112" s="158" t="s">
        <v>117</v>
      </c>
      <c r="D112" s="159">
        <v>46053</v>
      </c>
      <c r="E112" s="158" t="s">
        <v>318</v>
      </c>
      <c r="F112" s="158" t="s">
        <v>316</v>
      </c>
      <c r="G112" s="160">
        <v>187083.26</v>
      </c>
      <c r="H112" s="160">
        <v>21730</v>
      </c>
      <c r="I112" s="160">
        <v>0</v>
      </c>
      <c r="J112" s="160">
        <v>165353.26</v>
      </c>
      <c r="K112" s="161"/>
      <c r="L112" s="162"/>
      <c r="M112" s="162"/>
      <c r="N112" s="162"/>
      <c r="O112" s="162"/>
      <c r="P112" s="162"/>
      <c r="Q112" s="162"/>
    </row>
    <row r="113" spans="1:17" ht="13.8" x14ac:dyDescent="0.3">
      <c r="A113" s="157" t="s">
        <v>107</v>
      </c>
      <c r="B113" s="158">
        <v>30589770842</v>
      </c>
      <c r="C113" s="158" t="s">
        <v>118</v>
      </c>
      <c r="D113" s="159">
        <v>46053</v>
      </c>
      <c r="E113" s="158" t="s">
        <v>318</v>
      </c>
      <c r="F113" s="158" t="s">
        <v>316</v>
      </c>
      <c r="G113" s="160">
        <v>11394.36</v>
      </c>
      <c r="H113" s="160">
        <v>0</v>
      </c>
      <c r="I113" s="160">
        <v>0</v>
      </c>
      <c r="J113" s="160">
        <v>11394.36</v>
      </c>
      <c r="K113" s="161"/>
      <c r="L113" s="162"/>
      <c r="M113" s="162"/>
      <c r="N113" s="162"/>
      <c r="O113" s="162"/>
      <c r="P113" s="162"/>
      <c r="Q113" s="162"/>
    </row>
    <row r="114" spans="1:17" ht="13.8" x14ac:dyDescent="0.3">
      <c r="A114" s="157" t="s">
        <v>107</v>
      </c>
      <c r="B114" s="158">
        <v>30589770842</v>
      </c>
      <c r="C114" s="158" t="s">
        <v>119</v>
      </c>
      <c r="D114" s="159">
        <v>46053</v>
      </c>
      <c r="E114" s="158" t="s">
        <v>318</v>
      </c>
      <c r="F114" s="158" t="s">
        <v>319</v>
      </c>
      <c r="G114" s="160">
        <v>385556.3</v>
      </c>
      <c r="H114" s="160">
        <v>0</v>
      </c>
      <c r="I114" s="160">
        <v>0</v>
      </c>
      <c r="J114" s="160">
        <v>385556.3</v>
      </c>
      <c r="K114" s="161"/>
      <c r="L114" s="162"/>
      <c r="M114" s="162"/>
      <c r="N114" s="162"/>
      <c r="O114" s="162"/>
      <c r="P114" s="162"/>
      <c r="Q114" s="162"/>
    </row>
    <row r="115" spans="1:17" ht="13.8" x14ac:dyDescent="0.3">
      <c r="A115" s="157" t="s">
        <v>107</v>
      </c>
      <c r="B115" s="158">
        <v>30589770842</v>
      </c>
      <c r="C115" s="158" t="s">
        <v>120</v>
      </c>
      <c r="D115" s="159">
        <v>46053</v>
      </c>
      <c r="E115" s="158" t="s">
        <v>318</v>
      </c>
      <c r="F115" s="158" t="s">
        <v>316</v>
      </c>
      <c r="G115" s="160">
        <v>412559.2</v>
      </c>
      <c r="H115" s="160">
        <v>5600</v>
      </c>
      <c r="I115" s="160">
        <v>0</v>
      </c>
      <c r="J115" s="160">
        <v>406959.2</v>
      </c>
      <c r="K115" s="161"/>
      <c r="L115" s="162"/>
      <c r="M115" s="162"/>
      <c r="N115" s="162"/>
      <c r="O115" s="162"/>
      <c r="P115" s="162"/>
      <c r="Q115" s="162"/>
    </row>
    <row r="116" spans="1:17" ht="13.8" x14ac:dyDescent="0.3">
      <c r="A116" s="157" t="s">
        <v>107</v>
      </c>
      <c r="B116" s="158">
        <v>30589770842</v>
      </c>
      <c r="C116" s="158" t="s">
        <v>121</v>
      </c>
      <c r="D116" s="159">
        <v>46053</v>
      </c>
      <c r="E116" s="158" t="s">
        <v>318</v>
      </c>
      <c r="F116" s="158" t="s">
        <v>319</v>
      </c>
      <c r="G116" s="160">
        <v>1325550.8899999999</v>
      </c>
      <c r="H116" s="160">
        <v>0</v>
      </c>
      <c r="I116" s="160">
        <v>0</v>
      </c>
      <c r="J116" s="160">
        <v>1325550.8899999999</v>
      </c>
      <c r="K116" s="161"/>
      <c r="L116" s="162"/>
      <c r="M116" s="162"/>
      <c r="N116" s="162"/>
      <c r="O116" s="162"/>
      <c r="P116" s="162"/>
      <c r="Q116" s="162"/>
    </row>
    <row r="117" spans="1:17" ht="13.8" x14ac:dyDescent="0.3">
      <c r="A117" s="157" t="s">
        <v>107</v>
      </c>
      <c r="B117" s="158">
        <v>30589770842</v>
      </c>
      <c r="C117" s="158" t="s">
        <v>122</v>
      </c>
      <c r="D117" s="159">
        <v>46053</v>
      </c>
      <c r="E117" s="158" t="s">
        <v>318</v>
      </c>
      <c r="F117" s="158" t="s">
        <v>319</v>
      </c>
      <c r="G117" s="160">
        <v>1101721.71</v>
      </c>
      <c r="H117" s="160">
        <v>0</v>
      </c>
      <c r="I117" s="160">
        <v>0</v>
      </c>
      <c r="J117" s="160">
        <v>1101721.71</v>
      </c>
      <c r="K117" s="161"/>
      <c r="L117" s="162"/>
      <c r="M117" s="162"/>
      <c r="N117" s="162"/>
      <c r="O117" s="162"/>
      <c r="P117" s="162"/>
      <c r="Q117" s="162"/>
    </row>
    <row r="118" spans="1:17" ht="13.8" x14ac:dyDescent="0.3">
      <c r="A118" s="157" t="s">
        <v>107</v>
      </c>
      <c r="B118" s="158">
        <v>30589770842</v>
      </c>
      <c r="C118" s="158" t="s">
        <v>123</v>
      </c>
      <c r="D118" s="159">
        <v>46053</v>
      </c>
      <c r="E118" s="158" t="s">
        <v>318</v>
      </c>
      <c r="F118" s="158" t="s">
        <v>315</v>
      </c>
      <c r="G118" s="160">
        <v>172926.31</v>
      </c>
      <c r="H118" s="160">
        <v>0</v>
      </c>
      <c r="I118" s="160">
        <v>0</v>
      </c>
      <c r="J118" s="160">
        <v>172926.31</v>
      </c>
      <c r="K118" s="161"/>
      <c r="L118" s="162"/>
      <c r="M118" s="162"/>
      <c r="N118" s="162"/>
      <c r="O118" s="162"/>
      <c r="P118" s="162"/>
      <c r="Q118" s="162"/>
    </row>
    <row r="119" spans="1:17" ht="13.8" x14ac:dyDescent="0.3">
      <c r="A119" s="157" t="s">
        <v>107</v>
      </c>
      <c r="B119" s="158">
        <v>30589770842</v>
      </c>
      <c r="C119" s="158" t="s">
        <v>124</v>
      </c>
      <c r="D119" s="159">
        <v>46053</v>
      </c>
      <c r="E119" s="158" t="s">
        <v>318</v>
      </c>
      <c r="F119" s="158" t="s">
        <v>317</v>
      </c>
      <c r="G119" s="160">
        <v>234200.99</v>
      </c>
      <c r="H119" s="160">
        <v>0</v>
      </c>
      <c r="I119" s="160">
        <v>0</v>
      </c>
      <c r="J119" s="160">
        <v>234200.99</v>
      </c>
      <c r="K119" s="161"/>
      <c r="L119" s="162"/>
      <c r="M119" s="162"/>
      <c r="N119" s="162"/>
      <c r="O119" s="162"/>
      <c r="P119" s="162"/>
      <c r="Q119" s="162"/>
    </row>
    <row r="120" spans="1:17" ht="13.8" x14ac:dyDescent="0.3">
      <c r="A120" s="157" t="s">
        <v>107</v>
      </c>
      <c r="B120" s="158">
        <v>30589770842</v>
      </c>
      <c r="C120" s="158" t="s">
        <v>125</v>
      </c>
      <c r="D120" s="159">
        <v>46053</v>
      </c>
      <c r="E120" s="158" t="s">
        <v>318</v>
      </c>
      <c r="F120" s="158" t="s">
        <v>317</v>
      </c>
      <c r="G120" s="160">
        <v>24277.919999999998</v>
      </c>
      <c r="H120" s="160">
        <v>0</v>
      </c>
      <c r="I120" s="160">
        <v>0</v>
      </c>
      <c r="J120" s="160">
        <v>24277.919999999998</v>
      </c>
      <c r="K120" s="161"/>
      <c r="L120" s="162"/>
      <c r="M120" s="162"/>
      <c r="N120" s="162"/>
      <c r="O120" s="162"/>
      <c r="P120" s="162"/>
      <c r="Q120" s="162"/>
    </row>
    <row r="121" spans="1:17" ht="13.8" x14ac:dyDescent="0.3">
      <c r="A121" s="157" t="s">
        <v>107</v>
      </c>
      <c r="B121" s="158">
        <v>30589770842</v>
      </c>
      <c r="C121" s="158" t="s">
        <v>126</v>
      </c>
      <c r="D121" s="159">
        <v>46053</v>
      </c>
      <c r="E121" s="158" t="s">
        <v>318</v>
      </c>
      <c r="F121" s="158" t="s">
        <v>316</v>
      </c>
      <c r="G121" s="160">
        <v>1661124.65</v>
      </c>
      <c r="H121" s="160">
        <v>0</v>
      </c>
      <c r="I121" s="160">
        <v>0</v>
      </c>
      <c r="J121" s="160">
        <v>1661124.65</v>
      </c>
      <c r="K121" s="161"/>
      <c r="L121" s="162"/>
      <c r="M121" s="162"/>
      <c r="N121" s="162"/>
      <c r="O121" s="162"/>
      <c r="P121" s="162"/>
      <c r="Q121" s="162"/>
    </row>
    <row r="122" spans="1:17" ht="13.8" x14ac:dyDescent="0.3">
      <c r="A122" s="157" t="s">
        <v>107</v>
      </c>
      <c r="B122" s="158">
        <v>30589770842</v>
      </c>
      <c r="C122" s="158" t="s">
        <v>127</v>
      </c>
      <c r="D122" s="159">
        <v>46053</v>
      </c>
      <c r="E122" s="158" t="s">
        <v>318</v>
      </c>
      <c r="F122" s="158" t="s">
        <v>315</v>
      </c>
      <c r="G122" s="160">
        <v>205189.02</v>
      </c>
      <c r="H122" s="160">
        <v>0</v>
      </c>
      <c r="I122" s="160">
        <v>0</v>
      </c>
      <c r="J122" s="160">
        <v>205189.02</v>
      </c>
      <c r="K122" s="161"/>
      <c r="L122" s="162"/>
      <c r="M122" s="162"/>
      <c r="N122" s="162"/>
      <c r="O122" s="162"/>
      <c r="P122" s="162"/>
      <c r="Q122" s="162"/>
    </row>
    <row r="123" spans="1:17" ht="13.8" x14ac:dyDescent="0.3">
      <c r="A123" s="157" t="s">
        <v>107</v>
      </c>
      <c r="B123" s="158">
        <v>30589770842</v>
      </c>
      <c r="C123" s="158" t="s">
        <v>128</v>
      </c>
      <c r="D123" s="159">
        <v>46053</v>
      </c>
      <c r="E123" s="158" t="s">
        <v>318</v>
      </c>
      <c r="F123" s="158" t="s">
        <v>317</v>
      </c>
      <c r="G123" s="160">
        <v>458790.03</v>
      </c>
      <c r="H123" s="160">
        <v>0</v>
      </c>
      <c r="I123" s="160">
        <v>0</v>
      </c>
      <c r="J123" s="160">
        <v>458790.03</v>
      </c>
      <c r="K123" s="161"/>
      <c r="L123" s="162"/>
      <c r="M123" s="162"/>
      <c r="N123" s="162"/>
      <c r="O123" s="162"/>
      <c r="P123" s="162"/>
      <c r="Q123" s="162"/>
    </row>
    <row r="124" spans="1:17" s="170" customFormat="1" ht="14.4" thickBot="1" x14ac:dyDescent="0.35">
      <c r="A124" s="163" t="s">
        <v>107</v>
      </c>
      <c r="B124" s="164">
        <v>30589770842</v>
      </c>
      <c r="C124" s="164" t="s">
        <v>129</v>
      </c>
      <c r="D124" s="165">
        <v>46053</v>
      </c>
      <c r="E124" s="164" t="s">
        <v>318</v>
      </c>
      <c r="F124" s="164" t="s">
        <v>316</v>
      </c>
      <c r="G124" s="166">
        <v>301081.62</v>
      </c>
      <c r="H124" s="166">
        <v>2690</v>
      </c>
      <c r="I124" s="166">
        <v>0</v>
      </c>
      <c r="J124" s="166">
        <v>298391.62</v>
      </c>
      <c r="K124" s="167">
        <v>11214077.729999999</v>
      </c>
      <c r="L124" s="168"/>
      <c r="M124" s="168"/>
      <c r="N124" s="169">
        <v>5607038.8649999993</v>
      </c>
      <c r="O124" s="169">
        <v>5607038.8649999993</v>
      </c>
      <c r="P124" s="168"/>
      <c r="Q124" s="168"/>
    </row>
    <row r="125" spans="1:17" s="156" customFormat="1" ht="13.8" x14ac:dyDescent="0.3">
      <c r="A125" s="150" t="s">
        <v>97</v>
      </c>
      <c r="B125" s="151">
        <v>30659560093</v>
      </c>
      <c r="C125" s="151" t="s">
        <v>98</v>
      </c>
      <c r="D125" s="152">
        <v>46042</v>
      </c>
      <c r="E125" s="151" t="s">
        <v>323</v>
      </c>
      <c r="F125" s="151" t="s">
        <v>319</v>
      </c>
      <c r="G125" s="153">
        <v>3653879</v>
      </c>
      <c r="H125" s="153">
        <v>0</v>
      </c>
      <c r="I125" s="153"/>
      <c r="J125" s="153">
        <v>3653879</v>
      </c>
      <c r="K125" s="154"/>
      <c r="L125" s="155"/>
      <c r="M125" s="155"/>
      <c r="N125" s="155"/>
      <c r="O125" s="155"/>
      <c r="P125" s="155"/>
      <c r="Q125" s="155"/>
    </row>
    <row r="126" spans="1:17" ht="13.8" x14ac:dyDescent="0.3">
      <c r="A126" s="157" t="s">
        <v>97</v>
      </c>
      <c r="B126" s="158">
        <v>30659560093</v>
      </c>
      <c r="C126" s="158" t="s">
        <v>99</v>
      </c>
      <c r="D126" s="159">
        <v>46056</v>
      </c>
      <c r="E126" s="158" t="s">
        <v>320</v>
      </c>
      <c r="F126" s="158" t="s">
        <v>319</v>
      </c>
      <c r="G126" s="160">
        <v>2709170.97</v>
      </c>
      <c r="H126" s="160">
        <v>72120.789999999994</v>
      </c>
      <c r="I126" s="160">
        <v>152265.64000000001</v>
      </c>
      <c r="J126" s="160">
        <v>2484784.54</v>
      </c>
      <c r="K126" s="161"/>
      <c r="L126" s="162"/>
      <c r="M126" s="162"/>
      <c r="N126" s="162"/>
      <c r="O126" s="162"/>
      <c r="P126" s="162"/>
      <c r="Q126" s="162"/>
    </row>
    <row r="127" spans="1:17" ht="13.8" x14ac:dyDescent="0.3">
      <c r="A127" s="157" t="s">
        <v>97</v>
      </c>
      <c r="B127" s="158">
        <v>30659560093</v>
      </c>
      <c r="C127" s="158" t="s">
        <v>100</v>
      </c>
      <c r="D127" s="159">
        <v>46058</v>
      </c>
      <c r="E127" s="158" t="s">
        <v>320</v>
      </c>
      <c r="F127" s="158" t="s">
        <v>319</v>
      </c>
      <c r="G127" s="160">
        <v>2140308.0299999998</v>
      </c>
      <c r="H127" s="160">
        <v>1210854.75</v>
      </c>
      <c r="I127" s="160">
        <v>0</v>
      </c>
      <c r="J127" s="160">
        <v>929453.2799999998</v>
      </c>
      <c r="K127" s="161"/>
      <c r="L127" s="162"/>
      <c r="M127" s="162"/>
      <c r="N127" s="162"/>
      <c r="O127" s="162"/>
      <c r="P127" s="162"/>
      <c r="Q127" s="162"/>
    </row>
    <row r="128" spans="1:17" ht="13.8" x14ac:dyDescent="0.3">
      <c r="A128" s="157" t="s">
        <v>97</v>
      </c>
      <c r="B128" s="158">
        <v>30659560093</v>
      </c>
      <c r="C128" s="158" t="s">
        <v>101</v>
      </c>
      <c r="D128" s="159">
        <v>46058</v>
      </c>
      <c r="E128" s="158" t="s">
        <v>318</v>
      </c>
      <c r="F128" s="158" t="s">
        <v>319</v>
      </c>
      <c r="G128" s="160">
        <v>638447.5</v>
      </c>
      <c r="H128" s="160">
        <v>144163</v>
      </c>
      <c r="I128" s="160">
        <v>0</v>
      </c>
      <c r="J128" s="160">
        <v>494284.5</v>
      </c>
      <c r="K128" s="161"/>
      <c r="L128" s="162"/>
      <c r="M128" s="162"/>
      <c r="N128" s="162"/>
      <c r="O128" s="162"/>
      <c r="P128" s="162"/>
      <c r="Q128" s="162"/>
    </row>
    <row r="129" spans="1:17" ht="13.8" x14ac:dyDescent="0.3">
      <c r="A129" s="157" t="s">
        <v>97</v>
      </c>
      <c r="B129" s="158">
        <v>30659560093</v>
      </c>
      <c r="C129" s="158" t="s">
        <v>102</v>
      </c>
      <c r="D129" s="159">
        <v>46058</v>
      </c>
      <c r="E129" s="158" t="s">
        <v>318</v>
      </c>
      <c r="F129" s="158" t="s">
        <v>319</v>
      </c>
      <c r="G129" s="160">
        <v>370312</v>
      </c>
      <c r="H129" s="160">
        <v>3951.5</v>
      </c>
      <c r="I129" s="160">
        <v>0</v>
      </c>
      <c r="J129" s="160">
        <v>366360.5</v>
      </c>
      <c r="K129" s="161"/>
      <c r="L129" s="162"/>
      <c r="M129" s="162"/>
      <c r="N129" s="162"/>
      <c r="O129" s="162"/>
      <c r="P129" s="162"/>
      <c r="Q129" s="162"/>
    </row>
    <row r="130" spans="1:17" ht="13.8" x14ac:dyDescent="0.3">
      <c r="A130" s="157" t="s">
        <v>97</v>
      </c>
      <c r="B130" s="158">
        <v>30659560093</v>
      </c>
      <c r="C130" s="158" t="s">
        <v>103</v>
      </c>
      <c r="D130" s="159">
        <v>46058</v>
      </c>
      <c r="E130" s="158" t="s">
        <v>318</v>
      </c>
      <c r="F130" s="158" t="s">
        <v>319</v>
      </c>
      <c r="G130" s="160">
        <v>83546</v>
      </c>
      <c r="H130" s="160">
        <v>6541.5</v>
      </c>
      <c r="I130" s="160">
        <v>0</v>
      </c>
      <c r="J130" s="160">
        <v>77004.5</v>
      </c>
      <c r="K130" s="161"/>
      <c r="L130" s="162"/>
      <c r="M130" s="162"/>
      <c r="N130" s="162"/>
      <c r="O130" s="162"/>
      <c r="P130" s="162"/>
      <c r="Q130" s="162"/>
    </row>
    <row r="131" spans="1:17" ht="13.8" x14ac:dyDescent="0.3">
      <c r="A131" s="157" t="s">
        <v>97</v>
      </c>
      <c r="B131" s="158">
        <v>30659560093</v>
      </c>
      <c r="C131" s="158" t="s">
        <v>104</v>
      </c>
      <c r="D131" s="159">
        <v>46059</v>
      </c>
      <c r="E131" s="158" t="s">
        <v>318</v>
      </c>
      <c r="F131" s="158" t="s">
        <v>319</v>
      </c>
      <c r="G131" s="160">
        <v>1246839</v>
      </c>
      <c r="H131" s="160">
        <v>34578</v>
      </c>
      <c r="I131" s="160">
        <v>0</v>
      </c>
      <c r="J131" s="160">
        <v>1212261</v>
      </c>
      <c r="K131" s="161"/>
      <c r="L131" s="162"/>
      <c r="M131" s="162"/>
      <c r="N131" s="162"/>
      <c r="O131" s="162"/>
      <c r="P131" s="162"/>
      <c r="Q131" s="162"/>
    </row>
    <row r="132" spans="1:17" ht="13.8" x14ac:dyDescent="0.3">
      <c r="A132" s="157" t="s">
        <v>97</v>
      </c>
      <c r="B132" s="158">
        <v>30659560093</v>
      </c>
      <c r="C132" s="158" t="s">
        <v>105</v>
      </c>
      <c r="D132" s="159">
        <v>46059</v>
      </c>
      <c r="E132" s="158" t="s">
        <v>318</v>
      </c>
      <c r="F132" s="158" t="s">
        <v>319</v>
      </c>
      <c r="G132" s="160">
        <v>103488</v>
      </c>
      <c r="H132" s="160">
        <v>0</v>
      </c>
      <c r="I132" s="160">
        <v>0</v>
      </c>
      <c r="J132" s="160">
        <v>103488</v>
      </c>
      <c r="K132" s="161"/>
      <c r="L132" s="162"/>
      <c r="M132" s="162"/>
      <c r="N132" s="162"/>
      <c r="O132" s="162"/>
      <c r="P132" s="162"/>
      <c r="Q132" s="162"/>
    </row>
    <row r="133" spans="1:17" s="170" customFormat="1" ht="14.4" thickBot="1" x14ac:dyDescent="0.35">
      <c r="A133" s="163" t="s">
        <v>97</v>
      </c>
      <c r="B133" s="164">
        <v>30659560093</v>
      </c>
      <c r="C133" s="164" t="s">
        <v>106</v>
      </c>
      <c r="D133" s="165">
        <v>46059</v>
      </c>
      <c r="E133" s="164" t="s">
        <v>318</v>
      </c>
      <c r="F133" s="164" t="s">
        <v>319</v>
      </c>
      <c r="G133" s="166">
        <v>685114</v>
      </c>
      <c r="H133" s="166">
        <v>0</v>
      </c>
      <c r="I133" s="166">
        <v>0</v>
      </c>
      <c r="J133" s="166">
        <v>685114</v>
      </c>
      <c r="K133" s="167">
        <v>10006629.32</v>
      </c>
      <c r="L133" s="168"/>
      <c r="M133" s="169">
        <v>5003314.66</v>
      </c>
      <c r="N133" s="169">
        <v>5003314.66</v>
      </c>
      <c r="O133" s="168"/>
      <c r="P133" s="168"/>
      <c r="Q133" s="168"/>
    </row>
    <row r="134" spans="1:17" s="177" customFormat="1" ht="14.4" thickBot="1" x14ac:dyDescent="0.35">
      <c r="A134" s="171" t="s">
        <v>95</v>
      </c>
      <c r="B134" s="172">
        <v>30716824809</v>
      </c>
      <c r="C134" s="172" t="s">
        <v>96</v>
      </c>
      <c r="D134" s="173">
        <v>46062</v>
      </c>
      <c r="E134" s="172" t="s">
        <v>320</v>
      </c>
      <c r="F134" s="172" t="s">
        <v>319</v>
      </c>
      <c r="G134" s="174">
        <v>4815562.75</v>
      </c>
      <c r="H134" s="174">
        <v>0</v>
      </c>
      <c r="I134" s="174">
        <v>0</v>
      </c>
      <c r="J134" s="174">
        <v>4815562.75</v>
      </c>
      <c r="K134" s="175">
        <v>4815562.75</v>
      </c>
      <c r="L134" s="176"/>
      <c r="M134" s="176"/>
      <c r="N134" s="195">
        <v>2407781.375</v>
      </c>
      <c r="O134" s="195">
        <v>2407781.375</v>
      </c>
      <c r="P134" s="176"/>
      <c r="Q134" s="176"/>
    </row>
    <row r="135" spans="1:17" s="177" customFormat="1" ht="14.4" thickBot="1" x14ac:dyDescent="0.35">
      <c r="A135" s="171" t="s">
        <v>93</v>
      </c>
      <c r="B135" s="172">
        <v>30716361833</v>
      </c>
      <c r="C135" s="172" t="s">
        <v>94</v>
      </c>
      <c r="D135" s="173">
        <v>46062</v>
      </c>
      <c r="E135" s="172" t="s">
        <v>318</v>
      </c>
      <c r="F135" s="158" t="s">
        <v>317</v>
      </c>
      <c r="G135" s="174">
        <v>276660</v>
      </c>
      <c r="H135" s="174">
        <v>2488</v>
      </c>
      <c r="I135" s="174">
        <v>0</v>
      </c>
      <c r="J135" s="174">
        <v>274172</v>
      </c>
      <c r="K135" s="175">
        <v>274172</v>
      </c>
      <c r="L135" s="176"/>
      <c r="M135" s="189">
        <v>274172</v>
      </c>
      <c r="N135" s="176"/>
      <c r="O135" s="176"/>
      <c r="P135" s="176"/>
      <c r="Q135" s="176"/>
    </row>
    <row r="136" spans="1:17" s="177" customFormat="1" ht="14.4" thickBot="1" x14ac:dyDescent="0.35">
      <c r="A136" s="171" t="s">
        <v>91</v>
      </c>
      <c r="B136" s="172">
        <v>30677558888</v>
      </c>
      <c r="C136" s="172" t="s">
        <v>92</v>
      </c>
      <c r="D136" s="173">
        <v>46052</v>
      </c>
      <c r="E136" s="172" t="s">
        <v>318</v>
      </c>
      <c r="F136" s="172" t="s">
        <v>319</v>
      </c>
      <c r="G136" s="174">
        <v>100200</v>
      </c>
      <c r="H136" s="174">
        <v>0</v>
      </c>
      <c r="I136" s="174">
        <v>0</v>
      </c>
      <c r="J136" s="174">
        <v>100200</v>
      </c>
      <c r="K136" s="175">
        <v>100200</v>
      </c>
      <c r="L136" s="176"/>
      <c r="M136" s="189">
        <v>100200</v>
      </c>
      <c r="N136" s="176"/>
      <c r="O136" s="176"/>
      <c r="P136" s="176"/>
      <c r="Q136" s="176"/>
    </row>
    <row r="137" spans="1:17" s="156" customFormat="1" ht="13.8" x14ac:dyDescent="0.3">
      <c r="A137" s="150" t="s">
        <v>88</v>
      </c>
      <c r="B137" s="151">
        <v>30580553040</v>
      </c>
      <c r="C137" s="151" t="s">
        <v>89</v>
      </c>
      <c r="D137" s="152">
        <v>46057</v>
      </c>
      <c r="E137" s="151" t="s">
        <v>320</v>
      </c>
      <c r="F137" s="151" t="s">
        <v>319</v>
      </c>
      <c r="G137" s="153">
        <v>1595469.06</v>
      </c>
      <c r="H137" s="153">
        <v>162161.81</v>
      </c>
      <c r="I137" s="153">
        <v>106204.02</v>
      </c>
      <c r="J137" s="153">
        <v>1327103.23</v>
      </c>
      <c r="K137" s="154"/>
      <c r="L137" s="155"/>
      <c r="M137" s="155"/>
      <c r="N137" s="155"/>
      <c r="O137" s="155"/>
      <c r="P137" s="155"/>
      <c r="Q137" s="155"/>
    </row>
    <row r="138" spans="1:17" s="170" customFormat="1" ht="14.4" thickBot="1" x14ac:dyDescent="0.35">
      <c r="A138" s="163" t="s">
        <v>88</v>
      </c>
      <c r="B138" s="164">
        <v>30580553040</v>
      </c>
      <c r="C138" s="164" t="s">
        <v>90</v>
      </c>
      <c r="D138" s="165">
        <v>46057</v>
      </c>
      <c r="E138" s="164" t="s">
        <v>318</v>
      </c>
      <c r="F138" s="164" t="s">
        <v>319</v>
      </c>
      <c r="G138" s="166">
        <v>237378.23</v>
      </c>
      <c r="H138" s="166">
        <v>88016.8</v>
      </c>
      <c r="I138" s="166">
        <v>0</v>
      </c>
      <c r="J138" s="166">
        <v>149361.43</v>
      </c>
      <c r="K138" s="167">
        <v>1476464.66</v>
      </c>
      <c r="L138" s="168"/>
      <c r="M138" s="178">
        <v>1476464.66</v>
      </c>
      <c r="N138" s="168"/>
      <c r="O138" s="168"/>
      <c r="P138" s="168"/>
      <c r="Q138" s="168"/>
    </row>
    <row r="139" spans="1:17" s="156" customFormat="1" ht="13.8" x14ac:dyDescent="0.3">
      <c r="A139" s="150" t="s">
        <v>85</v>
      </c>
      <c r="B139" s="151">
        <v>30694300487</v>
      </c>
      <c r="C139" s="151" t="s">
        <v>86</v>
      </c>
      <c r="D139" s="152">
        <v>46053</v>
      </c>
      <c r="E139" s="151" t="s">
        <v>318</v>
      </c>
      <c r="F139" s="158" t="s">
        <v>317</v>
      </c>
      <c r="G139" s="153">
        <v>99434.29</v>
      </c>
      <c r="H139" s="153">
        <v>9448.51</v>
      </c>
      <c r="I139" s="153">
        <v>0</v>
      </c>
      <c r="J139" s="153">
        <v>89985.78</v>
      </c>
      <c r="K139" s="154"/>
      <c r="L139" s="155"/>
      <c r="M139" s="155"/>
      <c r="N139" s="155"/>
      <c r="O139" s="155"/>
      <c r="P139" s="155"/>
      <c r="Q139" s="155"/>
    </row>
    <row r="140" spans="1:17" s="170" customFormat="1" ht="14.4" thickBot="1" x14ac:dyDescent="0.35">
      <c r="A140" s="163" t="s">
        <v>85</v>
      </c>
      <c r="B140" s="164">
        <v>30694300487</v>
      </c>
      <c r="C140" s="164" t="s">
        <v>87</v>
      </c>
      <c r="D140" s="165">
        <v>46053</v>
      </c>
      <c r="E140" s="164" t="s">
        <v>318</v>
      </c>
      <c r="F140" s="164" t="s">
        <v>319</v>
      </c>
      <c r="G140" s="166">
        <v>678337.28</v>
      </c>
      <c r="H140" s="166">
        <v>142623</v>
      </c>
      <c r="I140" s="166">
        <v>0</v>
      </c>
      <c r="J140" s="166">
        <v>535714.28</v>
      </c>
      <c r="K140" s="167">
        <v>625700.06000000006</v>
      </c>
      <c r="L140" s="168"/>
      <c r="M140" s="178">
        <v>625700.06000000006</v>
      </c>
      <c r="N140" s="168"/>
      <c r="O140" s="168"/>
      <c r="P140" s="168"/>
      <c r="Q140" s="168"/>
    </row>
    <row r="141" spans="1:17" s="177" customFormat="1" ht="14.4" thickBot="1" x14ac:dyDescent="0.35">
      <c r="A141" s="171" t="s">
        <v>283</v>
      </c>
      <c r="B141" s="172">
        <v>30708497629</v>
      </c>
      <c r="C141" s="172" t="s">
        <v>284</v>
      </c>
      <c r="D141" s="173">
        <v>46055</v>
      </c>
      <c r="E141" s="172" t="s">
        <v>318</v>
      </c>
      <c r="F141" s="158" t="s">
        <v>317</v>
      </c>
      <c r="G141" s="174">
        <v>15102.07</v>
      </c>
      <c r="H141" s="174">
        <v>0</v>
      </c>
      <c r="I141" s="174">
        <v>0</v>
      </c>
      <c r="J141" s="174">
        <v>15102.07</v>
      </c>
      <c r="K141" s="175">
        <v>15102.07</v>
      </c>
      <c r="L141" s="189">
        <v>15102.07</v>
      </c>
      <c r="M141" s="176"/>
      <c r="N141" s="176"/>
      <c r="O141" s="176"/>
      <c r="P141" s="176"/>
      <c r="Q141" s="176"/>
    </row>
    <row r="142" spans="1:17" s="156" customFormat="1" ht="13.8" x14ac:dyDescent="0.3">
      <c r="A142" s="150" t="s">
        <v>82</v>
      </c>
      <c r="B142" s="151">
        <v>30642081183</v>
      </c>
      <c r="C142" s="151" t="s">
        <v>83</v>
      </c>
      <c r="D142" s="152">
        <v>46057</v>
      </c>
      <c r="E142" s="151" t="s">
        <v>318</v>
      </c>
      <c r="F142" s="151" t="s">
        <v>319</v>
      </c>
      <c r="G142" s="153">
        <v>273844.08</v>
      </c>
      <c r="H142" s="153">
        <v>0</v>
      </c>
      <c r="I142" s="153">
        <v>0</v>
      </c>
      <c r="J142" s="153">
        <v>273844.08</v>
      </c>
      <c r="K142" s="154"/>
      <c r="L142" s="155"/>
      <c r="M142" s="155"/>
      <c r="N142" s="155"/>
      <c r="O142" s="155"/>
      <c r="P142" s="155"/>
      <c r="Q142" s="155"/>
    </row>
    <row r="143" spans="1:17" s="170" customFormat="1" ht="14.4" thickBot="1" x14ac:dyDescent="0.35">
      <c r="A143" s="163" t="s">
        <v>82</v>
      </c>
      <c r="B143" s="164">
        <v>30642081183</v>
      </c>
      <c r="C143" s="164" t="s">
        <v>84</v>
      </c>
      <c r="D143" s="165">
        <v>46057</v>
      </c>
      <c r="E143" s="164" t="s">
        <v>318</v>
      </c>
      <c r="F143" s="158" t="s">
        <v>317</v>
      </c>
      <c r="G143" s="166">
        <v>213922.04</v>
      </c>
      <c r="H143" s="166">
        <v>0</v>
      </c>
      <c r="I143" s="166">
        <v>0</v>
      </c>
      <c r="J143" s="166">
        <v>213922.04</v>
      </c>
      <c r="K143" s="167">
        <v>487766.12</v>
      </c>
      <c r="L143" s="168"/>
      <c r="M143" s="178">
        <v>487766.12</v>
      </c>
      <c r="N143" s="168"/>
      <c r="O143" s="168"/>
      <c r="P143" s="168"/>
      <c r="Q143" s="168"/>
    </row>
    <row r="144" spans="1:17" s="156" customFormat="1" ht="13.8" x14ac:dyDescent="0.3">
      <c r="A144" s="150" t="s">
        <v>79</v>
      </c>
      <c r="B144" s="151">
        <v>30708890223</v>
      </c>
      <c r="C144" s="151" t="s">
        <v>80</v>
      </c>
      <c r="D144" s="152">
        <v>46052</v>
      </c>
      <c r="E144" s="151" t="s">
        <v>323</v>
      </c>
      <c r="F144" s="151" t="s">
        <v>316</v>
      </c>
      <c r="G144" s="153">
        <v>36296</v>
      </c>
      <c r="H144" s="153">
        <v>0</v>
      </c>
      <c r="I144" s="153">
        <v>0</v>
      </c>
      <c r="J144" s="153">
        <v>36296</v>
      </c>
      <c r="K144" s="154"/>
      <c r="L144" s="155"/>
      <c r="M144" s="155"/>
      <c r="N144" s="155"/>
      <c r="O144" s="155"/>
      <c r="P144" s="155"/>
      <c r="Q144" s="155"/>
    </row>
    <row r="145" spans="1:17" s="170" customFormat="1" ht="14.4" thickBot="1" x14ac:dyDescent="0.35">
      <c r="A145" s="163" t="s">
        <v>79</v>
      </c>
      <c r="B145" s="164">
        <v>30708890223</v>
      </c>
      <c r="C145" s="164" t="s">
        <v>81</v>
      </c>
      <c r="D145" s="165">
        <v>46058</v>
      </c>
      <c r="E145" s="164" t="s">
        <v>318</v>
      </c>
      <c r="F145" s="164" t="s">
        <v>316</v>
      </c>
      <c r="G145" s="166">
        <v>148127</v>
      </c>
      <c r="H145" s="166">
        <v>0</v>
      </c>
      <c r="I145" s="166">
        <v>0</v>
      </c>
      <c r="J145" s="166">
        <v>148127</v>
      </c>
      <c r="K145" s="167">
        <v>184423</v>
      </c>
      <c r="L145" s="168"/>
      <c r="M145" s="178">
        <v>184423</v>
      </c>
      <c r="N145" s="168"/>
      <c r="O145" s="168"/>
      <c r="P145" s="168"/>
      <c r="Q145" s="168"/>
    </row>
    <row r="146" spans="1:17" s="156" customFormat="1" ht="13.8" x14ac:dyDescent="0.3">
      <c r="A146" s="150" t="s">
        <v>74</v>
      </c>
      <c r="B146" s="151">
        <v>30709956880</v>
      </c>
      <c r="C146" s="151" t="s">
        <v>75</v>
      </c>
      <c r="D146" s="152">
        <v>46035</v>
      </c>
      <c r="E146" s="151" t="s">
        <v>320</v>
      </c>
      <c r="F146" s="151" t="s">
        <v>319</v>
      </c>
      <c r="G146" s="153">
        <v>2383069.17</v>
      </c>
      <c r="H146" s="153">
        <v>198598.05</v>
      </c>
      <c r="I146" s="153">
        <v>80809.69</v>
      </c>
      <c r="J146" s="153">
        <v>2103661.4300000002</v>
      </c>
      <c r="K146" s="154"/>
      <c r="L146" s="155"/>
      <c r="M146" s="155"/>
      <c r="N146" s="155"/>
      <c r="O146" s="155"/>
      <c r="P146" s="155"/>
      <c r="Q146" s="155"/>
    </row>
    <row r="147" spans="1:17" ht="13.8" x14ac:dyDescent="0.3">
      <c r="A147" s="157" t="s">
        <v>74</v>
      </c>
      <c r="B147" s="158">
        <v>30709956880</v>
      </c>
      <c r="C147" s="158" t="s">
        <v>76</v>
      </c>
      <c r="D147" s="159">
        <v>46035</v>
      </c>
      <c r="E147" s="158" t="s">
        <v>318</v>
      </c>
      <c r="F147" s="158" t="s">
        <v>319</v>
      </c>
      <c r="G147" s="160">
        <v>2305354.7400000002</v>
      </c>
      <c r="H147" s="160">
        <v>191902.15</v>
      </c>
      <c r="I147" s="160">
        <v>0</v>
      </c>
      <c r="J147" s="160">
        <v>2113452.5900000003</v>
      </c>
      <c r="K147" s="161"/>
      <c r="L147" s="162"/>
      <c r="M147" s="162"/>
      <c r="N147" s="162"/>
      <c r="O147" s="162"/>
      <c r="P147" s="162"/>
      <c r="Q147" s="162"/>
    </row>
    <row r="148" spans="1:17" ht="13.8" x14ac:dyDescent="0.3">
      <c r="A148" s="157" t="s">
        <v>74</v>
      </c>
      <c r="B148" s="158">
        <v>30709956880</v>
      </c>
      <c r="C148" s="158" t="s">
        <v>77</v>
      </c>
      <c r="D148" s="159">
        <v>46035</v>
      </c>
      <c r="E148" s="158" t="s">
        <v>318</v>
      </c>
      <c r="F148" s="158" t="s">
        <v>319</v>
      </c>
      <c r="G148" s="160">
        <v>417657.98</v>
      </c>
      <c r="H148" s="160">
        <v>5665.98</v>
      </c>
      <c r="I148" s="160">
        <v>0</v>
      </c>
      <c r="J148" s="160">
        <v>411992</v>
      </c>
      <c r="K148" s="161"/>
      <c r="L148" s="162"/>
      <c r="M148" s="162"/>
      <c r="N148" s="162"/>
      <c r="O148" s="162"/>
      <c r="P148" s="162"/>
      <c r="Q148" s="162"/>
    </row>
    <row r="149" spans="1:17" s="170" customFormat="1" ht="14.4" thickBot="1" x14ac:dyDescent="0.35">
      <c r="A149" s="163" t="s">
        <v>74</v>
      </c>
      <c r="B149" s="164">
        <v>30709956880</v>
      </c>
      <c r="C149" s="164" t="s">
        <v>78</v>
      </c>
      <c r="D149" s="165">
        <v>46035</v>
      </c>
      <c r="E149" s="164" t="s">
        <v>320</v>
      </c>
      <c r="F149" s="158" t="s">
        <v>317</v>
      </c>
      <c r="G149" s="166">
        <v>122902.57</v>
      </c>
      <c r="H149" s="166">
        <v>2200</v>
      </c>
      <c r="I149" s="166">
        <v>0</v>
      </c>
      <c r="J149" s="166">
        <v>120702.57</v>
      </c>
      <c r="K149" s="167">
        <v>4749808.5900000008</v>
      </c>
      <c r="L149" s="168"/>
      <c r="M149" s="178">
        <v>4749808.5900000008</v>
      </c>
      <c r="N149" s="168"/>
      <c r="O149" s="168"/>
      <c r="P149" s="168"/>
      <c r="Q149" s="168"/>
    </row>
    <row r="150" spans="1:17" s="177" customFormat="1" ht="14.4" thickBot="1" x14ac:dyDescent="0.35">
      <c r="A150" s="171" t="s">
        <v>72</v>
      </c>
      <c r="B150" s="172">
        <v>30669419658</v>
      </c>
      <c r="C150" s="172" t="s">
        <v>73</v>
      </c>
      <c r="D150" s="173">
        <v>46056</v>
      </c>
      <c r="E150" s="172" t="s">
        <v>318</v>
      </c>
      <c r="F150" s="158" t="s">
        <v>317</v>
      </c>
      <c r="G150" s="174">
        <v>66694.600000000006</v>
      </c>
      <c r="H150" s="174">
        <v>22341.59</v>
      </c>
      <c r="I150" s="174">
        <v>0</v>
      </c>
      <c r="J150" s="174">
        <v>44353.010000000009</v>
      </c>
      <c r="K150" s="175">
        <v>44353.010000000009</v>
      </c>
      <c r="L150" s="189">
        <v>44353.010000000009</v>
      </c>
      <c r="M150" s="176"/>
      <c r="N150" s="176"/>
      <c r="O150" s="176"/>
      <c r="P150" s="176"/>
      <c r="Q150" s="176"/>
    </row>
    <row r="151" spans="1:17" s="156" customFormat="1" ht="13.8" x14ac:dyDescent="0.3">
      <c r="A151" s="150" t="s">
        <v>59</v>
      </c>
      <c r="B151" s="151">
        <v>30689767946</v>
      </c>
      <c r="C151" s="151" t="s">
        <v>60</v>
      </c>
      <c r="D151" s="152">
        <v>46053</v>
      </c>
      <c r="E151" s="151" t="s">
        <v>320</v>
      </c>
      <c r="F151" s="151" t="s">
        <v>319</v>
      </c>
      <c r="G151" s="153">
        <v>985431.88</v>
      </c>
      <c r="H151" s="153">
        <v>199697.03</v>
      </c>
      <c r="I151" s="153">
        <v>0</v>
      </c>
      <c r="J151" s="153">
        <v>785734.85</v>
      </c>
      <c r="K151" s="154"/>
      <c r="L151" s="155"/>
      <c r="M151" s="155"/>
      <c r="N151" s="155"/>
      <c r="O151" s="155"/>
      <c r="P151" s="155"/>
      <c r="Q151" s="155"/>
    </row>
    <row r="152" spans="1:17" ht="13.8" x14ac:dyDescent="0.3">
      <c r="A152" s="157" t="s">
        <v>59</v>
      </c>
      <c r="B152" s="158">
        <v>30689767946</v>
      </c>
      <c r="C152" s="158" t="s">
        <v>61</v>
      </c>
      <c r="D152" s="159">
        <v>46053</v>
      </c>
      <c r="E152" s="158" t="s">
        <v>320</v>
      </c>
      <c r="F152" s="158" t="s">
        <v>319</v>
      </c>
      <c r="G152" s="160">
        <v>3108308.76</v>
      </c>
      <c r="H152" s="160">
        <v>66626.240000000005</v>
      </c>
      <c r="I152" s="160">
        <v>405197.71</v>
      </c>
      <c r="J152" s="160">
        <v>2636484.8099999996</v>
      </c>
      <c r="K152" s="161"/>
      <c r="L152" s="162"/>
      <c r="M152" s="162"/>
      <c r="N152" s="162"/>
      <c r="O152" s="162"/>
      <c r="P152" s="162"/>
      <c r="Q152" s="162"/>
    </row>
    <row r="153" spans="1:17" ht="13.8" x14ac:dyDescent="0.3">
      <c r="A153" s="157" t="s">
        <v>59</v>
      </c>
      <c r="B153" s="158">
        <v>30689767946</v>
      </c>
      <c r="C153" s="158" t="s">
        <v>62</v>
      </c>
      <c r="D153" s="159">
        <v>46053</v>
      </c>
      <c r="E153" s="158" t="s">
        <v>320</v>
      </c>
      <c r="F153" s="158" t="s">
        <v>319</v>
      </c>
      <c r="G153" s="160">
        <v>180647.37</v>
      </c>
      <c r="H153" s="160">
        <v>0</v>
      </c>
      <c r="I153" s="160">
        <v>180647.37</v>
      </c>
      <c r="J153" s="160">
        <v>0</v>
      </c>
      <c r="K153" s="161"/>
      <c r="L153" s="162"/>
      <c r="M153" s="162"/>
      <c r="N153" s="162"/>
      <c r="O153" s="162"/>
      <c r="P153" s="162"/>
      <c r="Q153" s="162"/>
    </row>
    <row r="154" spans="1:17" ht="13.8" x14ac:dyDescent="0.3">
      <c r="A154" s="157" t="s">
        <v>59</v>
      </c>
      <c r="B154" s="158">
        <v>30689767946</v>
      </c>
      <c r="C154" s="158" t="s">
        <v>63</v>
      </c>
      <c r="D154" s="159">
        <v>46053</v>
      </c>
      <c r="E154" s="158" t="s">
        <v>320</v>
      </c>
      <c r="F154" s="158" t="s">
        <v>317</v>
      </c>
      <c r="G154" s="160">
        <v>2000000</v>
      </c>
      <c r="H154" s="160">
        <v>0</v>
      </c>
      <c r="I154" s="160">
        <v>0</v>
      </c>
      <c r="J154" s="160">
        <v>2000000</v>
      </c>
      <c r="K154" s="161"/>
      <c r="L154" s="162"/>
      <c r="M154" s="162"/>
      <c r="N154" s="162"/>
      <c r="O154" s="162"/>
      <c r="P154" s="162"/>
      <c r="Q154" s="162"/>
    </row>
    <row r="155" spans="1:17" ht="13.8" x14ac:dyDescent="0.3">
      <c r="A155" s="157" t="s">
        <v>59</v>
      </c>
      <c r="B155" s="158">
        <v>30689767946</v>
      </c>
      <c r="C155" s="158" t="s">
        <v>64</v>
      </c>
      <c r="D155" s="159">
        <v>46053</v>
      </c>
      <c r="E155" s="158" t="s">
        <v>320</v>
      </c>
      <c r="F155" s="158" t="s">
        <v>317</v>
      </c>
      <c r="G155" s="160">
        <v>1291765.96</v>
      </c>
      <c r="H155" s="160">
        <v>0</v>
      </c>
      <c r="I155" s="160">
        <v>0</v>
      </c>
      <c r="J155" s="160">
        <v>1291765.96</v>
      </c>
      <c r="K155" s="161"/>
      <c r="L155" s="162"/>
      <c r="M155" s="162"/>
      <c r="N155" s="162"/>
      <c r="O155" s="162"/>
      <c r="P155" s="162"/>
      <c r="Q155" s="162"/>
    </row>
    <row r="156" spans="1:17" ht="13.8" x14ac:dyDescent="0.3">
      <c r="A156" s="157" t="s">
        <v>59</v>
      </c>
      <c r="B156" s="158">
        <v>30689767946</v>
      </c>
      <c r="C156" s="158" t="s">
        <v>65</v>
      </c>
      <c r="D156" s="159">
        <v>46053</v>
      </c>
      <c r="E156" s="158" t="s">
        <v>318</v>
      </c>
      <c r="F156" s="158" t="s">
        <v>317</v>
      </c>
      <c r="G156" s="160">
        <v>1870612.93</v>
      </c>
      <c r="H156" s="160">
        <v>70326.960000000006</v>
      </c>
      <c r="I156" s="160">
        <v>0</v>
      </c>
      <c r="J156" s="160">
        <v>1800285.97</v>
      </c>
      <c r="K156" s="161"/>
      <c r="L156" s="162"/>
      <c r="M156" s="162"/>
      <c r="N156" s="162"/>
      <c r="O156" s="162"/>
      <c r="P156" s="162"/>
      <c r="Q156" s="162"/>
    </row>
    <row r="157" spans="1:17" ht="13.8" x14ac:dyDescent="0.3">
      <c r="A157" s="157" t="s">
        <v>59</v>
      </c>
      <c r="B157" s="158">
        <v>30689767946</v>
      </c>
      <c r="C157" s="158" t="s">
        <v>67</v>
      </c>
      <c r="D157" s="159">
        <v>46053</v>
      </c>
      <c r="E157" s="158" t="s">
        <v>318</v>
      </c>
      <c r="F157" s="158" t="s">
        <v>319</v>
      </c>
      <c r="G157" s="160">
        <v>2058208.03</v>
      </c>
      <c r="H157" s="160">
        <v>165365.88</v>
      </c>
      <c r="I157" s="160">
        <v>0</v>
      </c>
      <c r="J157" s="160">
        <v>1892842.15</v>
      </c>
      <c r="K157" s="161"/>
      <c r="L157" s="162"/>
      <c r="M157" s="162"/>
      <c r="N157" s="162"/>
      <c r="O157" s="162"/>
      <c r="P157" s="162"/>
      <c r="Q157" s="162"/>
    </row>
    <row r="158" spans="1:17" ht="13.8" x14ac:dyDescent="0.3">
      <c r="A158" s="157" t="s">
        <v>59</v>
      </c>
      <c r="B158" s="158">
        <v>30689767946</v>
      </c>
      <c r="C158" s="158" t="s">
        <v>69</v>
      </c>
      <c r="D158" s="159">
        <v>46053</v>
      </c>
      <c r="E158" s="158" t="s">
        <v>320</v>
      </c>
      <c r="F158" s="158" t="s">
        <v>324</v>
      </c>
      <c r="G158" s="160">
        <v>511841.11</v>
      </c>
      <c r="H158" s="160">
        <v>0</v>
      </c>
      <c r="I158" s="160">
        <v>0</v>
      </c>
      <c r="J158" s="160">
        <v>511841.11</v>
      </c>
      <c r="K158" s="161"/>
      <c r="L158" s="162"/>
      <c r="M158" s="162"/>
      <c r="N158" s="162"/>
      <c r="O158" s="162"/>
      <c r="P158" s="162"/>
      <c r="Q158" s="162"/>
    </row>
    <row r="159" spans="1:17" s="170" customFormat="1" ht="14.4" thickBot="1" x14ac:dyDescent="0.35">
      <c r="A159" s="163" t="s">
        <v>59</v>
      </c>
      <c r="B159" s="164">
        <v>30689767946</v>
      </c>
      <c r="C159" s="164" t="s">
        <v>70</v>
      </c>
      <c r="D159" s="165">
        <v>46053</v>
      </c>
      <c r="E159" s="164" t="s">
        <v>318</v>
      </c>
      <c r="F159" s="164" t="s">
        <v>324</v>
      </c>
      <c r="G159" s="166">
        <v>378777.95</v>
      </c>
      <c r="H159" s="166">
        <v>36181.69</v>
      </c>
      <c r="I159" s="166">
        <v>0</v>
      </c>
      <c r="J159" s="166">
        <v>342596.26</v>
      </c>
      <c r="K159" s="167">
        <v>11261551.109999999</v>
      </c>
      <c r="L159" s="168"/>
      <c r="M159" s="168"/>
      <c r="N159" s="168"/>
      <c r="O159" s="169">
        <v>5630775.5549999997</v>
      </c>
      <c r="P159" s="169">
        <v>5630775.5549999997</v>
      </c>
      <c r="Q159" s="168"/>
    </row>
    <row r="160" spans="1:17" s="177" customFormat="1" ht="14.4" thickBot="1" x14ac:dyDescent="0.35">
      <c r="A160" s="171" t="s">
        <v>57</v>
      </c>
      <c r="B160" s="172">
        <v>30562336237</v>
      </c>
      <c r="C160" s="172" t="s">
        <v>58</v>
      </c>
      <c r="D160" s="173">
        <v>46055</v>
      </c>
      <c r="E160" s="172" t="s">
        <v>318</v>
      </c>
      <c r="F160" s="172" t="s">
        <v>319</v>
      </c>
      <c r="G160" s="174">
        <v>18540</v>
      </c>
      <c r="H160" s="174">
        <v>0</v>
      </c>
      <c r="I160" s="174">
        <v>0</v>
      </c>
      <c r="J160" s="174">
        <v>18540</v>
      </c>
      <c r="K160" s="175">
        <v>18540</v>
      </c>
      <c r="L160" s="189">
        <v>18540</v>
      </c>
      <c r="M160" s="176"/>
      <c r="N160" s="176"/>
      <c r="O160" s="176"/>
      <c r="P160" s="176"/>
      <c r="Q160" s="176"/>
    </row>
    <row r="161" spans="1:19" s="156" customFormat="1" ht="13.8" x14ac:dyDescent="0.3">
      <c r="A161" s="150" t="s">
        <v>54</v>
      </c>
      <c r="B161" s="151">
        <v>33680935349</v>
      </c>
      <c r="C161" s="151" t="s">
        <v>55</v>
      </c>
      <c r="D161" s="152">
        <v>46056</v>
      </c>
      <c r="E161" s="151" t="s">
        <v>320</v>
      </c>
      <c r="F161" s="151" t="s">
        <v>319</v>
      </c>
      <c r="G161" s="153">
        <v>750000</v>
      </c>
      <c r="H161" s="153">
        <v>0</v>
      </c>
      <c r="I161" s="153">
        <v>383813</v>
      </c>
      <c r="J161" s="153">
        <v>366187</v>
      </c>
      <c r="K161" s="154"/>
      <c r="L161" s="155"/>
      <c r="M161" s="155"/>
      <c r="N161" s="155"/>
      <c r="O161" s="155"/>
      <c r="P161" s="155"/>
      <c r="Q161" s="155"/>
    </row>
    <row r="162" spans="1:19" s="170" customFormat="1" ht="14.4" thickBot="1" x14ac:dyDescent="0.35">
      <c r="A162" s="163" t="s">
        <v>54</v>
      </c>
      <c r="B162" s="164">
        <v>33680935349</v>
      </c>
      <c r="C162" s="164" t="s">
        <v>56</v>
      </c>
      <c r="D162" s="165">
        <v>46056</v>
      </c>
      <c r="E162" s="164" t="s">
        <v>318</v>
      </c>
      <c r="F162" s="164" t="s">
        <v>316</v>
      </c>
      <c r="G162" s="166">
        <v>17500</v>
      </c>
      <c r="H162" s="166">
        <v>0</v>
      </c>
      <c r="I162" s="166">
        <v>0</v>
      </c>
      <c r="J162" s="166">
        <v>17500</v>
      </c>
      <c r="K162" s="167">
        <v>383687</v>
      </c>
      <c r="L162" s="168"/>
      <c r="M162" s="178">
        <v>383687</v>
      </c>
      <c r="N162" s="168"/>
      <c r="O162" s="168"/>
      <c r="P162" s="168"/>
      <c r="Q162" s="168"/>
    </row>
    <row r="163" spans="1:19" s="156" customFormat="1" ht="13.8" x14ac:dyDescent="0.3">
      <c r="A163" s="150" t="s">
        <v>51</v>
      </c>
      <c r="B163" s="151">
        <v>30715227696</v>
      </c>
      <c r="C163" s="151" t="s">
        <v>52</v>
      </c>
      <c r="D163" s="152">
        <v>46059</v>
      </c>
      <c r="E163" s="151" t="s">
        <v>318</v>
      </c>
      <c r="F163" s="151" t="s">
        <v>319</v>
      </c>
      <c r="G163" s="153">
        <v>205450</v>
      </c>
      <c r="H163" s="153">
        <v>0</v>
      </c>
      <c r="I163" s="153">
        <v>0</v>
      </c>
      <c r="J163" s="153">
        <v>205450</v>
      </c>
      <c r="K163" s="154"/>
      <c r="L163" s="155"/>
      <c r="M163" s="155"/>
      <c r="N163" s="155"/>
      <c r="O163" s="155"/>
      <c r="P163" s="155"/>
      <c r="Q163" s="155"/>
    </row>
    <row r="164" spans="1:19" s="170" customFormat="1" ht="14.4" thickBot="1" x14ac:dyDescent="0.35">
      <c r="A164" s="163" t="s">
        <v>51</v>
      </c>
      <c r="B164" s="164">
        <v>30715227696</v>
      </c>
      <c r="C164" s="164" t="s">
        <v>53</v>
      </c>
      <c r="D164" s="165">
        <v>46059</v>
      </c>
      <c r="E164" s="164" t="s">
        <v>318</v>
      </c>
      <c r="F164" s="158" t="s">
        <v>317</v>
      </c>
      <c r="G164" s="166">
        <v>92000</v>
      </c>
      <c r="H164" s="166">
        <v>0</v>
      </c>
      <c r="I164" s="166">
        <v>0</v>
      </c>
      <c r="J164" s="166">
        <v>92000</v>
      </c>
      <c r="K164" s="167">
        <v>297450</v>
      </c>
      <c r="L164" s="168"/>
      <c r="M164" s="178">
        <v>297450</v>
      </c>
      <c r="N164" s="168"/>
      <c r="O164" s="168"/>
      <c r="P164" s="168"/>
      <c r="Q164" s="168"/>
    </row>
    <row r="165" spans="1:19" s="156" customFormat="1" ht="13.8" x14ac:dyDescent="0.3">
      <c r="A165" s="150" t="s">
        <v>44</v>
      </c>
      <c r="B165" s="151">
        <v>30645189988</v>
      </c>
      <c r="C165" s="151" t="s">
        <v>45</v>
      </c>
      <c r="D165" s="152">
        <v>46056</v>
      </c>
      <c r="E165" s="151" t="s">
        <v>318</v>
      </c>
      <c r="F165" s="151" t="s">
        <v>319</v>
      </c>
      <c r="G165" s="153">
        <v>959759.59</v>
      </c>
      <c r="H165" s="153">
        <v>22885.919999999998</v>
      </c>
      <c r="I165" s="153">
        <v>0</v>
      </c>
      <c r="J165" s="153">
        <v>936873.66999999993</v>
      </c>
      <c r="K165" s="154"/>
      <c r="L165" s="155"/>
      <c r="M165" s="155"/>
      <c r="N165" s="155"/>
      <c r="O165" s="155"/>
      <c r="P165" s="155"/>
      <c r="Q165" s="155"/>
    </row>
    <row r="166" spans="1:19" ht="13.8" x14ac:dyDescent="0.3">
      <c r="A166" s="157" t="s">
        <v>44</v>
      </c>
      <c r="B166" s="158">
        <v>30645189988</v>
      </c>
      <c r="C166" s="158" t="s">
        <v>46</v>
      </c>
      <c r="D166" s="159">
        <v>46056</v>
      </c>
      <c r="E166" s="158" t="s">
        <v>318</v>
      </c>
      <c r="F166" s="158" t="s">
        <v>317</v>
      </c>
      <c r="G166" s="160">
        <v>52646.85</v>
      </c>
      <c r="H166" s="160">
        <v>0</v>
      </c>
      <c r="I166" s="160">
        <v>0</v>
      </c>
      <c r="J166" s="160">
        <v>52646.85</v>
      </c>
      <c r="K166" s="161"/>
      <c r="L166" s="162"/>
      <c r="M166" s="162"/>
      <c r="N166" s="162"/>
      <c r="O166" s="162"/>
      <c r="P166" s="162"/>
      <c r="Q166" s="162"/>
    </row>
    <row r="167" spans="1:19" ht="13.8" x14ac:dyDescent="0.3">
      <c r="A167" s="157" t="s">
        <v>44</v>
      </c>
      <c r="B167" s="158">
        <v>30645189988</v>
      </c>
      <c r="C167" s="158" t="s">
        <v>47</v>
      </c>
      <c r="D167" s="159">
        <v>46056</v>
      </c>
      <c r="E167" s="158" t="s">
        <v>318</v>
      </c>
      <c r="F167" s="158" t="s">
        <v>315</v>
      </c>
      <c r="G167" s="160">
        <v>9522.9599999999991</v>
      </c>
      <c r="H167" s="160">
        <v>0</v>
      </c>
      <c r="I167" s="160">
        <v>0</v>
      </c>
      <c r="J167" s="160">
        <v>9522.9599999999991</v>
      </c>
      <c r="K167" s="161"/>
      <c r="L167" s="162"/>
      <c r="M167" s="162"/>
      <c r="N167" s="162"/>
      <c r="O167" s="162"/>
      <c r="P167" s="162"/>
      <c r="Q167" s="162"/>
    </row>
    <row r="168" spans="1:19" ht="13.8" x14ac:dyDescent="0.3">
      <c r="A168" s="157" t="s">
        <v>44</v>
      </c>
      <c r="B168" s="158">
        <v>30645189988</v>
      </c>
      <c r="C168" s="158" t="s">
        <v>48</v>
      </c>
      <c r="D168" s="159">
        <v>46058</v>
      </c>
      <c r="E168" s="158" t="s">
        <v>320</v>
      </c>
      <c r="F168" s="158" t="s">
        <v>319</v>
      </c>
      <c r="G168" s="160">
        <v>938074.84</v>
      </c>
      <c r="H168" s="160">
        <v>0</v>
      </c>
      <c r="I168" s="160">
        <v>86687.56</v>
      </c>
      <c r="J168" s="160">
        <v>851387.28</v>
      </c>
      <c r="K168" s="161"/>
      <c r="L168" s="162"/>
      <c r="M168" s="162"/>
      <c r="N168" s="162"/>
      <c r="O168" s="162"/>
      <c r="P168" s="162"/>
      <c r="Q168" s="162"/>
    </row>
    <row r="169" spans="1:19" ht="13.8" x14ac:dyDescent="0.3">
      <c r="A169" s="157" t="s">
        <v>44</v>
      </c>
      <c r="B169" s="158">
        <v>30645189988</v>
      </c>
      <c r="C169" s="158" t="s">
        <v>49</v>
      </c>
      <c r="D169" s="159">
        <v>46058</v>
      </c>
      <c r="E169" s="158" t="s">
        <v>318</v>
      </c>
      <c r="F169" s="158" t="s">
        <v>319</v>
      </c>
      <c r="G169" s="160">
        <v>149633.46</v>
      </c>
      <c r="H169" s="160">
        <v>4114.32</v>
      </c>
      <c r="I169" s="160">
        <v>0</v>
      </c>
      <c r="J169" s="160">
        <v>145519.13999999998</v>
      </c>
      <c r="K169" s="161"/>
      <c r="L169" s="162"/>
      <c r="M169" s="162"/>
      <c r="N169" s="162"/>
      <c r="O169" s="162"/>
      <c r="P169" s="162"/>
      <c r="Q169" s="162"/>
    </row>
    <row r="170" spans="1:19" s="170" customFormat="1" ht="14.4" thickBot="1" x14ac:dyDescent="0.35">
      <c r="A170" s="163" t="s">
        <v>44</v>
      </c>
      <c r="B170" s="164">
        <v>30645189988</v>
      </c>
      <c r="C170" s="164" t="s">
        <v>50</v>
      </c>
      <c r="D170" s="165">
        <v>46058</v>
      </c>
      <c r="E170" s="164" t="s">
        <v>320</v>
      </c>
      <c r="F170" s="164" t="s">
        <v>319</v>
      </c>
      <c r="G170" s="166">
        <v>10734835.68</v>
      </c>
      <c r="H170" s="166">
        <v>0</v>
      </c>
      <c r="I170" s="166">
        <v>881272.12</v>
      </c>
      <c r="J170" s="166">
        <v>9853563.5600000005</v>
      </c>
      <c r="K170" s="167">
        <v>11849513.460000001</v>
      </c>
      <c r="L170" s="168"/>
      <c r="M170" s="168"/>
      <c r="N170" s="169"/>
      <c r="O170" s="169"/>
      <c r="P170" s="168"/>
      <c r="Q170" s="168"/>
    </row>
    <row r="171" spans="1:19" s="156" customFormat="1" ht="13.8" x14ac:dyDescent="0.3">
      <c r="A171" s="150" t="s">
        <v>280</v>
      </c>
      <c r="B171" s="151">
        <v>30681218285</v>
      </c>
      <c r="C171" s="151" t="s">
        <v>281</v>
      </c>
      <c r="D171" s="152">
        <v>46058</v>
      </c>
      <c r="E171" s="151" t="s">
        <v>314</v>
      </c>
      <c r="F171" s="151" t="s">
        <v>319</v>
      </c>
      <c r="G171" s="153">
        <v>1954500</v>
      </c>
      <c r="H171" s="153">
        <v>0</v>
      </c>
      <c r="I171" s="153">
        <v>0</v>
      </c>
      <c r="J171" s="153">
        <v>1954500</v>
      </c>
      <c r="K171" s="154"/>
      <c r="L171" s="155"/>
      <c r="M171" s="155"/>
      <c r="N171" s="155"/>
      <c r="O171" s="155"/>
      <c r="P171" s="155"/>
      <c r="Q171" s="155"/>
    </row>
    <row r="172" spans="1:19" s="170" customFormat="1" ht="14.4" thickBot="1" x14ac:dyDescent="0.35">
      <c r="A172" s="163" t="s">
        <v>280</v>
      </c>
      <c r="B172" s="164">
        <v>30681218285</v>
      </c>
      <c r="C172" s="164" t="s">
        <v>282</v>
      </c>
      <c r="D172" s="165">
        <v>46064</v>
      </c>
      <c r="E172" s="164" t="s">
        <v>314</v>
      </c>
      <c r="F172" s="164" t="s">
        <v>319</v>
      </c>
      <c r="G172" s="166">
        <v>157500</v>
      </c>
      <c r="H172" s="166">
        <v>0</v>
      </c>
      <c r="I172" s="166">
        <v>0</v>
      </c>
      <c r="J172" s="166">
        <v>157500</v>
      </c>
      <c r="K172" s="167">
        <v>2112000</v>
      </c>
      <c r="M172" s="178">
        <v>2112000</v>
      </c>
      <c r="N172" s="168"/>
      <c r="O172" s="168"/>
      <c r="P172" s="168"/>
      <c r="Q172" s="168"/>
    </row>
    <row r="173" spans="1:19" s="156" customFormat="1" ht="13.8" x14ac:dyDescent="0.3">
      <c r="A173" s="150" t="s">
        <v>36</v>
      </c>
      <c r="B173" s="151">
        <v>30545894528</v>
      </c>
      <c r="C173" s="151" t="s">
        <v>37</v>
      </c>
      <c r="D173" s="152">
        <v>46058</v>
      </c>
      <c r="E173" s="151" t="s">
        <v>318</v>
      </c>
      <c r="F173" s="151" t="s">
        <v>316</v>
      </c>
      <c r="G173" s="153">
        <v>31504.14</v>
      </c>
      <c r="H173" s="153">
        <v>0</v>
      </c>
      <c r="I173" s="153">
        <v>0</v>
      </c>
      <c r="J173" s="153">
        <v>31504.14</v>
      </c>
      <c r="K173" s="154"/>
      <c r="L173" s="196"/>
      <c r="M173" s="151"/>
      <c r="N173" s="151"/>
      <c r="O173" s="151"/>
      <c r="P173" s="151"/>
      <c r="Q173" s="151"/>
      <c r="R173" s="192"/>
      <c r="S173" s="192"/>
    </row>
    <row r="174" spans="1:19" s="199" customFormat="1" ht="13.8" x14ac:dyDescent="0.3">
      <c r="A174" s="157" t="s">
        <v>36</v>
      </c>
      <c r="B174" s="158">
        <v>30545894528</v>
      </c>
      <c r="C174" s="158" t="s">
        <v>38</v>
      </c>
      <c r="D174" s="159">
        <v>46058</v>
      </c>
      <c r="E174" s="158" t="s">
        <v>320</v>
      </c>
      <c r="F174" s="158" t="s">
        <v>319</v>
      </c>
      <c r="G174" s="160">
        <v>486451.82</v>
      </c>
      <c r="H174" s="160">
        <v>0</v>
      </c>
      <c r="I174" s="160">
        <v>122836.35</v>
      </c>
      <c r="J174" s="160">
        <v>363615.47</v>
      </c>
      <c r="K174" s="161"/>
      <c r="L174" s="197"/>
      <c r="M174" s="198"/>
      <c r="N174" s="198"/>
      <c r="O174" s="198"/>
      <c r="P174" s="198"/>
      <c r="Q174" s="198"/>
    </row>
    <row r="175" spans="1:19" s="199" customFormat="1" ht="13.8" x14ac:dyDescent="0.3">
      <c r="A175" s="157" t="s">
        <v>36</v>
      </c>
      <c r="B175" s="158">
        <v>30545894528</v>
      </c>
      <c r="C175" s="158" t="s">
        <v>40</v>
      </c>
      <c r="D175" s="159">
        <v>46058</v>
      </c>
      <c r="E175" s="158" t="s">
        <v>320</v>
      </c>
      <c r="F175" s="158" t="s">
        <v>319</v>
      </c>
      <c r="G175" s="160">
        <v>1384309.14</v>
      </c>
      <c r="H175" s="160">
        <v>0</v>
      </c>
      <c r="I175" s="160">
        <v>79421.38</v>
      </c>
      <c r="J175" s="160">
        <v>1304887.7599999998</v>
      </c>
      <c r="K175" s="161"/>
      <c r="L175" s="197"/>
      <c r="M175" s="198"/>
      <c r="N175" s="198"/>
      <c r="O175" s="198"/>
      <c r="P175" s="198"/>
      <c r="Q175" s="198"/>
    </row>
    <row r="176" spans="1:19" ht="13.8" x14ac:dyDescent="0.3">
      <c r="A176" s="157" t="s">
        <v>36</v>
      </c>
      <c r="B176" s="158">
        <v>30545894528</v>
      </c>
      <c r="C176" s="158" t="s">
        <v>41</v>
      </c>
      <c r="D176" s="159">
        <v>46058</v>
      </c>
      <c r="E176" s="158" t="s">
        <v>320</v>
      </c>
      <c r="F176" s="158" t="s">
        <v>317</v>
      </c>
      <c r="G176" s="160">
        <v>6394140</v>
      </c>
      <c r="H176" s="160">
        <v>0</v>
      </c>
      <c r="I176" s="160">
        <v>0</v>
      </c>
      <c r="J176" s="160">
        <v>6394140</v>
      </c>
      <c r="K176" s="161"/>
      <c r="L176" s="162"/>
      <c r="M176" s="162"/>
      <c r="N176" s="162"/>
      <c r="O176" s="162"/>
      <c r="P176" s="162"/>
      <c r="Q176" s="162"/>
    </row>
    <row r="177" spans="1:19" ht="14.4" thickBot="1" x14ac:dyDescent="0.35">
      <c r="A177" s="157" t="s">
        <v>36</v>
      </c>
      <c r="B177" s="158">
        <v>30545894528</v>
      </c>
      <c r="C177" s="158" t="s">
        <v>43</v>
      </c>
      <c r="D177" s="159">
        <v>46058</v>
      </c>
      <c r="E177" s="158" t="s">
        <v>318</v>
      </c>
      <c r="F177" s="158" t="s">
        <v>317</v>
      </c>
      <c r="G177" s="160">
        <v>596063.43999999994</v>
      </c>
      <c r="H177" s="160">
        <v>36221.980000000003</v>
      </c>
      <c r="I177" s="160">
        <v>0</v>
      </c>
      <c r="J177" s="160">
        <v>559841.46</v>
      </c>
      <c r="K177" s="161">
        <v>8653988.8299999982</v>
      </c>
      <c r="L177" s="162"/>
      <c r="M177" s="162"/>
      <c r="N177" s="200">
        <v>2884662.9433333329</v>
      </c>
      <c r="O177" s="200">
        <v>2884662.9433333329</v>
      </c>
      <c r="P177" s="200">
        <v>2884662.9433333329</v>
      </c>
      <c r="Q177" s="162"/>
    </row>
    <row r="178" spans="1:19" s="156" customFormat="1" ht="13.8" x14ac:dyDescent="0.3">
      <c r="A178" s="150" t="s">
        <v>30</v>
      </c>
      <c r="B178" s="151">
        <v>30716784386</v>
      </c>
      <c r="C178" s="151" t="s">
        <v>31</v>
      </c>
      <c r="D178" s="152">
        <v>46059</v>
      </c>
      <c r="E178" s="151" t="s">
        <v>318</v>
      </c>
      <c r="F178" s="151" t="s">
        <v>324</v>
      </c>
      <c r="G178" s="153">
        <v>51968</v>
      </c>
      <c r="H178" s="153">
        <v>0</v>
      </c>
      <c r="I178" s="153">
        <v>0</v>
      </c>
      <c r="J178" s="153">
        <v>51968</v>
      </c>
      <c r="K178" s="154"/>
      <c r="L178" s="155"/>
      <c r="M178" s="155"/>
      <c r="N178" s="155"/>
      <c r="O178" s="155"/>
      <c r="P178" s="155"/>
      <c r="Q178" s="155"/>
    </row>
    <row r="179" spans="1:19" ht="13.8" x14ac:dyDescent="0.3">
      <c r="A179" s="157" t="s">
        <v>30</v>
      </c>
      <c r="B179" s="158">
        <v>30716784386</v>
      </c>
      <c r="C179" s="158" t="s">
        <v>32</v>
      </c>
      <c r="D179" s="159">
        <v>46059</v>
      </c>
      <c r="E179" s="158" t="s">
        <v>318</v>
      </c>
      <c r="F179" s="158" t="s">
        <v>316</v>
      </c>
      <c r="G179" s="160">
        <v>26850</v>
      </c>
      <c r="H179" s="160">
        <v>0</v>
      </c>
      <c r="I179" s="160">
        <v>0</v>
      </c>
      <c r="J179" s="160">
        <v>26850</v>
      </c>
      <c r="K179" s="161"/>
      <c r="L179" s="162"/>
      <c r="M179" s="162"/>
      <c r="N179" s="162"/>
      <c r="O179" s="162"/>
      <c r="P179" s="162"/>
      <c r="Q179" s="162"/>
    </row>
    <row r="180" spans="1:19" ht="13.8" x14ac:dyDescent="0.3">
      <c r="A180" s="157" t="s">
        <v>30</v>
      </c>
      <c r="B180" s="158">
        <v>30716784386</v>
      </c>
      <c r="C180" s="158" t="s">
        <v>33</v>
      </c>
      <c r="D180" s="159">
        <v>46059</v>
      </c>
      <c r="E180" s="158" t="s">
        <v>318</v>
      </c>
      <c r="F180" s="158" t="s">
        <v>319</v>
      </c>
      <c r="G180" s="160">
        <v>1010766.18</v>
      </c>
      <c r="H180" s="160">
        <v>0</v>
      </c>
      <c r="I180" s="160">
        <v>0</v>
      </c>
      <c r="J180" s="160">
        <v>1010766.18</v>
      </c>
      <c r="K180" s="161"/>
      <c r="L180" s="162"/>
      <c r="M180" s="162"/>
      <c r="N180" s="162"/>
      <c r="O180" s="162"/>
      <c r="P180" s="162"/>
      <c r="Q180" s="162"/>
    </row>
    <row r="181" spans="1:19" ht="13.8" x14ac:dyDescent="0.3">
      <c r="A181" s="157" t="s">
        <v>30</v>
      </c>
      <c r="B181" s="158">
        <v>30716784386</v>
      </c>
      <c r="C181" s="158" t="s">
        <v>34</v>
      </c>
      <c r="D181" s="159">
        <v>46059</v>
      </c>
      <c r="E181" s="158" t="s">
        <v>318</v>
      </c>
      <c r="F181" s="158" t="s">
        <v>317</v>
      </c>
      <c r="G181" s="160">
        <v>1130881.96</v>
      </c>
      <c r="H181" s="160">
        <v>0</v>
      </c>
      <c r="I181" s="160">
        <v>0</v>
      </c>
      <c r="J181" s="160">
        <v>1130881.96</v>
      </c>
      <c r="K181" s="161"/>
      <c r="L181" s="162"/>
      <c r="M181" s="162"/>
      <c r="N181" s="162"/>
      <c r="O181" s="162"/>
      <c r="P181" s="162"/>
      <c r="Q181" s="162"/>
    </row>
    <row r="182" spans="1:19" s="170" customFormat="1" ht="14.4" thickBot="1" x14ac:dyDescent="0.35">
      <c r="A182" s="163" t="s">
        <v>30</v>
      </c>
      <c r="B182" s="164">
        <v>30716784386</v>
      </c>
      <c r="C182" s="164" t="s">
        <v>35</v>
      </c>
      <c r="D182" s="165">
        <v>46059</v>
      </c>
      <c r="E182" s="164" t="s">
        <v>318</v>
      </c>
      <c r="F182" s="164" t="s">
        <v>315</v>
      </c>
      <c r="G182" s="166">
        <v>6000</v>
      </c>
      <c r="H182" s="166">
        <v>0</v>
      </c>
      <c r="I182" s="166">
        <v>0</v>
      </c>
      <c r="J182" s="166">
        <v>6000</v>
      </c>
      <c r="K182" s="167">
        <v>2226466.14</v>
      </c>
      <c r="L182" s="168"/>
      <c r="M182" s="168"/>
      <c r="N182" s="168"/>
      <c r="O182" s="169">
        <v>1113233.07</v>
      </c>
      <c r="P182" s="169">
        <v>1113233.07</v>
      </c>
      <c r="Q182" s="168"/>
    </row>
    <row r="183" spans="1:19" s="156" customFormat="1" ht="13.8" x14ac:dyDescent="0.3">
      <c r="A183" s="150" t="s">
        <v>21</v>
      </c>
      <c r="B183" s="151">
        <v>30711999074</v>
      </c>
      <c r="C183" s="151" t="s">
        <v>22</v>
      </c>
      <c r="D183" s="152">
        <v>46059</v>
      </c>
      <c r="E183" s="151" t="s">
        <v>318</v>
      </c>
      <c r="F183" s="151" t="s">
        <v>316</v>
      </c>
      <c r="G183" s="153">
        <v>86000</v>
      </c>
      <c r="H183" s="153">
        <v>0</v>
      </c>
      <c r="I183" s="153">
        <v>0</v>
      </c>
      <c r="J183" s="153">
        <v>86000</v>
      </c>
      <c r="K183" s="154"/>
      <c r="L183" s="155"/>
      <c r="M183" s="155"/>
      <c r="N183" s="155"/>
      <c r="O183" s="155"/>
      <c r="P183" s="155"/>
      <c r="Q183" s="155"/>
    </row>
    <row r="184" spans="1:19" ht="13.8" x14ac:dyDescent="0.3">
      <c r="A184" s="157" t="s">
        <v>21</v>
      </c>
      <c r="B184" s="158">
        <v>30711999074</v>
      </c>
      <c r="C184" s="158" t="s">
        <v>24</v>
      </c>
      <c r="D184" s="159">
        <v>46059</v>
      </c>
      <c r="E184" s="158" t="s">
        <v>318</v>
      </c>
      <c r="F184" s="158" t="s">
        <v>317</v>
      </c>
      <c r="G184" s="160">
        <v>159200</v>
      </c>
      <c r="H184" s="160">
        <v>0</v>
      </c>
      <c r="I184" s="160">
        <v>0</v>
      </c>
      <c r="J184" s="160">
        <v>159200</v>
      </c>
      <c r="K184" s="161"/>
      <c r="L184" s="162"/>
      <c r="M184" s="162"/>
      <c r="N184" s="162"/>
      <c r="O184" s="162"/>
      <c r="P184" s="162"/>
      <c r="Q184" s="162"/>
    </row>
    <row r="185" spans="1:19" ht="13.8" x14ac:dyDescent="0.3">
      <c r="A185" s="157" t="s">
        <v>21</v>
      </c>
      <c r="B185" s="158">
        <v>30711999074</v>
      </c>
      <c r="C185" s="158" t="s">
        <v>26</v>
      </c>
      <c r="D185" s="159">
        <v>46059</v>
      </c>
      <c r="E185" s="158" t="s">
        <v>318</v>
      </c>
      <c r="F185" s="158" t="s">
        <v>315</v>
      </c>
      <c r="G185" s="160">
        <v>152000</v>
      </c>
      <c r="H185" s="160">
        <v>0</v>
      </c>
      <c r="I185" s="160">
        <v>0</v>
      </c>
      <c r="J185" s="160">
        <v>152000</v>
      </c>
      <c r="K185" s="161"/>
      <c r="L185" s="162"/>
      <c r="M185" s="162"/>
      <c r="N185" s="162"/>
      <c r="O185" s="162"/>
      <c r="P185" s="162"/>
      <c r="Q185" s="162"/>
    </row>
    <row r="186" spans="1:19" s="170" customFormat="1" ht="14.4" thickBot="1" x14ac:dyDescent="0.35">
      <c r="A186" s="163" t="s">
        <v>21</v>
      </c>
      <c r="B186" s="164">
        <v>30711999074</v>
      </c>
      <c r="C186" s="164" t="s">
        <v>28</v>
      </c>
      <c r="D186" s="165">
        <v>46062</v>
      </c>
      <c r="E186" s="164" t="s">
        <v>318</v>
      </c>
      <c r="F186" s="164" t="s">
        <v>319</v>
      </c>
      <c r="G186" s="166">
        <v>471400</v>
      </c>
      <c r="H186" s="166">
        <v>0</v>
      </c>
      <c r="I186" s="166">
        <v>0</v>
      </c>
      <c r="J186" s="166">
        <v>471400</v>
      </c>
      <c r="K186" s="167">
        <v>868600</v>
      </c>
      <c r="L186" s="168"/>
      <c r="M186" s="168"/>
      <c r="N186" s="178">
        <v>868600</v>
      </c>
      <c r="O186" s="168"/>
      <c r="P186" s="168"/>
      <c r="Q186" s="168"/>
    </row>
    <row r="187" spans="1:19" s="156" customFormat="1" ht="13.8" x14ac:dyDescent="0.3">
      <c r="A187" s="150" t="s">
        <v>272</v>
      </c>
      <c r="B187" s="151">
        <v>30546670623</v>
      </c>
      <c r="C187" s="151" t="s">
        <v>273</v>
      </c>
      <c r="D187" s="152">
        <v>46058</v>
      </c>
      <c r="E187" s="151" t="s">
        <v>318</v>
      </c>
      <c r="F187" s="151" t="s">
        <v>319</v>
      </c>
      <c r="G187" s="153">
        <v>231755.93</v>
      </c>
      <c r="H187" s="153">
        <v>206255.93</v>
      </c>
      <c r="I187" s="153">
        <v>0</v>
      </c>
      <c r="J187" s="153">
        <v>25500</v>
      </c>
      <c r="K187" s="154"/>
      <c r="L187" s="155"/>
      <c r="M187" s="155"/>
      <c r="N187" s="155"/>
      <c r="O187" s="155"/>
      <c r="P187" s="155"/>
      <c r="Q187" s="155"/>
    </row>
    <row r="188" spans="1:19" ht="13.8" x14ac:dyDescent="0.3">
      <c r="A188" s="157" t="s">
        <v>272</v>
      </c>
      <c r="B188" s="158">
        <v>30546670623</v>
      </c>
      <c r="C188" s="158" t="s">
        <v>274</v>
      </c>
      <c r="D188" s="159">
        <v>46052</v>
      </c>
      <c r="E188" s="158" t="s">
        <v>318</v>
      </c>
      <c r="F188" s="158" t="s">
        <v>316</v>
      </c>
      <c r="G188" s="160">
        <v>8098</v>
      </c>
      <c r="H188" s="160">
        <v>0</v>
      </c>
      <c r="I188" s="160">
        <v>0</v>
      </c>
      <c r="J188" s="160">
        <v>8098</v>
      </c>
      <c r="K188" s="161"/>
      <c r="L188" s="162"/>
      <c r="M188" s="162"/>
      <c r="N188" s="162"/>
      <c r="O188" s="162"/>
      <c r="P188" s="162"/>
      <c r="Q188" s="162"/>
    </row>
    <row r="189" spans="1:19" ht="13.8" x14ac:dyDescent="0.3">
      <c r="A189" s="157" t="s">
        <v>272</v>
      </c>
      <c r="B189" s="158">
        <v>30546670623</v>
      </c>
      <c r="C189" s="158" t="s">
        <v>275</v>
      </c>
      <c r="D189" s="159">
        <v>46052</v>
      </c>
      <c r="E189" s="158" t="s">
        <v>318</v>
      </c>
      <c r="F189" s="158" t="s">
        <v>319</v>
      </c>
      <c r="G189" s="160">
        <v>29400</v>
      </c>
      <c r="H189" s="160">
        <v>0</v>
      </c>
      <c r="I189" s="160">
        <v>0</v>
      </c>
      <c r="J189" s="160">
        <v>29400</v>
      </c>
      <c r="K189" s="161"/>
      <c r="L189" s="162"/>
      <c r="M189" s="162"/>
      <c r="N189" s="162"/>
      <c r="O189" s="162"/>
      <c r="P189" s="162"/>
      <c r="Q189" s="162"/>
    </row>
    <row r="190" spans="1:19" ht="13.8" x14ac:dyDescent="0.3">
      <c r="A190" s="157" t="s">
        <v>272</v>
      </c>
      <c r="B190" s="158">
        <v>30546670623</v>
      </c>
      <c r="C190" s="158" t="s">
        <v>276</v>
      </c>
      <c r="D190" s="159">
        <v>46052</v>
      </c>
      <c r="E190" s="158" t="s">
        <v>318</v>
      </c>
      <c r="F190" s="158" t="s">
        <v>315</v>
      </c>
      <c r="G190" s="160">
        <v>5788</v>
      </c>
      <c r="H190" s="160">
        <v>0</v>
      </c>
      <c r="I190" s="160">
        <v>0</v>
      </c>
      <c r="J190" s="160">
        <v>5788</v>
      </c>
      <c r="K190" s="161"/>
      <c r="L190" s="158"/>
      <c r="M190" s="158"/>
      <c r="N190" s="158"/>
      <c r="O190" s="158"/>
      <c r="P190" s="158"/>
      <c r="Q190" s="158"/>
      <c r="R190" s="193"/>
      <c r="S190" s="193"/>
    </row>
    <row r="191" spans="1:19" ht="13.8" x14ac:dyDescent="0.3">
      <c r="A191" s="157" t="s">
        <v>272</v>
      </c>
      <c r="B191" s="158">
        <v>30546670623</v>
      </c>
      <c r="C191" s="158" t="s">
        <v>277</v>
      </c>
      <c r="D191" s="159">
        <v>46052</v>
      </c>
      <c r="E191" s="158" t="s">
        <v>318</v>
      </c>
      <c r="F191" s="158" t="s">
        <v>319</v>
      </c>
      <c r="G191" s="160">
        <v>38939</v>
      </c>
      <c r="H191" s="160">
        <v>0</v>
      </c>
      <c r="I191" s="160">
        <v>0</v>
      </c>
      <c r="J191" s="160">
        <v>38939</v>
      </c>
      <c r="K191" s="161"/>
      <c r="L191" s="162"/>
      <c r="M191" s="162"/>
      <c r="N191" s="162"/>
      <c r="O191" s="162"/>
      <c r="P191" s="162"/>
      <c r="Q191" s="162"/>
    </row>
    <row r="192" spans="1:19" ht="13.8" x14ac:dyDescent="0.3">
      <c r="A192" s="157" t="s">
        <v>272</v>
      </c>
      <c r="B192" s="158">
        <v>30546670623</v>
      </c>
      <c r="C192" s="158" t="s">
        <v>278</v>
      </c>
      <c r="D192" s="159">
        <v>46022</v>
      </c>
      <c r="E192" s="158" t="s">
        <v>318</v>
      </c>
      <c r="F192" s="158" t="s">
        <v>319</v>
      </c>
      <c r="G192" s="160">
        <v>39328</v>
      </c>
      <c r="H192" s="160">
        <v>0</v>
      </c>
      <c r="I192" s="160">
        <v>0</v>
      </c>
      <c r="J192" s="160">
        <v>39328</v>
      </c>
      <c r="K192" s="161"/>
      <c r="L192" s="162"/>
      <c r="M192" s="162"/>
      <c r="N192" s="162"/>
      <c r="O192" s="162"/>
      <c r="P192" s="162"/>
      <c r="Q192" s="162"/>
    </row>
    <row r="193" spans="1:21" s="170" customFormat="1" ht="14.4" thickBot="1" x14ac:dyDescent="0.35">
      <c r="A193" s="163" t="s">
        <v>272</v>
      </c>
      <c r="B193" s="164">
        <v>30546670623</v>
      </c>
      <c r="C193" s="164" t="s">
        <v>279</v>
      </c>
      <c r="D193" s="165">
        <v>46053</v>
      </c>
      <c r="E193" s="164" t="s">
        <v>320</v>
      </c>
      <c r="F193" s="164" t="s">
        <v>319</v>
      </c>
      <c r="G193" s="166">
        <v>234661</v>
      </c>
      <c r="H193" s="166">
        <v>4196.6499999999996</v>
      </c>
      <c r="I193" s="166">
        <v>0</v>
      </c>
      <c r="J193" s="166">
        <v>230464.35</v>
      </c>
      <c r="K193" s="167">
        <v>377517.35</v>
      </c>
      <c r="L193" s="168"/>
      <c r="M193" s="168"/>
      <c r="N193" s="178">
        <v>377517.35</v>
      </c>
      <c r="O193" s="168"/>
      <c r="P193" s="168"/>
      <c r="Q193" s="168"/>
    </row>
    <row r="194" spans="1:21" s="156" customFormat="1" ht="13.8" x14ac:dyDescent="0.3">
      <c r="A194" s="150" t="s">
        <v>12</v>
      </c>
      <c r="B194" s="151">
        <v>30703378222</v>
      </c>
      <c r="C194" s="151" t="s">
        <v>13</v>
      </c>
      <c r="D194" s="152">
        <v>46059</v>
      </c>
      <c r="E194" s="151" t="s">
        <v>318</v>
      </c>
      <c r="F194" s="151" t="s">
        <v>316</v>
      </c>
      <c r="G194" s="153">
        <v>21900</v>
      </c>
      <c r="H194" s="153">
        <v>0</v>
      </c>
      <c r="I194" s="153">
        <v>0</v>
      </c>
      <c r="J194" s="153">
        <v>21900</v>
      </c>
      <c r="K194" s="154"/>
      <c r="L194" s="155"/>
      <c r="M194" s="155"/>
      <c r="N194" s="155"/>
      <c r="O194" s="155"/>
      <c r="P194" s="155"/>
      <c r="Q194" s="155"/>
    </row>
    <row r="195" spans="1:21" ht="13.8" x14ac:dyDescent="0.3">
      <c r="A195" s="157" t="s">
        <v>12</v>
      </c>
      <c r="B195" s="158">
        <v>30703378222</v>
      </c>
      <c r="C195" s="158" t="s">
        <v>15</v>
      </c>
      <c r="D195" s="159">
        <v>46059</v>
      </c>
      <c r="E195" s="158" t="s">
        <v>318</v>
      </c>
      <c r="F195" s="158" t="s">
        <v>319</v>
      </c>
      <c r="G195" s="160">
        <v>30400</v>
      </c>
      <c r="H195" s="160">
        <v>0</v>
      </c>
      <c r="I195" s="160">
        <v>0</v>
      </c>
      <c r="J195" s="160">
        <v>30400</v>
      </c>
      <c r="K195" s="161"/>
      <c r="L195" s="162"/>
      <c r="M195" s="162"/>
      <c r="N195" s="162"/>
      <c r="O195" s="162"/>
      <c r="P195" s="162"/>
      <c r="Q195" s="162"/>
    </row>
    <row r="196" spans="1:21" ht="13.8" x14ac:dyDescent="0.3">
      <c r="A196" s="157" t="s">
        <v>12</v>
      </c>
      <c r="B196" s="158">
        <v>30703378222</v>
      </c>
      <c r="C196" s="158" t="s">
        <v>17</v>
      </c>
      <c r="D196" s="159">
        <v>46059</v>
      </c>
      <c r="E196" s="158" t="s">
        <v>318</v>
      </c>
      <c r="F196" s="158" t="s">
        <v>317</v>
      </c>
      <c r="G196" s="160">
        <v>16000</v>
      </c>
      <c r="H196" s="160">
        <v>0</v>
      </c>
      <c r="I196" s="160">
        <v>0</v>
      </c>
      <c r="J196" s="160">
        <v>16000</v>
      </c>
      <c r="K196" s="161"/>
      <c r="L196" s="162"/>
      <c r="M196" s="162"/>
      <c r="N196" s="162"/>
      <c r="O196" s="162"/>
      <c r="P196" s="162"/>
      <c r="Q196" s="162"/>
    </row>
    <row r="197" spans="1:21" s="170" customFormat="1" ht="14.4" thickBot="1" x14ac:dyDescent="0.35">
      <c r="A197" s="163" t="s">
        <v>12</v>
      </c>
      <c r="B197" s="164">
        <v>30703378222</v>
      </c>
      <c r="C197" s="164" t="s">
        <v>19</v>
      </c>
      <c r="D197" s="165">
        <v>46059</v>
      </c>
      <c r="E197" s="164" t="s">
        <v>318</v>
      </c>
      <c r="F197" s="164" t="s">
        <v>324</v>
      </c>
      <c r="G197" s="166">
        <v>16000</v>
      </c>
      <c r="H197" s="166">
        <v>0</v>
      </c>
      <c r="I197" s="166">
        <v>0</v>
      </c>
      <c r="J197" s="166">
        <v>16000</v>
      </c>
      <c r="K197" s="167">
        <v>84300</v>
      </c>
      <c r="L197" s="166">
        <v>84300</v>
      </c>
      <c r="M197" s="164"/>
      <c r="N197" s="164"/>
      <c r="O197" s="164"/>
      <c r="P197" s="164"/>
      <c r="Q197" s="164"/>
      <c r="R197" s="194"/>
      <c r="S197" s="194"/>
    </row>
    <row r="198" spans="1:21" s="156" customFormat="1" ht="13.5" customHeight="1" thickBot="1" x14ac:dyDescent="0.35">
      <c r="A198" s="201" t="s">
        <v>9</v>
      </c>
      <c r="B198" s="202">
        <v>30716413256</v>
      </c>
      <c r="C198" s="202" t="s">
        <v>10</v>
      </c>
      <c r="D198" s="203">
        <v>46038</v>
      </c>
      <c r="E198" s="202" t="s">
        <v>318</v>
      </c>
      <c r="F198" s="202" t="s">
        <v>319</v>
      </c>
      <c r="G198" s="204">
        <v>26900</v>
      </c>
      <c r="H198" s="204">
        <v>900</v>
      </c>
      <c r="I198" s="204">
        <v>0</v>
      </c>
      <c r="J198" s="204">
        <v>26000</v>
      </c>
      <c r="K198" s="205">
        <v>26000</v>
      </c>
      <c r="L198" s="204">
        <v>26000</v>
      </c>
      <c r="M198" s="202"/>
      <c r="N198" s="202"/>
      <c r="O198" s="202"/>
      <c r="P198" s="202"/>
      <c r="Q198" s="202"/>
      <c r="R198" s="192"/>
      <c r="S198" s="192"/>
    </row>
    <row r="199" spans="1:21" s="155" customFormat="1" ht="13.5" customHeight="1" x14ac:dyDescent="0.3">
      <c r="A199" s="150" t="s">
        <v>290</v>
      </c>
      <c r="B199" s="151">
        <v>30717880125</v>
      </c>
      <c r="C199" s="151" t="s">
        <v>291</v>
      </c>
      <c r="D199" s="152">
        <v>46098</v>
      </c>
      <c r="E199" s="151" t="s">
        <v>325</v>
      </c>
      <c r="F199" s="158" t="s">
        <v>328</v>
      </c>
      <c r="G199" s="153">
        <v>3072000</v>
      </c>
      <c r="H199" s="153">
        <v>0</v>
      </c>
      <c r="I199" s="153">
        <v>0</v>
      </c>
      <c r="J199" s="153">
        <v>3072000</v>
      </c>
      <c r="K199" s="154"/>
      <c r="L199" s="151"/>
      <c r="M199" s="151"/>
      <c r="N199" s="151"/>
      <c r="O199" s="151"/>
      <c r="P199" s="151"/>
      <c r="Q199" s="151"/>
      <c r="R199" s="151"/>
      <c r="S199" s="151"/>
    </row>
    <row r="200" spans="1:21" s="168" customFormat="1" ht="13.5" customHeight="1" thickBot="1" x14ac:dyDescent="0.35">
      <c r="A200" s="163" t="s">
        <v>290</v>
      </c>
      <c r="B200" s="164">
        <v>30717880125</v>
      </c>
      <c r="C200" s="164"/>
      <c r="D200" s="165"/>
      <c r="E200" s="164"/>
      <c r="F200" s="164"/>
      <c r="G200" s="164"/>
      <c r="H200" s="164"/>
      <c r="I200" s="166"/>
      <c r="J200" s="166"/>
      <c r="K200" s="166"/>
      <c r="L200" s="166">
        <v>2600000</v>
      </c>
      <c r="M200" s="167">
        <v>5672000</v>
      </c>
      <c r="N200" s="164"/>
      <c r="O200" s="164"/>
      <c r="P200" s="206">
        <v>2836000</v>
      </c>
      <c r="Q200" s="206">
        <v>2836000</v>
      </c>
      <c r="R200" s="164"/>
      <c r="S200" s="164"/>
      <c r="T200" s="164"/>
      <c r="U200" s="164"/>
    </row>
    <row r="201" spans="1:21" ht="13.8" x14ac:dyDescent="0.3">
      <c r="I201" s="207"/>
      <c r="J201" s="207"/>
      <c r="K201" s="207"/>
      <c r="L201" s="207"/>
      <c r="M201" s="208"/>
    </row>
    <row r="202" spans="1:21" ht="13.8" x14ac:dyDescent="0.3">
      <c r="I202" s="207"/>
      <c r="J202" s="207"/>
      <c r="K202" s="207"/>
      <c r="L202" s="207"/>
      <c r="M202" s="208"/>
    </row>
    <row r="203" spans="1:21" ht="13.8" x14ac:dyDescent="0.3">
      <c r="I203" s="207"/>
      <c r="J203" s="207"/>
      <c r="K203" s="207"/>
      <c r="L203" s="207"/>
      <c r="M203" s="208"/>
    </row>
    <row r="204" spans="1:21" ht="13.8" x14ac:dyDescent="0.3">
      <c r="I204" s="207"/>
      <c r="J204" s="207"/>
      <c r="K204" s="207"/>
      <c r="L204" s="207"/>
      <c r="M204" s="208"/>
    </row>
    <row r="205" spans="1:21" ht="13.8" x14ac:dyDescent="0.3">
      <c r="I205" s="207"/>
      <c r="J205" s="207"/>
      <c r="K205" s="207"/>
      <c r="L205" s="207"/>
      <c r="M205" s="208"/>
    </row>
    <row r="206" spans="1:21" ht="13.8" x14ac:dyDescent="0.3">
      <c r="I206" s="207"/>
      <c r="J206" s="207"/>
      <c r="K206" s="207"/>
      <c r="L206" s="207"/>
      <c r="M206" s="208"/>
    </row>
    <row r="207" spans="1:21" ht="13.8" x14ac:dyDescent="0.3">
      <c r="I207" s="207"/>
      <c r="J207" s="207"/>
      <c r="K207" s="207"/>
      <c r="L207" s="207"/>
      <c r="M207" s="208"/>
    </row>
    <row r="208" spans="1:21" ht="13.8" x14ac:dyDescent="0.3">
      <c r="I208" s="207"/>
      <c r="J208" s="207"/>
      <c r="K208" s="207"/>
      <c r="L208" s="207"/>
      <c r="M208" s="208"/>
    </row>
    <row r="209" spans="9:13" ht="13.8" x14ac:dyDescent="0.3">
      <c r="I209" s="207"/>
      <c r="J209" s="207"/>
      <c r="K209" s="207"/>
      <c r="L209" s="207"/>
      <c r="M209" s="208"/>
    </row>
    <row r="210" spans="9:13" ht="13.8" x14ac:dyDescent="0.3">
      <c r="I210" s="207"/>
      <c r="J210" s="207"/>
      <c r="K210" s="207"/>
      <c r="L210" s="207"/>
      <c r="M210" s="208"/>
    </row>
    <row r="211" spans="9:13" ht="13.8" x14ac:dyDescent="0.3">
      <c r="I211" s="207"/>
      <c r="J211" s="207"/>
      <c r="K211" s="207"/>
      <c r="L211" s="207"/>
      <c r="M211" s="208"/>
    </row>
    <row r="212" spans="9:13" ht="13.8" x14ac:dyDescent="0.3">
      <c r="I212" s="207"/>
      <c r="J212" s="207"/>
      <c r="K212" s="207"/>
      <c r="L212" s="207"/>
      <c r="M212" s="208"/>
    </row>
    <row r="213" spans="9:13" ht="13.8" x14ac:dyDescent="0.3">
      <c r="I213" s="207"/>
      <c r="J213" s="207"/>
      <c r="K213" s="207"/>
      <c r="L213" s="207"/>
      <c r="M213" s="208"/>
    </row>
    <row r="214" spans="9:13" ht="13.8" x14ac:dyDescent="0.3">
      <c r="I214" s="207"/>
      <c r="J214" s="207"/>
      <c r="K214" s="207"/>
      <c r="L214" s="207"/>
      <c r="M214" s="208"/>
    </row>
    <row r="215" spans="9:13" ht="13.8" x14ac:dyDescent="0.3">
      <c r="I215" s="207"/>
      <c r="J215" s="207"/>
      <c r="K215" s="207"/>
      <c r="L215" s="207"/>
      <c r="M215" s="208"/>
    </row>
    <row r="216" spans="9:13" ht="13.8" x14ac:dyDescent="0.3">
      <c r="I216" s="207"/>
      <c r="J216" s="207"/>
      <c r="K216" s="207"/>
      <c r="L216" s="207"/>
      <c r="M216" s="208"/>
    </row>
    <row r="217" spans="9:13" ht="13.8" x14ac:dyDescent="0.3">
      <c r="I217" s="207"/>
      <c r="J217" s="207"/>
      <c r="K217" s="207"/>
      <c r="L217" s="207"/>
      <c r="M217" s="208"/>
    </row>
    <row r="218" spans="9:13" ht="13.8" x14ac:dyDescent="0.3">
      <c r="I218" s="207"/>
      <c r="J218" s="207"/>
      <c r="K218" s="207"/>
      <c r="L218" s="207"/>
      <c r="M218" s="208"/>
    </row>
    <row r="219" spans="9:13" ht="13.8" x14ac:dyDescent="0.3">
      <c r="I219" s="207"/>
      <c r="J219" s="207"/>
      <c r="K219" s="207"/>
      <c r="L219" s="207"/>
      <c r="M219" s="208"/>
    </row>
    <row r="220" spans="9:13" ht="13.8" x14ac:dyDescent="0.3">
      <c r="I220" s="207"/>
      <c r="J220" s="207"/>
      <c r="K220" s="207"/>
      <c r="L220" s="207"/>
      <c r="M220" s="208"/>
    </row>
    <row r="221" spans="9:13" ht="13.8" x14ac:dyDescent="0.3">
      <c r="I221" s="207"/>
      <c r="J221" s="207"/>
      <c r="K221" s="207"/>
      <c r="L221" s="207"/>
      <c r="M221" s="208"/>
    </row>
    <row r="222" spans="9:13" ht="13.8" x14ac:dyDescent="0.3">
      <c r="I222" s="207"/>
      <c r="J222" s="207"/>
      <c r="K222" s="207"/>
      <c r="L222" s="207"/>
      <c r="M222" s="208"/>
    </row>
    <row r="223" spans="9:13" ht="13.8" x14ac:dyDescent="0.3">
      <c r="I223" s="207"/>
      <c r="J223" s="207"/>
      <c r="K223" s="207"/>
      <c r="L223" s="207"/>
      <c r="M223" s="208"/>
    </row>
    <row r="224" spans="9:13" ht="13.8" x14ac:dyDescent="0.3">
      <c r="I224" s="207"/>
      <c r="J224" s="207"/>
      <c r="K224" s="207"/>
      <c r="L224" s="207"/>
      <c r="M224" s="208"/>
    </row>
    <row r="225" spans="9:13" ht="13.8" x14ac:dyDescent="0.3">
      <c r="I225" s="207"/>
      <c r="J225" s="207"/>
      <c r="K225" s="207"/>
      <c r="L225" s="207"/>
      <c r="M225" s="208"/>
    </row>
    <row r="226" spans="9:13" ht="13.8" x14ac:dyDescent="0.3">
      <c r="I226" s="207"/>
      <c r="J226" s="207"/>
      <c r="K226" s="207"/>
      <c r="L226" s="207"/>
      <c r="M226" s="208"/>
    </row>
    <row r="227" spans="9:13" ht="13.8" x14ac:dyDescent="0.3">
      <c r="I227" s="207"/>
      <c r="J227" s="207"/>
      <c r="K227" s="207"/>
      <c r="L227" s="207"/>
      <c r="M227" s="208"/>
    </row>
    <row r="228" spans="9:13" ht="13.8" x14ac:dyDescent="0.3">
      <c r="I228" s="207"/>
      <c r="J228" s="207"/>
      <c r="K228" s="207"/>
      <c r="L228" s="207"/>
      <c r="M228" s="208"/>
    </row>
    <row r="229" spans="9:13" ht="13.8" x14ac:dyDescent="0.3">
      <c r="I229" s="207"/>
      <c r="J229" s="207"/>
      <c r="K229" s="207"/>
      <c r="L229" s="207"/>
      <c r="M229" s="208"/>
    </row>
    <row r="230" spans="9:13" ht="13.8" x14ac:dyDescent="0.3">
      <c r="I230" s="207"/>
      <c r="J230" s="207"/>
      <c r="K230" s="207"/>
      <c r="L230" s="207"/>
      <c r="M230" s="208"/>
    </row>
    <row r="231" spans="9:13" ht="13.8" x14ac:dyDescent="0.3">
      <c r="I231" s="207"/>
      <c r="J231" s="207"/>
      <c r="K231" s="207"/>
      <c r="L231" s="207"/>
      <c r="M231" s="208"/>
    </row>
    <row r="232" spans="9:13" ht="13.8" x14ac:dyDescent="0.3">
      <c r="I232" s="207"/>
      <c r="J232" s="207"/>
      <c r="K232" s="207"/>
      <c r="L232" s="207"/>
      <c r="M232" s="208"/>
    </row>
    <row r="233" spans="9:13" ht="13.8" x14ac:dyDescent="0.3">
      <c r="I233" s="207"/>
      <c r="J233" s="207"/>
      <c r="K233" s="207"/>
      <c r="L233" s="207"/>
      <c r="M233" s="208"/>
    </row>
    <row r="234" spans="9:13" ht="13.8" x14ac:dyDescent="0.3">
      <c r="I234" s="207"/>
      <c r="J234" s="207"/>
      <c r="K234" s="207"/>
      <c r="L234" s="207"/>
      <c r="M234" s="208"/>
    </row>
    <row r="235" spans="9:13" ht="13.8" x14ac:dyDescent="0.3">
      <c r="I235" s="207"/>
      <c r="J235" s="207"/>
      <c r="K235" s="207"/>
      <c r="L235" s="207"/>
      <c r="M235" s="208"/>
    </row>
    <row r="236" spans="9:13" ht="13.8" x14ac:dyDescent="0.3">
      <c r="I236" s="207"/>
      <c r="J236" s="207"/>
      <c r="K236" s="207"/>
      <c r="L236" s="207"/>
      <c r="M236" s="208"/>
    </row>
    <row r="237" spans="9:13" ht="13.8" x14ac:dyDescent="0.3">
      <c r="I237" s="207"/>
      <c r="J237" s="207"/>
      <c r="K237" s="207"/>
      <c r="L237" s="207"/>
      <c r="M237" s="208"/>
    </row>
    <row r="238" spans="9:13" ht="13.8" x14ac:dyDescent="0.3">
      <c r="I238" s="207"/>
      <c r="J238" s="207"/>
      <c r="K238" s="207"/>
      <c r="L238" s="207"/>
      <c r="M238" s="208"/>
    </row>
    <row r="239" spans="9:13" ht="13.8" x14ac:dyDescent="0.3">
      <c r="I239" s="207"/>
      <c r="J239" s="207"/>
      <c r="K239" s="207"/>
      <c r="L239" s="207"/>
      <c r="M239" s="208"/>
    </row>
    <row r="240" spans="9:13" ht="13.8" x14ac:dyDescent="0.3">
      <c r="I240" s="207"/>
      <c r="J240" s="207"/>
      <c r="K240" s="207"/>
      <c r="L240" s="207"/>
      <c r="M240" s="208"/>
    </row>
    <row r="241" spans="9:13" ht="13.8" x14ac:dyDescent="0.3">
      <c r="I241" s="207"/>
      <c r="J241" s="207"/>
      <c r="K241" s="207"/>
      <c r="L241" s="207"/>
      <c r="M241" s="208"/>
    </row>
    <row r="242" spans="9:13" ht="13.8" x14ac:dyDescent="0.3">
      <c r="I242" s="207"/>
      <c r="J242" s="207"/>
      <c r="K242" s="207"/>
      <c r="L242" s="207"/>
      <c r="M242" s="208"/>
    </row>
    <row r="243" spans="9:13" ht="13.8" x14ac:dyDescent="0.3">
      <c r="I243" s="207"/>
      <c r="J243" s="207"/>
      <c r="K243" s="207"/>
      <c r="L243" s="207"/>
      <c r="M243" s="208"/>
    </row>
    <row r="244" spans="9:13" ht="13.8" x14ac:dyDescent="0.3">
      <c r="I244" s="207"/>
      <c r="J244" s="207"/>
      <c r="K244" s="207"/>
      <c r="L244" s="207"/>
      <c r="M244" s="208"/>
    </row>
    <row r="245" spans="9:13" ht="13.8" x14ac:dyDescent="0.3">
      <c r="I245" s="207"/>
      <c r="J245" s="207"/>
      <c r="K245" s="207"/>
      <c r="L245" s="207"/>
      <c r="M245" s="208"/>
    </row>
    <row r="246" spans="9:13" ht="13.8" x14ac:dyDescent="0.3">
      <c r="I246" s="207"/>
      <c r="J246" s="207"/>
      <c r="K246" s="207"/>
      <c r="L246" s="207"/>
      <c r="M246" s="208"/>
    </row>
    <row r="247" spans="9:13" ht="13.8" x14ac:dyDescent="0.3">
      <c r="I247" s="207"/>
      <c r="J247" s="207"/>
      <c r="K247" s="207"/>
      <c r="L247" s="207"/>
      <c r="M247" s="208"/>
    </row>
    <row r="248" spans="9:13" ht="13.8" x14ac:dyDescent="0.3">
      <c r="I248" s="207"/>
      <c r="J248" s="207"/>
      <c r="K248" s="207"/>
      <c r="L248" s="207"/>
      <c r="M248" s="208"/>
    </row>
    <row r="249" spans="9:13" ht="13.8" x14ac:dyDescent="0.3">
      <c r="I249" s="207"/>
      <c r="J249" s="207"/>
      <c r="K249" s="207"/>
      <c r="L249" s="207"/>
      <c r="M249" s="208"/>
    </row>
    <row r="250" spans="9:13" ht="13.8" x14ac:dyDescent="0.3">
      <c r="I250" s="207"/>
      <c r="J250" s="207"/>
      <c r="K250" s="207"/>
      <c r="L250" s="207"/>
      <c r="M250" s="208"/>
    </row>
    <row r="251" spans="9:13" ht="13.8" x14ac:dyDescent="0.3">
      <c r="I251" s="207"/>
      <c r="J251" s="207"/>
      <c r="K251" s="207"/>
      <c r="L251" s="207"/>
      <c r="M251" s="208"/>
    </row>
    <row r="252" spans="9:13" ht="13.8" x14ac:dyDescent="0.3">
      <c r="I252" s="207"/>
      <c r="J252" s="207"/>
      <c r="K252" s="207"/>
      <c r="L252" s="207"/>
      <c r="M252" s="208"/>
    </row>
    <row r="253" spans="9:13" ht="13.8" x14ac:dyDescent="0.3">
      <c r="I253" s="207"/>
      <c r="J253" s="207"/>
      <c r="K253" s="207"/>
      <c r="L253" s="207"/>
      <c r="M253" s="208"/>
    </row>
    <row r="254" spans="9:13" ht="13.8" x14ac:dyDescent="0.3">
      <c r="I254" s="207"/>
      <c r="J254" s="207"/>
      <c r="K254" s="207"/>
      <c r="L254" s="207"/>
      <c r="M254" s="208"/>
    </row>
    <row r="255" spans="9:13" ht="13.8" x14ac:dyDescent="0.3">
      <c r="I255" s="207"/>
      <c r="J255" s="207"/>
      <c r="K255" s="207"/>
      <c r="L255" s="207"/>
      <c r="M255" s="208"/>
    </row>
    <row r="256" spans="9:13" ht="13.8" x14ac:dyDescent="0.3">
      <c r="I256" s="207"/>
      <c r="J256" s="207"/>
      <c r="K256" s="207"/>
      <c r="L256" s="207"/>
      <c r="M256" s="208"/>
    </row>
    <row r="257" spans="9:13" ht="13.8" x14ac:dyDescent="0.3">
      <c r="I257" s="207"/>
      <c r="J257" s="207"/>
      <c r="K257" s="207"/>
      <c r="L257" s="207"/>
      <c r="M257" s="208"/>
    </row>
    <row r="258" spans="9:13" ht="13.8" x14ac:dyDescent="0.3">
      <c r="I258" s="207"/>
      <c r="J258" s="207"/>
      <c r="K258" s="207"/>
      <c r="L258" s="207"/>
      <c r="M258" s="208"/>
    </row>
    <row r="259" spans="9:13" ht="13.8" x14ac:dyDescent="0.3">
      <c r="I259" s="207"/>
      <c r="J259" s="207"/>
      <c r="K259" s="207"/>
      <c r="L259" s="207"/>
      <c r="M259" s="208"/>
    </row>
    <row r="260" spans="9:13" ht="13.8" x14ac:dyDescent="0.3">
      <c r="I260" s="207"/>
      <c r="J260" s="207"/>
      <c r="K260" s="207"/>
      <c r="L260" s="207"/>
      <c r="M260" s="208"/>
    </row>
    <row r="261" spans="9:13" ht="13.8" x14ac:dyDescent="0.3">
      <c r="I261" s="207"/>
      <c r="J261" s="207"/>
      <c r="K261" s="207"/>
      <c r="L261" s="207"/>
      <c r="M261" s="208"/>
    </row>
    <row r="262" spans="9:13" ht="13.8" x14ac:dyDescent="0.3">
      <c r="I262" s="207"/>
      <c r="J262" s="207"/>
      <c r="K262" s="207"/>
      <c r="L262" s="207"/>
      <c r="M262" s="208"/>
    </row>
    <row r="263" spans="9:13" ht="13.8" x14ac:dyDescent="0.3">
      <c r="I263" s="207"/>
      <c r="J263" s="207"/>
      <c r="K263" s="207"/>
      <c r="L263" s="207"/>
      <c r="M263" s="208"/>
    </row>
    <row r="264" spans="9:13" ht="13.8" x14ac:dyDescent="0.3">
      <c r="I264" s="207"/>
      <c r="J264" s="207"/>
      <c r="K264" s="207"/>
      <c r="L264" s="207"/>
      <c r="M264" s="208"/>
    </row>
    <row r="265" spans="9:13" ht="13.8" x14ac:dyDescent="0.3">
      <c r="I265" s="207"/>
      <c r="J265" s="207"/>
      <c r="K265" s="207"/>
      <c r="L265" s="207"/>
      <c r="M265" s="208"/>
    </row>
    <row r="266" spans="9:13" ht="13.8" x14ac:dyDescent="0.3">
      <c r="I266" s="207"/>
      <c r="J266" s="207"/>
      <c r="K266" s="207"/>
      <c r="L266" s="207"/>
      <c r="M266" s="208"/>
    </row>
    <row r="267" spans="9:13" ht="13.8" x14ac:dyDescent="0.3">
      <c r="I267" s="207"/>
      <c r="J267" s="207"/>
      <c r="K267" s="207"/>
      <c r="L267" s="207"/>
      <c r="M267" s="208"/>
    </row>
    <row r="268" spans="9:13" ht="13.8" x14ac:dyDescent="0.3">
      <c r="I268" s="207"/>
      <c r="J268" s="207"/>
      <c r="K268" s="207"/>
      <c r="L268" s="207"/>
      <c r="M268" s="208"/>
    </row>
    <row r="269" spans="9:13" ht="13.8" x14ac:dyDescent="0.3">
      <c r="I269" s="207"/>
      <c r="J269" s="207"/>
      <c r="K269" s="207"/>
      <c r="L269" s="207"/>
      <c r="M269" s="208"/>
    </row>
    <row r="270" spans="9:13" ht="13.8" x14ac:dyDescent="0.3">
      <c r="I270" s="207"/>
      <c r="J270" s="207"/>
      <c r="K270" s="207"/>
      <c r="L270" s="207"/>
      <c r="M270" s="208"/>
    </row>
    <row r="271" spans="9:13" ht="13.8" x14ac:dyDescent="0.3">
      <c r="I271" s="207"/>
      <c r="J271" s="207"/>
      <c r="K271" s="207"/>
      <c r="L271" s="207"/>
      <c r="M271" s="208"/>
    </row>
    <row r="272" spans="9:13" ht="13.8" x14ac:dyDescent="0.3">
      <c r="I272" s="207"/>
      <c r="J272" s="207"/>
      <c r="K272" s="207"/>
      <c r="L272" s="207"/>
      <c r="M272" s="208"/>
    </row>
    <row r="273" spans="9:13" ht="13.8" x14ac:dyDescent="0.3">
      <c r="I273" s="207"/>
      <c r="J273" s="207"/>
      <c r="K273" s="207"/>
      <c r="L273" s="207"/>
      <c r="M273" s="208"/>
    </row>
    <row r="274" spans="9:13" ht="13.8" x14ac:dyDescent="0.3">
      <c r="I274" s="207"/>
      <c r="J274" s="207"/>
      <c r="K274" s="207"/>
      <c r="L274" s="207"/>
      <c r="M274" s="208"/>
    </row>
    <row r="275" spans="9:13" ht="13.8" x14ac:dyDescent="0.3">
      <c r="I275" s="207"/>
      <c r="J275" s="207"/>
      <c r="K275" s="207"/>
      <c r="L275" s="207"/>
      <c r="M275" s="208"/>
    </row>
    <row r="276" spans="9:13" ht="13.8" x14ac:dyDescent="0.3">
      <c r="I276" s="207"/>
      <c r="J276" s="207"/>
      <c r="K276" s="207"/>
      <c r="L276" s="207"/>
      <c r="M276" s="208"/>
    </row>
    <row r="277" spans="9:13" ht="13.8" x14ac:dyDescent="0.3">
      <c r="I277" s="207"/>
      <c r="J277" s="207"/>
      <c r="K277" s="207"/>
      <c r="L277" s="207"/>
      <c r="M277" s="208"/>
    </row>
    <row r="278" spans="9:13" ht="13.8" x14ac:dyDescent="0.3">
      <c r="I278" s="207"/>
      <c r="J278" s="207"/>
      <c r="K278" s="207"/>
      <c r="L278" s="207"/>
      <c r="M278" s="208"/>
    </row>
    <row r="279" spans="9:13" ht="13.8" x14ac:dyDescent="0.3">
      <c r="I279" s="207"/>
      <c r="J279" s="207"/>
      <c r="K279" s="207"/>
      <c r="L279" s="207"/>
      <c r="M279" s="208"/>
    </row>
    <row r="280" spans="9:13" ht="13.8" x14ac:dyDescent="0.3">
      <c r="I280" s="207"/>
      <c r="J280" s="207"/>
      <c r="K280" s="207"/>
      <c r="L280" s="207"/>
      <c r="M280" s="208"/>
    </row>
    <row r="281" spans="9:13" ht="13.8" x14ac:dyDescent="0.3">
      <c r="I281" s="207"/>
      <c r="J281" s="207"/>
      <c r="K281" s="207"/>
      <c r="L281" s="207"/>
      <c r="M281" s="208"/>
    </row>
    <row r="282" spans="9:13" ht="13.8" x14ac:dyDescent="0.3">
      <c r="I282" s="207"/>
      <c r="J282" s="207"/>
      <c r="K282" s="207"/>
      <c r="L282" s="207"/>
      <c r="M282" s="208"/>
    </row>
    <row r="283" spans="9:13" ht="13.8" x14ac:dyDescent="0.3">
      <c r="I283" s="207"/>
      <c r="J283" s="207"/>
      <c r="K283" s="207"/>
      <c r="L283" s="207"/>
      <c r="M283" s="208"/>
    </row>
    <row r="284" spans="9:13" ht="13.8" x14ac:dyDescent="0.3">
      <c r="I284" s="207"/>
      <c r="J284" s="207"/>
      <c r="K284" s="207"/>
      <c r="L284" s="207"/>
      <c r="M284" s="208"/>
    </row>
    <row r="285" spans="9:13" ht="13.8" x14ac:dyDescent="0.3">
      <c r="I285" s="207"/>
      <c r="J285" s="207"/>
      <c r="K285" s="207"/>
      <c r="L285" s="207"/>
      <c r="M285" s="208"/>
    </row>
    <row r="286" spans="9:13" ht="13.8" x14ac:dyDescent="0.3">
      <c r="I286" s="207"/>
      <c r="J286" s="207"/>
      <c r="K286" s="207"/>
      <c r="L286" s="207"/>
      <c r="M286" s="208"/>
    </row>
    <row r="287" spans="9:13" ht="13.8" x14ac:dyDescent="0.3">
      <c r="I287" s="207"/>
      <c r="J287" s="207"/>
      <c r="K287" s="207"/>
      <c r="L287" s="207"/>
      <c r="M287" s="208"/>
    </row>
    <row r="288" spans="9:13" ht="13.8" x14ac:dyDescent="0.3">
      <c r="I288" s="207"/>
      <c r="J288" s="207"/>
      <c r="K288" s="207"/>
      <c r="L288" s="207"/>
      <c r="M288" s="208"/>
    </row>
    <row r="289" spans="9:13" ht="13.8" x14ac:dyDescent="0.3">
      <c r="I289" s="207"/>
      <c r="J289" s="207"/>
      <c r="K289" s="207"/>
      <c r="L289" s="207"/>
      <c r="M289" s="208"/>
    </row>
    <row r="290" spans="9:13" ht="13.8" x14ac:dyDescent="0.3">
      <c r="I290" s="207"/>
      <c r="J290" s="207"/>
      <c r="K290" s="207"/>
      <c r="L290" s="207"/>
      <c r="M290" s="208"/>
    </row>
    <row r="291" spans="9:13" ht="13.8" x14ac:dyDescent="0.3">
      <c r="I291" s="207"/>
      <c r="J291" s="207"/>
      <c r="K291" s="207"/>
      <c r="L291" s="207"/>
      <c r="M291" s="208"/>
    </row>
    <row r="292" spans="9:13" ht="13.8" x14ac:dyDescent="0.3">
      <c r="I292" s="207"/>
      <c r="J292" s="207"/>
      <c r="K292" s="207"/>
      <c r="L292" s="207"/>
      <c r="M292" s="208"/>
    </row>
    <row r="293" spans="9:13" ht="13.8" x14ac:dyDescent="0.3">
      <c r="I293" s="207"/>
      <c r="J293" s="207"/>
      <c r="K293" s="207"/>
      <c r="L293" s="207"/>
      <c r="M293" s="208"/>
    </row>
    <row r="294" spans="9:13" ht="13.8" x14ac:dyDescent="0.3">
      <c r="I294" s="207"/>
      <c r="J294" s="207"/>
      <c r="K294" s="207"/>
      <c r="L294" s="207"/>
      <c r="M294" s="208"/>
    </row>
    <row r="295" spans="9:13" ht="13.8" x14ac:dyDescent="0.3">
      <c r="I295" s="207"/>
      <c r="J295" s="207"/>
      <c r="K295" s="207"/>
      <c r="L295" s="207"/>
      <c r="M295" s="208"/>
    </row>
    <row r="296" spans="9:13" ht="13.8" x14ac:dyDescent="0.3">
      <c r="I296" s="207"/>
      <c r="J296" s="207"/>
      <c r="K296" s="207"/>
      <c r="L296" s="207"/>
      <c r="M296" s="208"/>
    </row>
    <row r="297" spans="9:13" ht="13.8" x14ac:dyDescent="0.3">
      <c r="I297" s="207"/>
      <c r="J297" s="207"/>
      <c r="K297" s="207"/>
      <c r="L297" s="207"/>
      <c r="M297" s="208"/>
    </row>
    <row r="298" spans="9:13" ht="13.8" x14ac:dyDescent="0.3">
      <c r="I298" s="207"/>
      <c r="J298" s="207"/>
      <c r="K298" s="207"/>
      <c r="L298" s="207"/>
      <c r="M298" s="208"/>
    </row>
    <row r="299" spans="9:13" ht="13.8" x14ac:dyDescent="0.3">
      <c r="I299" s="207"/>
      <c r="J299" s="207"/>
      <c r="K299" s="207"/>
      <c r="L299" s="207"/>
      <c r="M299" s="208"/>
    </row>
    <row r="300" spans="9:13" ht="13.8" x14ac:dyDescent="0.3">
      <c r="I300" s="207"/>
      <c r="J300" s="207"/>
      <c r="K300" s="207"/>
      <c r="L300" s="207"/>
      <c r="M300" s="208"/>
    </row>
    <row r="301" spans="9:13" ht="13.8" x14ac:dyDescent="0.3">
      <c r="I301" s="207"/>
      <c r="J301" s="207"/>
      <c r="K301" s="207"/>
      <c r="L301" s="207"/>
      <c r="M301" s="208"/>
    </row>
    <row r="302" spans="9:13" ht="13.8" x14ac:dyDescent="0.3">
      <c r="I302" s="207"/>
      <c r="J302" s="207"/>
      <c r="K302" s="207"/>
      <c r="L302" s="207"/>
      <c r="M302" s="208"/>
    </row>
    <row r="303" spans="9:13" ht="13.8" x14ac:dyDescent="0.3">
      <c r="I303" s="207"/>
      <c r="J303" s="207"/>
      <c r="K303" s="207"/>
      <c r="L303" s="207"/>
      <c r="M303" s="208"/>
    </row>
    <row r="304" spans="9:13" ht="13.8" x14ac:dyDescent="0.3">
      <c r="I304" s="207"/>
      <c r="J304" s="207"/>
      <c r="K304" s="207"/>
      <c r="L304" s="207"/>
      <c r="M304" s="208"/>
    </row>
    <row r="305" spans="9:13" ht="13.8" x14ac:dyDescent="0.3">
      <c r="I305" s="207"/>
      <c r="J305" s="207"/>
      <c r="K305" s="207"/>
      <c r="L305" s="207"/>
      <c r="M305" s="208"/>
    </row>
    <row r="306" spans="9:13" ht="13.8" x14ac:dyDescent="0.3">
      <c r="I306" s="207"/>
      <c r="J306" s="207"/>
      <c r="K306" s="207"/>
      <c r="L306" s="207"/>
      <c r="M306" s="208"/>
    </row>
    <row r="307" spans="9:13" ht="13.8" x14ac:dyDescent="0.3">
      <c r="I307" s="207"/>
      <c r="J307" s="207"/>
      <c r="K307" s="207"/>
      <c r="L307" s="207"/>
      <c r="M307" s="208"/>
    </row>
    <row r="308" spans="9:13" ht="13.8" x14ac:dyDescent="0.3">
      <c r="I308" s="207"/>
      <c r="J308" s="207"/>
      <c r="K308" s="207"/>
      <c r="L308" s="207"/>
      <c r="M308" s="208"/>
    </row>
    <row r="309" spans="9:13" ht="13.8" x14ac:dyDescent="0.3">
      <c r="I309" s="207"/>
      <c r="J309" s="207"/>
      <c r="K309" s="207"/>
      <c r="L309" s="207"/>
      <c r="M309" s="208"/>
    </row>
    <row r="310" spans="9:13" ht="13.8" x14ac:dyDescent="0.3">
      <c r="I310" s="207"/>
      <c r="J310" s="207"/>
      <c r="K310" s="207"/>
      <c r="L310" s="207"/>
      <c r="M310" s="208"/>
    </row>
    <row r="311" spans="9:13" ht="13.8" x14ac:dyDescent="0.3">
      <c r="I311" s="207"/>
      <c r="J311" s="207"/>
      <c r="K311" s="207"/>
      <c r="L311" s="207"/>
      <c r="M311" s="208"/>
    </row>
    <row r="312" spans="9:13" ht="13.8" x14ac:dyDescent="0.3">
      <c r="I312" s="207"/>
      <c r="J312" s="207"/>
      <c r="K312" s="207"/>
      <c r="L312" s="207"/>
      <c r="M312" s="208"/>
    </row>
    <row r="313" spans="9:13" ht="13.8" x14ac:dyDescent="0.3">
      <c r="I313" s="207"/>
      <c r="J313" s="207"/>
      <c r="K313" s="207"/>
      <c r="L313" s="207"/>
      <c r="M313" s="208"/>
    </row>
    <row r="314" spans="9:13" ht="13.8" x14ac:dyDescent="0.3">
      <c r="I314" s="207"/>
      <c r="J314" s="207"/>
      <c r="K314" s="207"/>
      <c r="L314" s="207"/>
      <c r="M314" s="208"/>
    </row>
    <row r="315" spans="9:13" ht="13.8" x14ac:dyDescent="0.3">
      <c r="I315" s="207"/>
      <c r="J315" s="207"/>
      <c r="K315" s="207"/>
      <c r="L315" s="207"/>
      <c r="M315" s="208"/>
    </row>
    <row r="316" spans="9:13" ht="13.8" x14ac:dyDescent="0.3">
      <c r="I316" s="207"/>
      <c r="J316" s="207"/>
      <c r="K316" s="207"/>
      <c r="L316" s="207"/>
      <c r="M316" s="208"/>
    </row>
    <row r="317" spans="9:13" ht="13.8" x14ac:dyDescent="0.3">
      <c r="I317" s="207"/>
      <c r="J317" s="207"/>
      <c r="K317" s="207"/>
      <c r="L317" s="207"/>
      <c r="M317" s="208"/>
    </row>
    <row r="318" spans="9:13" ht="13.8" x14ac:dyDescent="0.3">
      <c r="I318" s="207"/>
      <c r="J318" s="207"/>
      <c r="K318" s="207"/>
      <c r="L318" s="207"/>
      <c r="M318" s="208"/>
    </row>
    <row r="319" spans="9:13" ht="13.8" x14ac:dyDescent="0.3">
      <c r="I319" s="207"/>
      <c r="J319" s="207"/>
      <c r="K319" s="207"/>
      <c r="L319" s="207"/>
      <c r="M319" s="208"/>
    </row>
    <row r="320" spans="9:13" ht="13.8" x14ac:dyDescent="0.3">
      <c r="I320" s="207"/>
      <c r="J320" s="207"/>
      <c r="K320" s="207"/>
      <c r="L320" s="207"/>
      <c r="M320" s="208"/>
    </row>
    <row r="321" spans="9:13" ht="13.8" x14ac:dyDescent="0.3">
      <c r="I321" s="207"/>
      <c r="J321" s="207"/>
      <c r="K321" s="207"/>
      <c r="L321" s="207"/>
      <c r="M321" s="208"/>
    </row>
    <row r="322" spans="9:13" ht="13.8" x14ac:dyDescent="0.3">
      <c r="I322" s="207"/>
      <c r="J322" s="207"/>
      <c r="K322" s="207"/>
      <c r="L322" s="207"/>
      <c r="M322" s="208"/>
    </row>
    <row r="323" spans="9:13" ht="13.8" x14ac:dyDescent="0.3">
      <c r="I323" s="207"/>
      <c r="J323" s="207"/>
      <c r="K323" s="207"/>
      <c r="L323" s="207"/>
      <c r="M323" s="208"/>
    </row>
    <row r="324" spans="9:13" ht="13.8" x14ac:dyDescent="0.3">
      <c r="I324" s="207"/>
      <c r="J324" s="207"/>
      <c r="K324" s="207"/>
      <c r="L324" s="207"/>
      <c r="M324" s="208"/>
    </row>
    <row r="325" spans="9:13" ht="13.8" x14ac:dyDescent="0.3">
      <c r="I325" s="207"/>
      <c r="J325" s="207"/>
      <c r="K325" s="207"/>
      <c r="L325" s="207"/>
      <c r="M325" s="208"/>
    </row>
    <row r="326" spans="9:13" ht="13.8" x14ac:dyDescent="0.3">
      <c r="I326" s="207"/>
      <c r="J326" s="207"/>
      <c r="K326" s="207"/>
      <c r="L326" s="207"/>
      <c r="M326" s="208"/>
    </row>
    <row r="327" spans="9:13" ht="13.8" x14ac:dyDescent="0.3">
      <c r="I327" s="207"/>
      <c r="J327" s="207"/>
      <c r="K327" s="207"/>
      <c r="L327" s="207"/>
      <c r="M327" s="208"/>
    </row>
    <row r="328" spans="9:13" ht="13.8" x14ac:dyDescent="0.3">
      <c r="I328" s="207"/>
      <c r="J328" s="207"/>
      <c r="K328" s="207"/>
      <c r="L328" s="207"/>
      <c r="M328" s="208"/>
    </row>
    <row r="329" spans="9:13" ht="13.8" x14ac:dyDescent="0.3">
      <c r="I329" s="207"/>
      <c r="J329" s="207"/>
      <c r="K329" s="207"/>
      <c r="L329" s="207"/>
      <c r="M329" s="208"/>
    </row>
    <row r="330" spans="9:13" ht="13.8" x14ac:dyDescent="0.3">
      <c r="I330" s="207"/>
      <c r="J330" s="207"/>
      <c r="K330" s="207"/>
      <c r="L330" s="207"/>
      <c r="M330" s="208"/>
    </row>
    <row r="331" spans="9:13" ht="13.8" x14ac:dyDescent="0.3">
      <c r="I331" s="207"/>
      <c r="J331" s="207"/>
      <c r="K331" s="207"/>
      <c r="L331" s="207"/>
      <c r="M331" s="208"/>
    </row>
    <row r="332" spans="9:13" ht="13.8" x14ac:dyDescent="0.3">
      <c r="I332" s="207"/>
      <c r="J332" s="207"/>
      <c r="K332" s="207"/>
      <c r="L332" s="207"/>
      <c r="M332" s="208"/>
    </row>
    <row r="333" spans="9:13" ht="13.8" x14ac:dyDescent="0.3">
      <c r="I333" s="207"/>
      <c r="J333" s="207"/>
      <c r="K333" s="207"/>
      <c r="L333" s="207"/>
      <c r="M333" s="208"/>
    </row>
    <row r="334" spans="9:13" ht="13.8" x14ac:dyDescent="0.3">
      <c r="I334" s="207"/>
      <c r="J334" s="207"/>
      <c r="K334" s="207"/>
      <c r="L334" s="207"/>
      <c r="M334" s="208"/>
    </row>
    <row r="335" spans="9:13" ht="13.8" x14ac:dyDescent="0.3">
      <c r="I335" s="207"/>
      <c r="J335" s="207"/>
      <c r="K335" s="207"/>
      <c r="L335" s="207"/>
      <c r="M335" s="208"/>
    </row>
    <row r="336" spans="9:13" ht="13.8" x14ac:dyDescent="0.3">
      <c r="I336" s="207"/>
      <c r="J336" s="207"/>
      <c r="K336" s="207"/>
      <c r="L336" s="207"/>
      <c r="M336" s="208"/>
    </row>
    <row r="337" spans="9:13" ht="13.8" x14ac:dyDescent="0.3">
      <c r="I337" s="207"/>
      <c r="J337" s="207"/>
      <c r="K337" s="207"/>
      <c r="L337" s="207"/>
      <c r="M337" s="208"/>
    </row>
    <row r="338" spans="9:13" ht="13.8" x14ac:dyDescent="0.3">
      <c r="I338" s="207"/>
      <c r="J338" s="207"/>
      <c r="K338" s="207"/>
      <c r="L338" s="207"/>
      <c r="M338" s="208"/>
    </row>
    <row r="339" spans="9:13" ht="13.8" x14ac:dyDescent="0.3">
      <c r="I339" s="207"/>
      <c r="J339" s="207"/>
      <c r="K339" s="207"/>
      <c r="L339" s="207"/>
      <c r="M339" s="208"/>
    </row>
    <row r="340" spans="9:13" ht="13.8" x14ac:dyDescent="0.3">
      <c r="I340" s="207"/>
      <c r="J340" s="207"/>
      <c r="K340" s="207"/>
      <c r="L340" s="207"/>
      <c r="M340" s="208"/>
    </row>
    <row r="341" spans="9:13" ht="13.8" x14ac:dyDescent="0.3">
      <c r="I341" s="207"/>
      <c r="J341" s="207"/>
      <c r="K341" s="207"/>
      <c r="L341" s="207"/>
      <c r="M341" s="208"/>
    </row>
    <row r="342" spans="9:13" ht="13.8" x14ac:dyDescent="0.3">
      <c r="I342" s="207"/>
      <c r="J342" s="207"/>
      <c r="K342" s="207"/>
      <c r="L342" s="207"/>
      <c r="M342" s="208"/>
    </row>
    <row r="343" spans="9:13" ht="13.8" x14ac:dyDescent="0.3">
      <c r="I343" s="207"/>
      <c r="J343" s="207"/>
      <c r="K343" s="207"/>
      <c r="L343" s="207"/>
      <c r="M343" s="208"/>
    </row>
    <row r="344" spans="9:13" ht="13.8" x14ac:dyDescent="0.3">
      <c r="I344" s="207"/>
      <c r="J344" s="207"/>
      <c r="K344" s="207"/>
      <c r="L344" s="207"/>
      <c r="M344" s="208"/>
    </row>
    <row r="345" spans="9:13" ht="13.8" x14ac:dyDescent="0.3">
      <c r="I345" s="207"/>
      <c r="J345" s="207"/>
      <c r="K345" s="207"/>
      <c r="L345" s="207"/>
      <c r="M345" s="208"/>
    </row>
    <row r="346" spans="9:13" ht="13.8" x14ac:dyDescent="0.3">
      <c r="I346" s="207"/>
      <c r="J346" s="207"/>
      <c r="K346" s="207"/>
      <c r="L346" s="207"/>
      <c r="M346" s="208"/>
    </row>
    <row r="347" spans="9:13" ht="13.8" x14ac:dyDescent="0.3">
      <c r="I347" s="207"/>
      <c r="J347" s="207"/>
      <c r="K347" s="207"/>
      <c r="L347" s="207"/>
      <c r="M347" s="208"/>
    </row>
    <row r="348" spans="9:13" ht="13.8" x14ac:dyDescent="0.3">
      <c r="I348" s="207"/>
      <c r="J348" s="207"/>
      <c r="K348" s="207"/>
      <c r="L348" s="207"/>
      <c r="M348" s="208"/>
    </row>
    <row r="349" spans="9:13" ht="13.8" x14ac:dyDescent="0.3">
      <c r="I349" s="207"/>
      <c r="J349" s="207"/>
      <c r="K349" s="207"/>
      <c r="L349" s="207"/>
      <c r="M349" s="208"/>
    </row>
    <row r="350" spans="9:13" ht="13.8" x14ac:dyDescent="0.3">
      <c r="I350" s="207"/>
      <c r="J350" s="207"/>
      <c r="K350" s="207"/>
      <c r="L350" s="207"/>
      <c r="M350" s="208"/>
    </row>
    <row r="351" spans="9:13" ht="13.8" x14ac:dyDescent="0.3">
      <c r="I351" s="207"/>
      <c r="J351" s="207"/>
      <c r="K351" s="207"/>
      <c r="L351" s="207"/>
      <c r="M351" s="208"/>
    </row>
    <row r="352" spans="9:13" ht="13.8" x14ac:dyDescent="0.3">
      <c r="I352" s="207"/>
      <c r="J352" s="207"/>
      <c r="K352" s="207"/>
      <c r="L352" s="207"/>
      <c r="M352" s="208"/>
    </row>
    <row r="353" spans="9:13" ht="13.8" x14ac:dyDescent="0.3">
      <c r="I353" s="207"/>
      <c r="J353" s="207"/>
      <c r="K353" s="207"/>
      <c r="L353" s="207"/>
      <c r="M353" s="208"/>
    </row>
    <row r="354" spans="9:13" ht="13.8" x14ac:dyDescent="0.3">
      <c r="I354" s="207"/>
      <c r="J354" s="207"/>
      <c r="K354" s="207"/>
      <c r="L354" s="207"/>
      <c r="M354" s="208"/>
    </row>
    <row r="355" spans="9:13" ht="13.8" x14ac:dyDescent="0.3">
      <c r="I355" s="207"/>
      <c r="J355" s="207"/>
      <c r="K355" s="207"/>
      <c r="L355" s="207"/>
      <c r="M355" s="208"/>
    </row>
    <row r="356" spans="9:13" ht="13.8" x14ac:dyDescent="0.3">
      <c r="I356" s="207"/>
      <c r="J356" s="207"/>
      <c r="K356" s="207"/>
      <c r="L356" s="207"/>
      <c r="M356" s="208"/>
    </row>
    <row r="357" spans="9:13" ht="13.8" x14ac:dyDescent="0.3">
      <c r="I357" s="207"/>
      <c r="J357" s="207"/>
      <c r="K357" s="207"/>
      <c r="L357" s="207"/>
      <c r="M357" s="208"/>
    </row>
    <row r="358" spans="9:13" ht="13.8" x14ac:dyDescent="0.3">
      <c r="I358" s="207"/>
      <c r="J358" s="207"/>
      <c r="K358" s="207"/>
      <c r="L358" s="207"/>
      <c r="M358" s="208"/>
    </row>
    <row r="359" spans="9:13" ht="13.8" x14ac:dyDescent="0.3">
      <c r="I359" s="207"/>
      <c r="J359" s="207"/>
      <c r="K359" s="207"/>
      <c r="L359" s="207"/>
      <c r="M359" s="208"/>
    </row>
    <row r="360" spans="9:13" ht="13.8" x14ac:dyDescent="0.3">
      <c r="I360" s="207"/>
      <c r="J360" s="207"/>
      <c r="K360" s="207"/>
      <c r="L360" s="207"/>
      <c r="M360" s="208"/>
    </row>
    <row r="361" spans="9:13" ht="13.8" x14ac:dyDescent="0.3">
      <c r="I361" s="207"/>
      <c r="J361" s="207"/>
      <c r="K361" s="207"/>
      <c r="L361" s="207"/>
      <c r="M361" s="208"/>
    </row>
    <row r="362" spans="9:13" ht="13.8" x14ac:dyDescent="0.3">
      <c r="I362" s="207"/>
      <c r="J362" s="207"/>
      <c r="K362" s="207"/>
      <c r="L362" s="207"/>
      <c r="M362" s="208"/>
    </row>
    <row r="363" spans="9:13" ht="13.8" x14ac:dyDescent="0.3">
      <c r="I363" s="207"/>
      <c r="J363" s="207"/>
      <c r="K363" s="207"/>
      <c r="L363" s="207"/>
      <c r="M363" s="208"/>
    </row>
    <row r="364" spans="9:13" ht="13.8" x14ac:dyDescent="0.3">
      <c r="I364" s="207"/>
      <c r="J364" s="207"/>
      <c r="K364" s="207"/>
      <c r="L364" s="207"/>
      <c r="M364" s="208"/>
    </row>
    <row r="365" spans="9:13" ht="13.8" x14ac:dyDescent="0.3">
      <c r="I365" s="207"/>
      <c r="J365" s="207"/>
      <c r="K365" s="207"/>
      <c r="L365" s="207"/>
      <c r="M365" s="208"/>
    </row>
    <row r="366" spans="9:13" ht="13.8" x14ac:dyDescent="0.3">
      <c r="I366" s="207"/>
      <c r="J366" s="207"/>
      <c r="K366" s="207"/>
      <c r="L366" s="207"/>
      <c r="M366" s="208"/>
    </row>
    <row r="367" spans="9:13" ht="13.8" x14ac:dyDescent="0.3">
      <c r="I367" s="207"/>
      <c r="J367" s="207"/>
      <c r="K367" s="207"/>
      <c r="L367" s="207"/>
      <c r="M367" s="208"/>
    </row>
    <row r="368" spans="9:13" ht="13.8" x14ac:dyDescent="0.3">
      <c r="I368" s="207"/>
      <c r="J368" s="207"/>
      <c r="K368" s="207"/>
      <c r="L368" s="207"/>
      <c r="M368" s="208"/>
    </row>
    <row r="369" spans="9:13" ht="13.8" x14ac:dyDescent="0.3">
      <c r="I369" s="207"/>
      <c r="J369" s="207"/>
      <c r="K369" s="207"/>
      <c r="L369" s="207"/>
      <c r="M369" s="208"/>
    </row>
    <row r="370" spans="9:13" ht="13.8" x14ac:dyDescent="0.3">
      <c r="I370" s="207"/>
      <c r="J370" s="207"/>
      <c r="K370" s="207"/>
      <c r="L370" s="207"/>
      <c r="M370" s="208"/>
    </row>
    <row r="371" spans="9:13" ht="13.8" x14ac:dyDescent="0.3">
      <c r="I371" s="207"/>
      <c r="J371" s="207"/>
      <c r="K371" s="207"/>
      <c r="L371" s="207"/>
      <c r="M371" s="208"/>
    </row>
    <row r="372" spans="9:13" ht="13.8" x14ac:dyDescent="0.3">
      <c r="I372" s="207"/>
      <c r="J372" s="207"/>
      <c r="K372" s="207"/>
      <c r="L372" s="207"/>
      <c r="M372" s="208"/>
    </row>
    <row r="373" spans="9:13" ht="13.8" x14ac:dyDescent="0.3">
      <c r="I373" s="207"/>
      <c r="J373" s="207"/>
      <c r="K373" s="207"/>
      <c r="L373" s="207"/>
      <c r="M373" s="208"/>
    </row>
    <row r="374" spans="9:13" ht="13.8" x14ac:dyDescent="0.3">
      <c r="I374" s="207"/>
      <c r="J374" s="207"/>
      <c r="K374" s="207"/>
      <c r="L374" s="207"/>
      <c r="M374" s="208"/>
    </row>
    <row r="375" spans="9:13" ht="13.8" x14ac:dyDescent="0.3">
      <c r="I375" s="207"/>
      <c r="J375" s="207"/>
      <c r="K375" s="207"/>
      <c r="L375" s="207"/>
      <c r="M375" s="208"/>
    </row>
    <row r="376" spans="9:13" ht="13.8" x14ac:dyDescent="0.3">
      <c r="I376" s="207"/>
      <c r="J376" s="207"/>
      <c r="K376" s="207"/>
      <c r="L376" s="207"/>
      <c r="M376" s="208"/>
    </row>
    <row r="377" spans="9:13" ht="13.8" x14ac:dyDescent="0.3">
      <c r="I377" s="207"/>
      <c r="J377" s="207"/>
      <c r="K377" s="207"/>
      <c r="L377" s="207"/>
      <c r="M377" s="208"/>
    </row>
    <row r="378" spans="9:13" ht="13.8" x14ac:dyDescent="0.3">
      <c r="I378" s="207"/>
      <c r="J378" s="207"/>
      <c r="K378" s="207"/>
      <c r="L378" s="207"/>
      <c r="M378" s="208"/>
    </row>
    <row r="379" spans="9:13" ht="13.8" x14ac:dyDescent="0.3">
      <c r="I379" s="207"/>
      <c r="J379" s="207"/>
      <c r="K379" s="207"/>
      <c r="L379" s="207"/>
      <c r="M379" s="208"/>
    </row>
    <row r="380" spans="9:13" ht="13.8" x14ac:dyDescent="0.3">
      <c r="I380" s="207"/>
      <c r="J380" s="207"/>
      <c r="K380" s="207"/>
      <c r="L380" s="207"/>
      <c r="M380" s="208"/>
    </row>
    <row r="381" spans="9:13" ht="13.8" x14ac:dyDescent="0.3">
      <c r="I381" s="207"/>
      <c r="J381" s="207"/>
      <c r="K381" s="207"/>
      <c r="L381" s="207"/>
      <c r="M381" s="208"/>
    </row>
    <row r="382" spans="9:13" ht="13.8" x14ac:dyDescent="0.3">
      <c r="I382" s="207"/>
      <c r="J382" s="207"/>
      <c r="K382" s="207"/>
      <c r="L382" s="207"/>
      <c r="M382" s="208"/>
    </row>
    <row r="383" spans="9:13" ht="13.8" x14ac:dyDescent="0.3">
      <c r="I383" s="207"/>
      <c r="J383" s="207"/>
      <c r="K383" s="207"/>
      <c r="L383" s="207"/>
      <c r="M383" s="208"/>
    </row>
    <row r="384" spans="9:13" ht="13.8" x14ac:dyDescent="0.3">
      <c r="I384" s="207"/>
      <c r="J384" s="207"/>
      <c r="K384" s="207"/>
      <c r="L384" s="207"/>
      <c r="M384" s="208"/>
    </row>
    <row r="385" spans="9:13" ht="13.8" x14ac:dyDescent="0.3">
      <c r="I385" s="207"/>
      <c r="J385" s="207"/>
      <c r="K385" s="207"/>
      <c r="L385" s="207"/>
      <c r="M385" s="208"/>
    </row>
    <row r="386" spans="9:13" ht="13.8" x14ac:dyDescent="0.3">
      <c r="I386" s="207"/>
      <c r="J386" s="207"/>
      <c r="K386" s="207"/>
      <c r="L386" s="207"/>
      <c r="M386" s="208"/>
    </row>
    <row r="387" spans="9:13" ht="13.8" x14ac:dyDescent="0.3">
      <c r="I387" s="207"/>
      <c r="J387" s="207"/>
      <c r="K387" s="207"/>
      <c r="L387" s="207"/>
      <c r="M387" s="208"/>
    </row>
    <row r="388" spans="9:13" ht="13.8" x14ac:dyDescent="0.3">
      <c r="I388" s="207"/>
      <c r="J388" s="207"/>
      <c r="K388" s="207"/>
      <c r="L388" s="207"/>
      <c r="M388" s="208"/>
    </row>
    <row r="389" spans="9:13" ht="13.8" x14ac:dyDescent="0.3">
      <c r="I389" s="207"/>
      <c r="J389" s="207"/>
      <c r="K389" s="207"/>
      <c r="L389" s="207"/>
      <c r="M389" s="208"/>
    </row>
    <row r="390" spans="9:13" ht="13.8" x14ac:dyDescent="0.3">
      <c r="I390" s="207"/>
      <c r="J390" s="207"/>
      <c r="K390" s="207"/>
      <c r="L390" s="207"/>
      <c r="M390" s="208"/>
    </row>
    <row r="391" spans="9:13" ht="13.8" x14ac:dyDescent="0.3">
      <c r="I391" s="207"/>
      <c r="J391" s="207"/>
      <c r="K391" s="207"/>
      <c r="L391" s="207"/>
      <c r="M391" s="208"/>
    </row>
    <row r="392" spans="9:13" ht="13.8" x14ac:dyDescent="0.3">
      <c r="I392" s="207"/>
      <c r="J392" s="207"/>
      <c r="K392" s="207"/>
      <c r="L392" s="207"/>
      <c r="M392" s="208"/>
    </row>
    <row r="393" spans="9:13" ht="13.8" x14ac:dyDescent="0.3">
      <c r="I393" s="207"/>
      <c r="J393" s="207"/>
      <c r="K393" s="207"/>
      <c r="L393" s="207"/>
      <c r="M393" s="208"/>
    </row>
    <row r="394" spans="9:13" ht="13.8" x14ac:dyDescent="0.3">
      <c r="I394" s="207"/>
      <c r="J394" s="207"/>
      <c r="K394" s="207"/>
      <c r="L394" s="207"/>
      <c r="M394" s="208"/>
    </row>
    <row r="395" spans="9:13" ht="13.8" x14ac:dyDescent="0.3">
      <c r="I395" s="207"/>
      <c r="J395" s="207"/>
      <c r="K395" s="207"/>
      <c r="L395" s="207"/>
      <c r="M395" s="208"/>
    </row>
    <row r="396" spans="9:13" ht="13.8" x14ac:dyDescent="0.3">
      <c r="I396" s="207"/>
      <c r="J396" s="207"/>
      <c r="K396" s="207"/>
      <c r="L396" s="207"/>
      <c r="M396" s="208"/>
    </row>
    <row r="397" spans="9:13" ht="13.8" x14ac:dyDescent="0.3">
      <c r="I397" s="207"/>
      <c r="J397" s="207"/>
      <c r="K397" s="207"/>
      <c r="L397" s="207"/>
      <c r="M397" s="208"/>
    </row>
    <row r="398" spans="9:13" ht="13.8" x14ac:dyDescent="0.3">
      <c r="I398" s="207"/>
      <c r="J398" s="207"/>
      <c r="K398" s="207"/>
      <c r="L398" s="207"/>
      <c r="M398" s="208"/>
    </row>
    <row r="399" spans="9:13" ht="13.8" x14ac:dyDescent="0.3">
      <c r="I399" s="207"/>
      <c r="J399" s="207"/>
      <c r="K399" s="207"/>
      <c r="L399" s="207"/>
      <c r="M399" s="208"/>
    </row>
    <row r="400" spans="9:13" ht="13.8" x14ac:dyDescent="0.3">
      <c r="I400" s="207"/>
      <c r="J400" s="207"/>
      <c r="K400" s="207"/>
      <c r="L400" s="207"/>
      <c r="M400" s="208"/>
    </row>
    <row r="401" spans="9:13" ht="13.8" x14ac:dyDescent="0.3">
      <c r="I401" s="207"/>
      <c r="J401" s="207"/>
      <c r="K401" s="207"/>
      <c r="L401" s="207"/>
      <c r="M401" s="208"/>
    </row>
    <row r="402" spans="9:13" ht="13.8" x14ac:dyDescent="0.3">
      <c r="I402" s="207"/>
      <c r="J402" s="207"/>
      <c r="K402" s="207"/>
      <c r="L402" s="207"/>
      <c r="M402" s="208"/>
    </row>
    <row r="403" spans="9:13" ht="13.8" x14ac:dyDescent="0.3">
      <c r="I403" s="207"/>
      <c r="J403" s="207"/>
      <c r="K403" s="207"/>
      <c r="L403" s="207"/>
      <c r="M403" s="208"/>
    </row>
    <row r="404" spans="9:13" ht="13.8" x14ac:dyDescent="0.3">
      <c r="I404" s="207"/>
      <c r="J404" s="207"/>
      <c r="K404" s="207"/>
      <c r="L404" s="207"/>
      <c r="M404" s="208"/>
    </row>
    <row r="405" spans="9:13" ht="13.8" x14ac:dyDescent="0.3">
      <c r="I405" s="207"/>
      <c r="J405" s="207"/>
      <c r="K405" s="207"/>
      <c r="L405" s="207"/>
      <c r="M405" s="208"/>
    </row>
    <row r="406" spans="9:13" ht="13.8" x14ac:dyDescent="0.3">
      <c r="I406" s="207"/>
      <c r="J406" s="207"/>
      <c r="K406" s="207"/>
      <c r="L406" s="207"/>
      <c r="M406" s="208"/>
    </row>
    <row r="407" spans="9:13" ht="13.8" x14ac:dyDescent="0.3">
      <c r="I407" s="207"/>
      <c r="J407" s="207"/>
      <c r="K407" s="207"/>
      <c r="L407" s="207"/>
      <c r="M407" s="208"/>
    </row>
    <row r="408" spans="9:13" ht="13.8" x14ac:dyDescent="0.3">
      <c r="I408" s="207"/>
      <c r="J408" s="207"/>
      <c r="K408" s="207"/>
      <c r="L408" s="207"/>
      <c r="M408" s="208"/>
    </row>
    <row r="409" spans="9:13" ht="13.8" x14ac:dyDescent="0.3">
      <c r="I409" s="207"/>
      <c r="J409" s="207"/>
      <c r="K409" s="207"/>
      <c r="L409" s="207"/>
      <c r="M409" s="208"/>
    </row>
    <row r="410" spans="9:13" ht="13.8" x14ac:dyDescent="0.3">
      <c r="I410" s="207"/>
      <c r="J410" s="207"/>
      <c r="K410" s="207"/>
      <c r="L410" s="207"/>
      <c r="M410" s="208"/>
    </row>
    <row r="411" spans="9:13" ht="13.8" x14ac:dyDescent="0.3">
      <c r="I411" s="207"/>
      <c r="J411" s="207"/>
      <c r="K411" s="207"/>
      <c r="L411" s="207"/>
      <c r="M411" s="208"/>
    </row>
    <row r="412" spans="9:13" ht="13.8" x14ac:dyDescent="0.3">
      <c r="I412" s="207"/>
      <c r="J412" s="207"/>
      <c r="K412" s="207"/>
      <c r="L412" s="207"/>
      <c r="M412" s="208"/>
    </row>
    <row r="413" spans="9:13" ht="13.8" x14ac:dyDescent="0.3">
      <c r="I413" s="207"/>
      <c r="J413" s="207"/>
      <c r="K413" s="207"/>
      <c r="L413" s="207"/>
      <c r="M413" s="208"/>
    </row>
    <row r="414" spans="9:13" ht="13.8" x14ac:dyDescent="0.3">
      <c r="I414" s="207"/>
      <c r="J414" s="207"/>
      <c r="K414" s="207"/>
      <c r="L414" s="207"/>
      <c r="M414" s="208"/>
    </row>
    <row r="415" spans="9:13" ht="13.8" x14ac:dyDescent="0.3">
      <c r="I415" s="207"/>
      <c r="J415" s="207"/>
      <c r="K415" s="207"/>
      <c r="L415" s="207"/>
      <c r="M415" s="208"/>
    </row>
    <row r="416" spans="9:13" ht="13.8" x14ac:dyDescent="0.3">
      <c r="I416" s="207"/>
      <c r="J416" s="207"/>
      <c r="K416" s="207"/>
      <c r="L416" s="207"/>
      <c r="M416" s="208"/>
    </row>
    <row r="417" spans="9:13" ht="13.8" x14ac:dyDescent="0.3">
      <c r="I417" s="207"/>
      <c r="J417" s="207"/>
      <c r="K417" s="207"/>
      <c r="L417" s="207"/>
      <c r="M417" s="208"/>
    </row>
    <row r="418" spans="9:13" ht="13.8" x14ac:dyDescent="0.3">
      <c r="I418" s="207"/>
      <c r="J418" s="207"/>
      <c r="K418" s="207"/>
      <c r="L418" s="207"/>
      <c r="M418" s="208"/>
    </row>
    <row r="419" spans="9:13" ht="13.8" x14ac:dyDescent="0.3">
      <c r="I419" s="207"/>
      <c r="J419" s="207"/>
      <c r="K419" s="207"/>
      <c r="L419" s="207"/>
      <c r="M419" s="208"/>
    </row>
    <row r="420" spans="9:13" ht="13.8" x14ac:dyDescent="0.3">
      <c r="I420" s="207"/>
      <c r="J420" s="207"/>
      <c r="K420" s="207"/>
      <c r="L420" s="207"/>
      <c r="M420" s="208"/>
    </row>
    <row r="421" spans="9:13" ht="13.8" x14ac:dyDescent="0.3">
      <c r="I421" s="207"/>
      <c r="J421" s="207"/>
      <c r="K421" s="207"/>
      <c r="L421" s="207"/>
      <c r="M421" s="208"/>
    </row>
    <row r="422" spans="9:13" ht="13.8" x14ac:dyDescent="0.3">
      <c r="I422" s="207"/>
      <c r="J422" s="207"/>
      <c r="K422" s="207"/>
      <c r="L422" s="207"/>
      <c r="M422" s="208"/>
    </row>
    <row r="423" spans="9:13" ht="13.8" x14ac:dyDescent="0.3">
      <c r="I423" s="207"/>
      <c r="J423" s="207"/>
      <c r="K423" s="207"/>
      <c r="L423" s="207"/>
      <c r="M423" s="208"/>
    </row>
    <row r="424" spans="9:13" ht="13.8" x14ac:dyDescent="0.3">
      <c r="I424" s="207"/>
      <c r="J424" s="207"/>
      <c r="K424" s="207"/>
      <c r="L424" s="207"/>
      <c r="M424" s="208"/>
    </row>
    <row r="425" spans="9:13" ht="13.8" x14ac:dyDescent="0.3">
      <c r="I425" s="207"/>
      <c r="J425" s="207"/>
      <c r="K425" s="207"/>
      <c r="L425" s="207"/>
      <c r="M425" s="208"/>
    </row>
    <row r="426" spans="9:13" ht="13.8" x14ac:dyDescent="0.3">
      <c r="I426" s="207"/>
      <c r="J426" s="207"/>
      <c r="K426" s="207"/>
      <c r="L426" s="207"/>
      <c r="M426" s="208"/>
    </row>
    <row r="427" spans="9:13" ht="13.8" x14ac:dyDescent="0.3">
      <c r="I427" s="207"/>
      <c r="J427" s="207"/>
      <c r="K427" s="207"/>
      <c r="L427" s="207"/>
      <c r="M427" s="208"/>
    </row>
    <row r="428" spans="9:13" ht="13.8" x14ac:dyDescent="0.3">
      <c r="I428" s="207"/>
      <c r="J428" s="207"/>
      <c r="K428" s="207"/>
      <c r="L428" s="207"/>
      <c r="M428" s="208"/>
    </row>
    <row r="429" spans="9:13" ht="13.8" x14ac:dyDescent="0.3">
      <c r="I429" s="207"/>
      <c r="J429" s="207"/>
      <c r="K429" s="207"/>
      <c r="L429" s="207"/>
      <c r="M429" s="208"/>
    </row>
    <row r="430" spans="9:13" ht="13.8" x14ac:dyDescent="0.3">
      <c r="I430" s="207"/>
      <c r="J430" s="207"/>
      <c r="K430" s="207"/>
      <c r="L430" s="207"/>
      <c r="M430" s="208"/>
    </row>
    <row r="431" spans="9:13" ht="13.8" x14ac:dyDescent="0.3">
      <c r="I431" s="207"/>
      <c r="J431" s="207"/>
      <c r="K431" s="207"/>
      <c r="L431" s="207"/>
      <c r="M431" s="208"/>
    </row>
    <row r="432" spans="9:13" ht="13.8" x14ac:dyDescent="0.3">
      <c r="I432" s="207"/>
      <c r="J432" s="207"/>
      <c r="K432" s="207"/>
      <c r="L432" s="207"/>
      <c r="M432" s="208"/>
    </row>
    <row r="433" spans="9:13" ht="13.8" x14ac:dyDescent="0.3">
      <c r="I433" s="207"/>
      <c r="J433" s="207"/>
      <c r="K433" s="207"/>
      <c r="L433" s="207"/>
      <c r="M433" s="208"/>
    </row>
    <row r="434" spans="9:13" ht="13.8" x14ac:dyDescent="0.3">
      <c r="I434" s="207"/>
      <c r="J434" s="207"/>
      <c r="K434" s="207"/>
      <c r="L434" s="207"/>
      <c r="M434" s="208"/>
    </row>
    <row r="435" spans="9:13" ht="13.8" x14ac:dyDescent="0.3">
      <c r="I435" s="207"/>
      <c r="J435" s="207"/>
      <c r="K435" s="207"/>
      <c r="L435" s="207"/>
      <c r="M435" s="208"/>
    </row>
    <row r="436" spans="9:13" ht="13.8" x14ac:dyDescent="0.3">
      <c r="I436" s="207"/>
      <c r="J436" s="207"/>
      <c r="K436" s="207"/>
      <c r="L436" s="207"/>
      <c r="M436" s="208"/>
    </row>
    <row r="437" spans="9:13" ht="13.8" x14ac:dyDescent="0.3">
      <c r="I437" s="207"/>
      <c r="J437" s="207"/>
      <c r="K437" s="207"/>
      <c r="L437" s="207"/>
      <c r="M437" s="208"/>
    </row>
    <row r="438" spans="9:13" ht="13.8" x14ac:dyDescent="0.3">
      <c r="I438" s="207"/>
      <c r="J438" s="207"/>
      <c r="K438" s="207"/>
      <c r="L438" s="207"/>
      <c r="M438" s="208"/>
    </row>
    <row r="439" spans="9:13" ht="13.8" x14ac:dyDescent="0.3">
      <c r="I439" s="207"/>
      <c r="J439" s="207"/>
      <c r="K439" s="207"/>
      <c r="L439" s="207"/>
      <c r="M439" s="208"/>
    </row>
    <row r="440" spans="9:13" ht="13.8" x14ac:dyDescent="0.3">
      <c r="I440" s="207"/>
      <c r="J440" s="207"/>
      <c r="K440" s="207"/>
      <c r="L440" s="207"/>
      <c r="M440" s="208"/>
    </row>
    <row r="441" spans="9:13" ht="13.8" x14ac:dyDescent="0.3">
      <c r="I441" s="207"/>
      <c r="J441" s="207"/>
      <c r="K441" s="207"/>
      <c r="L441" s="207"/>
      <c r="M441" s="208"/>
    </row>
    <row r="442" spans="9:13" ht="13.8" x14ac:dyDescent="0.3">
      <c r="I442" s="207"/>
      <c r="J442" s="207"/>
      <c r="K442" s="207"/>
      <c r="L442" s="207"/>
      <c r="M442" s="208"/>
    </row>
    <row r="443" spans="9:13" ht="13.8" x14ac:dyDescent="0.3">
      <c r="I443" s="207"/>
      <c r="J443" s="207"/>
      <c r="K443" s="207"/>
      <c r="L443" s="207"/>
      <c r="M443" s="208"/>
    </row>
    <row r="444" spans="9:13" ht="13.8" x14ac:dyDescent="0.3">
      <c r="I444" s="207"/>
      <c r="J444" s="207"/>
      <c r="K444" s="207"/>
      <c r="L444" s="207"/>
      <c r="M444" s="208"/>
    </row>
    <row r="445" spans="9:13" ht="13.8" x14ac:dyDescent="0.3">
      <c r="I445" s="207"/>
      <c r="J445" s="207"/>
      <c r="K445" s="207"/>
      <c r="L445" s="207"/>
      <c r="M445" s="208"/>
    </row>
    <row r="446" spans="9:13" ht="13.8" x14ac:dyDescent="0.3">
      <c r="I446" s="207"/>
      <c r="J446" s="207"/>
      <c r="K446" s="207"/>
      <c r="L446" s="207"/>
      <c r="M446" s="208"/>
    </row>
    <row r="447" spans="9:13" ht="13.8" x14ac:dyDescent="0.3">
      <c r="I447" s="207"/>
      <c r="J447" s="207"/>
      <c r="K447" s="207"/>
      <c r="L447" s="207"/>
      <c r="M447" s="208"/>
    </row>
    <row r="448" spans="9:13" ht="13.8" x14ac:dyDescent="0.3">
      <c r="I448" s="207"/>
      <c r="J448" s="207"/>
      <c r="K448" s="207"/>
      <c r="L448" s="207"/>
      <c r="M448" s="208"/>
    </row>
    <row r="449" spans="9:13" ht="13.8" x14ac:dyDescent="0.3">
      <c r="I449" s="207"/>
      <c r="J449" s="207"/>
      <c r="K449" s="207"/>
      <c r="L449" s="207"/>
      <c r="M449" s="208"/>
    </row>
    <row r="450" spans="9:13" ht="13.8" x14ac:dyDescent="0.3">
      <c r="I450" s="207"/>
      <c r="J450" s="207"/>
      <c r="K450" s="207"/>
      <c r="L450" s="207"/>
      <c r="M450" s="208"/>
    </row>
    <row r="451" spans="9:13" ht="13.8" x14ac:dyDescent="0.3">
      <c r="I451" s="207"/>
      <c r="J451" s="207"/>
      <c r="K451" s="207"/>
      <c r="L451" s="207"/>
      <c r="M451" s="208"/>
    </row>
    <row r="452" spans="9:13" ht="13.8" x14ac:dyDescent="0.3">
      <c r="I452" s="207"/>
      <c r="J452" s="207"/>
      <c r="K452" s="207"/>
      <c r="L452" s="207"/>
      <c r="M452" s="208"/>
    </row>
    <row r="453" spans="9:13" ht="13.8" x14ac:dyDescent="0.3">
      <c r="I453" s="207"/>
      <c r="J453" s="207"/>
      <c r="K453" s="207"/>
      <c r="L453" s="207"/>
      <c r="M453" s="208"/>
    </row>
    <row r="454" spans="9:13" ht="13.8" x14ac:dyDescent="0.3">
      <c r="I454" s="207"/>
      <c r="J454" s="207"/>
      <c r="K454" s="207"/>
      <c r="L454" s="207"/>
      <c r="M454" s="208"/>
    </row>
    <row r="455" spans="9:13" ht="13.8" x14ac:dyDescent="0.3">
      <c r="I455" s="207"/>
      <c r="J455" s="207"/>
      <c r="K455" s="207"/>
      <c r="L455" s="207"/>
      <c r="M455" s="208"/>
    </row>
    <row r="456" spans="9:13" ht="13.8" x14ac:dyDescent="0.3">
      <c r="I456" s="207"/>
      <c r="J456" s="207"/>
      <c r="K456" s="207"/>
      <c r="L456" s="207"/>
      <c r="M456" s="208"/>
    </row>
    <row r="457" spans="9:13" ht="13.8" x14ac:dyDescent="0.3">
      <c r="I457" s="207"/>
      <c r="J457" s="207"/>
      <c r="K457" s="207"/>
      <c r="L457" s="207"/>
      <c r="M457" s="208"/>
    </row>
    <row r="458" spans="9:13" ht="13.8" x14ac:dyDescent="0.3">
      <c r="I458" s="207"/>
      <c r="J458" s="207"/>
      <c r="K458" s="207"/>
      <c r="L458" s="207"/>
      <c r="M458" s="208"/>
    </row>
    <row r="459" spans="9:13" ht="13.8" x14ac:dyDescent="0.3">
      <c r="I459" s="207"/>
      <c r="J459" s="207"/>
      <c r="K459" s="207"/>
      <c r="L459" s="207"/>
      <c r="M459" s="208"/>
    </row>
    <row r="460" spans="9:13" ht="13.8" x14ac:dyDescent="0.3">
      <c r="I460" s="207"/>
      <c r="J460" s="207"/>
      <c r="K460" s="207"/>
      <c r="L460" s="207"/>
      <c r="M460" s="208"/>
    </row>
    <row r="461" spans="9:13" ht="13.8" x14ac:dyDescent="0.3">
      <c r="I461" s="207"/>
      <c r="J461" s="207"/>
      <c r="K461" s="207"/>
      <c r="L461" s="207"/>
      <c r="M461" s="208"/>
    </row>
    <row r="462" spans="9:13" ht="13.8" x14ac:dyDescent="0.3">
      <c r="I462" s="207"/>
      <c r="J462" s="207"/>
      <c r="K462" s="207"/>
      <c r="L462" s="207"/>
      <c r="M462" s="208"/>
    </row>
    <row r="463" spans="9:13" ht="13.8" x14ac:dyDescent="0.3">
      <c r="I463" s="207"/>
      <c r="J463" s="207"/>
      <c r="K463" s="207"/>
      <c r="L463" s="207"/>
      <c r="M463" s="208"/>
    </row>
    <row r="464" spans="9:13" ht="13.8" x14ac:dyDescent="0.3">
      <c r="I464" s="207"/>
      <c r="J464" s="207"/>
      <c r="K464" s="207"/>
      <c r="L464" s="207"/>
      <c r="M464" s="208"/>
    </row>
    <row r="465" spans="9:13" ht="13.8" x14ac:dyDescent="0.3">
      <c r="I465" s="207"/>
      <c r="J465" s="207"/>
      <c r="K465" s="207"/>
      <c r="L465" s="207"/>
      <c r="M465" s="208"/>
    </row>
    <row r="466" spans="9:13" ht="13.8" x14ac:dyDescent="0.3">
      <c r="I466" s="207"/>
      <c r="J466" s="207"/>
      <c r="K466" s="207"/>
      <c r="L466" s="207"/>
      <c r="M466" s="208"/>
    </row>
    <row r="467" spans="9:13" ht="13.8" x14ac:dyDescent="0.3">
      <c r="I467" s="207"/>
      <c r="J467" s="207"/>
      <c r="K467" s="207"/>
      <c r="L467" s="207"/>
      <c r="M467" s="208"/>
    </row>
    <row r="468" spans="9:13" ht="13.8" x14ac:dyDescent="0.3">
      <c r="I468" s="207"/>
      <c r="J468" s="207"/>
      <c r="K468" s="207"/>
      <c r="L468" s="207"/>
      <c r="M468" s="208"/>
    </row>
    <row r="469" spans="9:13" ht="13.8" x14ac:dyDescent="0.3">
      <c r="I469" s="207"/>
      <c r="J469" s="207"/>
      <c r="K469" s="207"/>
      <c r="L469" s="207"/>
      <c r="M469" s="208"/>
    </row>
    <row r="470" spans="9:13" ht="13.8" x14ac:dyDescent="0.3">
      <c r="I470" s="207"/>
      <c r="J470" s="207"/>
      <c r="K470" s="207"/>
      <c r="L470" s="207"/>
      <c r="M470" s="208"/>
    </row>
    <row r="471" spans="9:13" ht="13.8" x14ac:dyDescent="0.3">
      <c r="I471" s="207"/>
      <c r="J471" s="207"/>
      <c r="K471" s="207"/>
      <c r="L471" s="207"/>
      <c r="M471" s="208"/>
    </row>
    <row r="472" spans="9:13" ht="13.8" x14ac:dyDescent="0.3">
      <c r="I472" s="207"/>
      <c r="J472" s="207"/>
      <c r="K472" s="207"/>
      <c r="L472" s="207"/>
      <c r="M472" s="208"/>
    </row>
    <row r="473" spans="9:13" ht="13.8" x14ac:dyDescent="0.3">
      <c r="I473" s="207"/>
      <c r="J473" s="207"/>
      <c r="K473" s="207"/>
      <c r="L473" s="207"/>
      <c r="M473" s="208"/>
    </row>
    <row r="474" spans="9:13" ht="13.8" x14ac:dyDescent="0.3">
      <c r="I474" s="207"/>
      <c r="J474" s="207"/>
      <c r="K474" s="207"/>
      <c r="L474" s="207"/>
      <c r="M474" s="208"/>
    </row>
    <row r="475" spans="9:13" ht="13.8" x14ac:dyDescent="0.3">
      <c r="I475" s="207"/>
      <c r="J475" s="207"/>
      <c r="K475" s="207"/>
      <c r="L475" s="207"/>
      <c r="M475" s="208"/>
    </row>
    <row r="476" spans="9:13" ht="13.8" x14ac:dyDescent="0.3">
      <c r="I476" s="207"/>
      <c r="J476" s="207"/>
      <c r="K476" s="207"/>
      <c r="L476" s="207"/>
      <c r="M476" s="208"/>
    </row>
    <row r="477" spans="9:13" ht="13.8" x14ac:dyDescent="0.3">
      <c r="I477" s="207"/>
      <c r="J477" s="207"/>
      <c r="K477" s="207"/>
      <c r="L477" s="207"/>
      <c r="M477" s="208"/>
    </row>
    <row r="478" spans="9:13" ht="13.8" x14ac:dyDescent="0.3">
      <c r="I478" s="207"/>
      <c r="J478" s="207"/>
      <c r="K478" s="207"/>
      <c r="L478" s="207"/>
      <c r="M478" s="208"/>
    </row>
    <row r="479" spans="9:13" ht="13.8" x14ac:dyDescent="0.3">
      <c r="I479" s="207"/>
      <c r="J479" s="207"/>
      <c r="K479" s="207"/>
      <c r="L479" s="207"/>
      <c r="M479" s="208"/>
    </row>
    <row r="480" spans="9:13" ht="13.8" x14ac:dyDescent="0.3">
      <c r="I480" s="207"/>
      <c r="J480" s="207"/>
      <c r="K480" s="207"/>
      <c r="L480" s="207"/>
      <c r="M480" s="208"/>
    </row>
    <row r="481" spans="9:13" ht="13.8" x14ac:dyDescent="0.3">
      <c r="I481" s="207"/>
      <c r="J481" s="207"/>
      <c r="K481" s="207"/>
      <c r="L481" s="207"/>
      <c r="M481" s="208"/>
    </row>
    <row r="482" spans="9:13" ht="13.8" x14ac:dyDescent="0.3">
      <c r="I482" s="207"/>
      <c r="J482" s="207"/>
      <c r="K482" s="207"/>
      <c r="L482" s="207"/>
      <c r="M482" s="208"/>
    </row>
    <row r="483" spans="9:13" ht="13.8" x14ac:dyDescent="0.3">
      <c r="I483" s="207"/>
      <c r="J483" s="207"/>
      <c r="K483" s="207"/>
      <c r="L483" s="207"/>
      <c r="M483" s="208"/>
    </row>
    <row r="484" spans="9:13" ht="13.8" x14ac:dyDescent="0.3">
      <c r="I484" s="207"/>
      <c r="J484" s="207"/>
      <c r="K484" s="207"/>
      <c r="L484" s="207"/>
      <c r="M484" s="208"/>
    </row>
    <row r="485" spans="9:13" ht="13.8" x14ac:dyDescent="0.3">
      <c r="I485" s="207"/>
      <c r="J485" s="207"/>
      <c r="K485" s="207"/>
      <c r="L485" s="207"/>
      <c r="M485" s="208"/>
    </row>
    <row r="486" spans="9:13" ht="13.8" x14ac:dyDescent="0.3">
      <c r="I486" s="207"/>
      <c r="J486" s="207"/>
      <c r="K486" s="207"/>
      <c r="L486" s="207"/>
      <c r="M486" s="208"/>
    </row>
    <row r="487" spans="9:13" ht="13.8" x14ac:dyDescent="0.3">
      <c r="I487" s="207"/>
      <c r="J487" s="207"/>
      <c r="K487" s="207"/>
      <c r="L487" s="207"/>
      <c r="M487" s="208"/>
    </row>
    <row r="488" spans="9:13" ht="13.8" x14ac:dyDescent="0.3">
      <c r="I488" s="207"/>
      <c r="J488" s="207"/>
      <c r="K488" s="207"/>
      <c r="L488" s="207"/>
      <c r="M488" s="208"/>
    </row>
    <row r="489" spans="9:13" ht="13.8" x14ac:dyDescent="0.3">
      <c r="I489" s="207"/>
      <c r="J489" s="207"/>
      <c r="K489" s="207"/>
      <c r="L489" s="207"/>
      <c r="M489" s="208"/>
    </row>
    <row r="490" spans="9:13" ht="13.8" x14ac:dyDescent="0.3">
      <c r="I490" s="207"/>
      <c r="J490" s="207"/>
      <c r="K490" s="207"/>
      <c r="L490" s="207"/>
      <c r="M490" s="208"/>
    </row>
    <row r="491" spans="9:13" ht="13.8" x14ac:dyDescent="0.3">
      <c r="I491" s="207"/>
      <c r="J491" s="207"/>
      <c r="K491" s="207"/>
      <c r="L491" s="207"/>
      <c r="M491" s="208"/>
    </row>
    <row r="492" spans="9:13" ht="13.8" x14ac:dyDescent="0.3">
      <c r="I492" s="207"/>
      <c r="J492" s="207"/>
      <c r="K492" s="207"/>
      <c r="L492" s="207"/>
      <c r="M492" s="208"/>
    </row>
    <row r="493" spans="9:13" ht="13.8" x14ac:dyDescent="0.3">
      <c r="I493" s="207"/>
      <c r="J493" s="207"/>
      <c r="K493" s="207"/>
      <c r="L493" s="207"/>
      <c r="M493" s="208"/>
    </row>
    <row r="494" spans="9:13" ht="13.8" x14ac:dyDescent="0.3">
      <c r="I494" s="207"/>
      <c r="J494" s="207"/>
      <c r="K494" s="207"/>
      <c r="L494" s="207"/>
      <c r="M494" s="208"/>
    </row>
    <row r="495" spans="9:13" ht="13.8" x14ac:dyDescent="0.3">
      <c r="I495" s="207"/>
      <c r="J495" s="207"/>
      <c r="K495" s="207"/>
      <c r="L495" s="207"/>
      <c r="M495" s="208"/>
    </row>
    <row r="496" spans="9:13" ht="13.8" x14ac:dyDescent="0.3">
      <c r="I496" s="207"/>
      <c r="J496" s="207"/>
      <c r="K496" s="207"/>
      <c r="L496" s="207"/>
      <c r="M496" s="208"/>
    </row>
    <row r="497" spans="9:13" ht="13.8" x14ac:dyDescent="0.3">
      <c r="I497" s="207"/>
      <c r="J497" s="207"/>
      <c r="K497" s="207"/>
      <c r="L497" s="207"/>
      <c r="M497" s="208"/>
    </row>
    <row r="498" spans="9:13" ht="13.8" x14ac:dyDescent="0.3">
      <c r="I498" s="207"/>
      <c r="J498" s="207"/>
      <c r="K498" s="207"/>
      <c r="L498" s="207"/>
      <c r="M498" s="208"/>
    </row>
    <row r="499" spans="9:13" ht="13.8" x14ac:dyDescent="0.3">
      <c r="I499" s="207"/>
      <c r="J499" s="207"/>
      <c r="K499" s="207"/>
      <c r="L499" s="207"/>
      <c r="M499" s="208"/>
    </row>
    <row r="500" spans="9:13" ht="13.8" x14ac:dyDescent="0.3">
      <c r="I500" s="207"/>
      <c r="J500" s="207"/>
      <c r="K500" s="207"/>
      <c r="L500" s="207"/>
      <c r="M500" s="208"/>
    </row>
    <row r="501" spans="9:13" ht="13.8" x14ac:dyDescent="0.3">
      <c r="I501" s="207"/>
      <c r="J501" s="207"/>
      <c r="K501" s="207"/>
      <c r="L501" s="207"/>
      <c r="M501" s="208"/>
    </row>
    <row r="502" spans="9:13" ht="13.8" x14ac:dyDescent="0.3">
      <c r="I502" s="207"/>
      <c r="J502" s="207"/>
      <c r="K502" s="207"/>
      <c r="L502" s="207"/>
      <c r="M502" s="208"/>
    </row>
    <row r="503" spans="9:13" ht="13.8" x14ac:dyDescent="0.3">
      <c r="I503" s="207"/>
      <c r="J503" s="207"/>
      <c r="K503" s="207"/>
      <c r="L503" s="207"/>
      <c r="M503" s="208"/>
    </row>
    <row r="504" spans="9:13" ht="13.8" x14ac:dyDescent="0.3">
      <c r="I504" s="207"/>
      <c r="J504" s="207"/>
      <c r="K504" s="207"/>
      <c r="L504" s="207"/>
      <c r="M504" s="208"/>
    </row>
    <row r="505" spans="9:13" ht="13.8" x14ac:dyDescent="0.3">
      <c r="I505" s="207"/>
      <c r="J505" s="207"/>
      <c r="K505" s="207"/>
      <c r="L505" s="207"/>
      <c r="M505" s="208"/>
    </row>
    <row r="506" spans="9:13" ht="13.8" x14ac:dyDescent="0.3">
      <c r="I506" s="207"/>
      <c r="J506" s="207"/>
      <c r="K506" s="207"/>
      <c r="L506" s="207"/>
      <c r="M506" s="208"/>
    </row>
    <row r="507" spans="9:13" ht="13.8" x14ac:dyDescent="0.3">
      <c r="I507" s="207"/>
      <c r="J507" s="207"/>
      <c r="K507" s="207"/>
      <c r="L507" s="207"/>
      <c r="M507" s="208"/>
    </row>
    <row r="508" spans="9:13" ht="13.8" x14ac:dyDescent="0.3">
      <c r="I508" s="207"/>
      <c r="J508" s="207"/>
      <c r="K508" s="207"/>
      <c r="L508" s="207"/>
      <c r="M508" s="208"/>
    </row>
    <row r="509" spans="9:13" ht="13.8" x14ac:dyDescent="0.3">
      <c r="I509" s="207"/>
      <c r="J509" s="207"/>
      <c r="K509" s="207"/>
      <c r="L509" s="207"/>
      <c r="M509" s="208"/>
    </row>
    <row r="510" spans="9:13" ht="13.8" x14ac:dyDescent="0.3">
      <c r="I510" s="207"/>
      <c r="J510" s="207"/>
      <c r="K510" s="207"/>
      <c r="L510" s="207"/>
      <c r="M510" s="208"/>
    </row>
    <row r="511" spans="9:13" ht="13.8" x14ac:dyDescent="0.3">
      <c r="I511" s="207"/>
      <c r="J511" s="207"/>
      <c r="K511" s="207"/>
      <c r="L511" s="207"/>
      <c r="M511" s="208"/>
    </row>
    <row r="512" spans="9:13" ht="13.8" x14ac:dyDescent="0.3">
      <c r="I512" s="207"/>
      <c r="J512" s="207"/>
      <c r="K512" s="207"/>
      <c r="L512" s="207"/>
      <c r="M512" s="208"/>
    </row>
    <row r="513" spans="9:13" ht="13.8" x14ac:dyDescent="0.3">
      <c r="I513" s="207"/>
      <c r="J513" s="207"/>
      <c r="K513" s="207"/>
      <c r="L513" s="207"/>
      <c r="M513" s="208"/>
    </row>
    <row r="514" spans="9:13" ht="13.8" x14ac:dyDescent="0.3">
      <c r="I514" s="207"/>
      <c r="J514" s="207"/>
      <c r="K514" s="207"/>
      <c r="L514" s="207"/>
      <c r="M514" s="208"/>
    </row>
    <row r="515" spans="9:13" ht="13.8" x14ac:dyDescent="0.3">
      <c r="I515" s="207"/>
      <c r="J515" s="207"/>
      <c r="K515" s="207"/>
      <c r="L515" s="207"/>
      <c r="M515" s="208"/>
    </row>
    <row r="516" spans="9:13" ht="13.8" x14ac:dyDescent="0.3">
      <c r="I516" s="207"/>
      <c r="J516" s="207"/>
      <c r="K516" s="207"/>
      <c r="L516" s="207"/>
      <c r="M516" s="208"/>
    </row>
    <row r="517" spans="9:13" ht="13.8" x14ac:dyDescent="0.3">
      <c r="I517" s="207"/>
      <c r="J517" s="207"/>
      <c r="K517" s="207"/>
      <c r="L517" s="207"/>
      <c r="M517" s="208"/>
    </row>
    <row r="518" spans="9:13" ht="13.8" x14ac:dyDescent="0.3">
      <c r="I518" s="207"/>
      <c r="J518" s="207"/>
      <c r="K518" s="207"/>
      <c r="L518" s="207"/>
      <c r="M518" s="208"/>
    </row>
    <row r="519" spans="9:13" ht="13.8" x14ac:dyDescent="0.3">
      <c r="I519" s="207"/>
      <c r="J519" s="207"/>
      <c r="K519" s="207"/>
      <c r="L519" s="207"/>
      <c r="M519" s="208"/>
    </row>
    <row r="520" spans="9:13" ht="13.8" x14ac:dyDescent="0.3">
      <c r="I520" s="207"/>
      <c r="J520" s="207"/>
      <c r="K520" s="207"/>
      <c r="L520" s="207"/>
      <c r="M520" s="208"/>
    </row>
    <row r="521" spans="9:13" ht="13.8" x14ac:dyDescent="0.3">
      <c r="I521" s="207"/>
      <c r="J521" s="207"/>
      <c r="K521" s="207"/>
      <c r="L521" s="207"/>
      <c r="M521" s="208"/>
    </row>
    <row r="522" spans="9:13" ht="13.8" x14ac:dyDescent="0.3">
      <c r="I522" s="207"/>
      <c r="J522" s="207"/>
      <c r="K522" s="207"/>
      <c r="L522" s="207"/>
      <c r="M522" s="208"/>
    </row>
    <row r="523" spans="9:13" ht="13.8" x14ac:dyDescent="0.3">
      <c r="I523" s="207"/>
      <c r="J523" s="207"/>
      <c r="K523" s="207"/>
      <c r="L523" s="207"/>
      <c r="M523" s="208"/>
    </row>
    <row r="524" spans="9:13" ht="13.8" x14ac:dyDescent="0.3">
      <c r="I524" s="207"/>
      <c r="J524" s="207"/>
      <c r="K524" s="207"/>
      <c r="L524" s="207"/>
      <c r="M524" s="208"/>
    </row>
    <row r="525" spans="9:13" ht="13.8" x14ac:dyDescent="0.3">
      <c r="I525" s="207"/>
      <c r="J525" s="207"/>
      <c r="K525" s="207"/>
      <c r="L525" s="207"/>
      <c r="M525" s="208"/>
    </row>
    <row r="526" spans="9:13" ht="13.8" x14ac:dyDescent="0.3">
      <c r="I526" s="207"/>
      <c r="J526" s="207"/>
      <c r="K526" s="207"/>
      <c r="L526" s="207"/>
      <c r="M526" s="208"/>
    </row>
    <row r="527" spans="9:13" ht="13.8" x14ac:dyDescent="0.3">
      <c r="I527" s="207"/>
      <c r="J527" s="207"/>
      <c r="K527" s="207"/>
      <c r="L527" s="207"/>
      <c r="M527" s="208"/>
    </row>
    <row r="528" spans="9:13" ht="13.8" x14ac:dyDescent="0.3">
      <c r="I528" s="207"/>
      <c r="J528" s="207"/>
      <c r="K528" s="207"/>
      <c r="L528" s="207"/>
      <c r="M528" s="208"/>
    </row>
    <row r="529" spans="9:13" ht="13.8" x14ac:dyDescent="0.3">
      <c r="I529" s="207"/>
      <c r="J529" s="207"/>
      <c r="K529" s="207"/>
      <c r="L529" s="207"/>
      <c r="M529" s="208"/>
    </row>
    <row r="530" spans="9:13" ht="13.8" x14ac:dyDescent="0.3">
      <c r="I530" s="207"/>
      <c r="J530" s="207"/>
      <c r="K530" s="207"/>
      <c r="L530" s="207"/>
      <c r="M530" s="208"/>
    </row>
    <row r="531" spans="9:13" ht="13.8" x14ac:dyDescent="0.3">
      <c r="I531" s="207"/>
      <c r="J531" s="207"/>
      <c r="K531" s="207"/>
      <c r="L531" s="207"/>
      <c r="M531" s="208"/>
    </row>
    <row r="532" spans="9:13" ht="13.8" x14ac:dyDescent="0.3">
      <c r="I532" s="207"/>
      <c r="J532" s="207"/>
      <c r="K532" s="207"/>
      <c r="L532" s="207"/>
      <c r="M532" s="208"/>
    </row>
    <row r="533" spans="9:13" ht="13.8" x14ac:dyDescent="0.3">
      <c r="I533" s="207"/>
      <c r="J533" s="207"/>
      <c r="K533" s="207"/>
      <c r="L533" s="207"/>
      <c r="M533" s="208"/>
    </row>
    <row r="534" spans="9:13" ht="13.8" x14ac:dyDescent="0.3">
      <c r="I534" s="207"/>
      <c r="J534" s="207"/>
      <c r="K534" s="207"/>
      <c r="L534" s="207"/>
      <c r="M534" s="208"/>
    </row>
    <row r="535" spans="9:13" ht="13.8" x14ac:dyDescent="0.3">
      <c r="I535" s="207"/>
      <c r="J535" s="207"/>
      <c r="K535" s="207"/>
      <c r="L535" s="207"/>
      <c r="M535" s="208"/>
    </row>
    <row r="536" spans="9:13" ht="13.8" x14ac:dyDescent="0.3">
      <c r="I536" s="207"/>
      <c r="J536" s="207"/>
      <c r="K536" s="207"/>
      <c r="L536" s="207"/>
      <c r="M536" s="208"/>
    </row>
    <row r="537" spans="9:13" ht="13.8" x14ac:dyDescent="0.3">
      <c r="I537" s="207"/>
      <c r="J537" s="207"/>
      <c r="K537" s="207"/>
      <c r="L537" s="207"/>
      <c r="M537" s="208"/>
    </row>
    <row r="538" spans="9:13" ht="13.8" x14ac:dyDescent="0.3">
      <c r="I538" s="207"/>
      <c r="J538" s="207"/>
      <c r="K538" s="207"/>
      <c r="L538" s="207"/>
      <c r="M538" s="208"/>
    </row>
    <row r="539" spans="9:13" ht="13.8" x14ac:dyDescent="0.3">
      <c r="I539" s="207"/>
      <c r="J539" s="207"/>
      <c r="K539" s="207"/>
      <c r="L539" s="207"/>
      <c r="M539" s="208"/>
    </row>
    <row r="540" spans="9:13" ht="13.8" x14ac:dyDescent="0.3">
      <c r="I540" s="207"/>
      <c r="J540" s="207"/>
      <c r="K540" s="207"/>
      <c r="L540" s="207"/>
      <c r="M540" s="208"/>
    </row>
    <row r="541" spans="9:13" ht="13.8" x14ac:dyDescent="0.3">
      <c r="I541" s="207"/>
      <c r="J541" s="207"/>
      <c r="K541" s="207"/>
      <c r="L541" s="207"/>
      <c r="M541" s="208"/>
    </row>
    <row r="542" spans="9:13" ht="13.8" x14ac:dyDescent="0.3">
      <c r="I542" s="207"/>
      <c r="J542" s="207"/>
      <c r="K542" s="207"/>
      <c r="L542" s="207"/>
      <c r="M542" s="208"/>
    </row>
    <row r="543" spans="9:13" ht="13.8" x14ac:dyDescent="0.3">
      <c r="I543" s="207"/>
      <c r="J543" s="207"/>
      <c r="K543" s="207"/>
      <c r="L543" s="207"/>
      <c r="M543" s="208"/>
    </row>
    <row r="544" spans="9:13" ht="13.8" x14ac:dyDescent="0.3">
      <c r="I544" s="207"/>
      <c r="J544" s="207"/>
      <c r="K544" s="207"/>
      <c r="L544" s="207"/>
      <c r="M544" s="208"/>
    </row>
    <row r="545" spans="9:13" ht="13.8" x14ac:dyDescent="0.3">
      <c r="I545" s="207"/>
      <c r="J545" s="207"/>
      <c r="K545" s="207"/>
      <c r="L545" s="207"/>
      <c r="M545" s="208"/>
    </row>
    <row r="546" spans="9:13" ht="13.8" x14ac:dyDescent="0.3">
      <c r="I546" s="207"/>
      <c r="J546" s="207"/>
      <c r="K546" s="207"/>
      <c r="L546" s="207"/>
      <c r="M546" s="208"/>
    </row>
    <row r="547" spans="9:13" ht="13.8" x14ac:dyDescent="0.3">
      <c r="I547" s="207"/>
      <c r="J547" s="207"/>
      <c r="K547" s="207"/>
      <c r="L547" s="207"/>
      <c r="M547" s="208"/>
    </row>
    <row r="548" spans="9:13" ht="13.8" x14ac:dyDescent="0.3">
      <c r="I548" s="207"/>
      <c r="J548" s="207"/>
      <c r="K548" s="207"/>
      <c r="L548" s="207"/>
      <c r="M548" s="208"/>
    </row>
    <row r="549" spans="9:13" ht="13.8" x14ac:dyDescent="0.3">
      <c r="I549" s="207"/>
      <c r="J549" s="207"/>
      <c r="K549" s="207"/>
      <c r="L549" s="207"/>
      <c r="M549" s="208"/>
    </row>
    <row r="550" spans="9:13" ht="13.8" x14ac:dyDescent="0.3">
      <c r="I550" s="207"/>
      <c r="J550" s="207"/>
      <c r="K550" s="207"/>
      <c r="L550" s="207"/>
      <c r="M550" s="208"/>
    </row>
    <row r="551" spans="9:13" ht="13.8" x14ac:dyDescent="0.3">
      <c r="I551" s="207"/>
      <c r="J551" s="207"/>
      <c r="K551" s="207"/>
      <c r="L551" s="207"/>
      <c r="M551" s="208"/>
    </row>
    <row r="552" spans="9:13" ht="13.8" x14ac:dyDescent="0.3">
      <c r="I552" s="207"/>
      <c r="J552" s="207"/>
      <c r="K552" s="207"/>
      <c r="L552" s="207"/>
      <c r="M552" s="208"/>
    </row>
    <row r="553" spans="9:13" ht="13.8" x14ac:dyDescent="0.3">
      <c r="I553" s="207"/>
      <c r="J553" s="207"/>
      <c r="K553" s="207"/>
      <c r="L553" s="207"/>
      <c r="M553" s="208"/>
    </row>
    <row r="554" spans="9:13" ht="13.8" x14ac:dyDescent="0.3">
      <c r="I554" s="207"/>
      <c r="J554" s="207"/>
      <c r="K554" s="207"/>
      <c r="L554" s="207"/>
      <c r="M554" s="208"/>
    </row>
    <row r="555" spans="9:13" ht="13.8" x14ac:dyDescent="0.3">
      <c r="I555" s="207"/>
      <c r="J555" s="207"/>
      <c r="K555" s="207"/>
      <c r="L555" s="207"/>
      <c r="M555" s="208"/>
    </row>
    <row r="556" spans="9:13" ht="13.8" x14ac:dyDescent="0.3">
      <c r="I556" s="207"/>
      <c r="J556" s="207"/>
      <c r="K556" s="207"/>
      <c r="L556" s="207"/>
      <c r="M556" s="208"/>
    </row>
    <row r="557" spans="9:13" ht="13.8" x14ac:dyDescent="0.3">
      <c r="I557" s="207"/>
      <c r="J557" s="207"/>
      <c r="K557" s="207"/>
      <c r="L557" s="207"/>
      <c r="M557" s="208"/>
    </row>
    <row r="558" spans="9:13" ht="13.8" x14ac:dyDescent="0.3">
      <c r="I558" s="207"/>
      <c r="J558" s="207"/>
      <c r="K558" s="207"/>
      <c r="L558" s="207"/>
      <c r="M558" s="208"/>
    </row>
    <row r="559" spans="9:13" ht="13.8" x14ac:dyDescent="0.3">
      <c r="I559" s="207"/>
      <c r="J559" s="207"/>
      <c r="K559" s="207"/>
      <c r="L559" s="207"/>
      <c r="M559" s="208"/>
    </row>
    <row r="560" spans="9:13" ht="13.8" x14ac:dyDescent="0.3">
      <c r="I560" s="207"/>
      <c r="J560" s="207"/>
      <c r="K560" s="207"/>
      <c r="L560" s="207"/>
      <c r="M560" s="208"/>
    </row>
    <row r="561" spans="9:13" ht="13.8" x14ac:dyDescent="0.3">
      <c r="I561" s="207"/>
      <c r="J561" s="207"/>
      <c r="K561" s="207"/>
      <c r="L561" s="207"/>
      <c r="M561" s="208"/>
    </row>
    <row r="562" spans="9:13" ht="13.8" x14ac:dyDescent="0.3">
      <c r="I562" s="207"/>
      <c r="J562" s="207"/>
      <c r="K562" s="207"/>
      <c r="L562" s="207"/>
      <c r="M562" s="208"/>
    </row>
    <row r="563" spans="9:13" ht="13.8" x14ac:dyDescent="0.3">
      <c r="I563" s="207"/>
      <c r="J563" s="207"/>
      <c r="K563" s="207"/>
      <c r="L563" s="207"/>
      <c r="M563" s="208"/>
    </row>
    <row r="564" spans="9:13" ht="13.8" x14ac:dyDescent="0.3">
      <c r="I564" s="207"/>
      <c r="J564" s="207"/>
      <c r="K564" s="207"/>
      <c r="L564" s="207"/>
      <c r="M564" s="208"/>
    </row>
    <row r="565" spans="9:13" ht="13.8" x14ac:dyDescent="0.3">
      <c r="I565" s="207"/>
      <c r="J565" s="207"/>
      <c r="K565" s="207"/>
      <c r="L565" s="207"/>
      <c r="M565" s="208"/>
    </row>
    <row r="566" spans="9:13" ht="13.8" x14ac:dyDescent="0.3">
      <c r="I566" s="207"/>
      <c r="J566" s="207"/>
      <c r="K566" s="207"/>
      <c r="L566" s="207"/>
      <c r="M566" s="208"/>
    </row>
    <row r="567" spans="9:13" ht="13.8" x14ac:dyDescent="0.3">
      <c r="I567" s="207"/>
      <c r="J567" s="207"/>
      <c r="K567" s="207"/>
      <c r="L567" s="207"/>
      <c r="M567" s="208"/>
    </row>
    <row r="568" spans="9:13" ht="13.8" x14ac:dyDescent="0.3">
      <c r="I568" s="207"/>
      <c r="J568" s="207"/>
      <c r="K568" s="207"/>
      <c r="L568" s="207"/>
      <c r="M568" s="208"/>
    </row>
    <row r="569" spans="9:13" ht="13.8" x14ac:dyDescent="0.3">
      <c r="I569" s="207"/>
      <c r="J569" s="207"/>
      <c r="K569" s="207"/>
      <c r="L569" s="207"/>
      <c r="M569" s="208"/>
    </row>
    <row r="570" spans="9:13" ht="13.8" x14ac:dyDescent="0.3">
      <c r="I570" s="207"/>
      <c r="J570" s="207"/>
      <c r="K570" s="207"/>
      <c r="L570" s="207"/>
      <c r="M570" s="208"/>
    </row>
    <row r="571" spans="9:13" ht="13.8" x14ac:dyDescent="0.3">
      <c r="I571" s="207"/>
      <c r="J571" s="207"/>
      <c r="K571" s="207"/>
      <c r="L571" s="207"/>
      <c r="M571" s="208"/>
    </row>
    <row r="572" spans="9:13" ht="13.8" x14ac:dyDescent="0.3">
      <c r="I572" s="207"/>
      <c r="J572" s="207"/>
      <c r="K572" s="207"/>
      <c r="L572" s="207"/>
      <c r="M572" s="208"/>
    </row>
    <row r="573" spans="9:13" ht="13.8" x14ac:dyDescent="0.3">
      <c r="I573" s="207"/>
      <c r="J573" s="207"/>
      <c r="K573" s="207"/>
      <c r="L573" s="207"/>
      <c r="M573" s="208"/>
    </row>
    <row r="574" spans="9:13" ht="13.8" x14ac:dyDescent="0.3">
      <c r="I574" s="207"/>
      <c r="J574" s="207"/>
      <c r="K574" s="207"/>
      <c r="L574" s="207"/>
      <c r="M574" s="208"/>
    </row>
    <row r="575" spans="9:13" ht="13.8" x14ac:dyDescent="0.3">
      <c r="I575" s="207"/>
      <c r="J575" s="207"/>
      <c r="K575" s="207"/>
      <c r="L575" s="207"/>
      <c r="M575" s="208"/>
    </row>
    <row r="576" spans="9:13" ht="13.8" x14ac:dyDescent="0.3">
      <c r="I576" s="207"/>
      <c r="J576" s="207"/>
      <c r="K576" s="207"/>
      <c r="L576" s="207"/>
      <c r="M576" s="208"/>
    </row>
    <row r="577" spans="9:13" ht="13.8" x14ac:dyDescent="0.3">
      <c r="I577" s="207"/>
      <c r="J577" s="207"/>
      <c r="K577" s="207"/>
      <c r="L577" s="207"/>
      <c r="M577" s="208"/>
    </row>
    <row r="578" spans="9:13" ht="13.8" x14ac:dyDescent="0.3">
      <c r="I578" s="207"/>
      <c r="J578" s="207"/>
      <c r="K578" s="207"/>
      <c r="L578" s="207"/>
      <c r="M578" s="208"/>
    </row>
    <row r="579" spans="9:13" ht="13.8" x14ac:dyDescent="0.3">
      <c r="I579" s="207"/>
      <c r="J579" s="207"/>
      <c r="K579" s="207"/>
      <c r="L579" s="207"/>
      <c r="M579" s="208"/>
    </row>
    <row r="580" spans="9:13" ht="13.8" x14ac:dyDescent="0.3">
      <c r="I580" s="207"/>
      <c r="J580" s="207"/>
      <c r="K580" s="207"/>
      <c r="L580" s="207"/>
      <c r="M580" s="208"/>
    </row>
    <row r="581" spans="9:13" ht="13.8" x14ac:dyDescent="0.3">
      <c r="I581" s="207"/>
      <c r="J581" s="207"/>
      <c r="K581" s="207"/>
      <c r="L581" s="207"/>
      <c r="M581" s="208"/>
    </row>
    <row r="582" spans="9:13" ht="13.8" x14ac:dyDescent="0.3">
      <c r="I582" s="207"/>
      <c r="J582" s="207"/>
      <c r="K582" s="207"/>
      <c r="L582" s="207"/>
      <c r="M582" s="208"/>
    </row>
    <row r="583" spans="9:13" ht="13.8" x14ac:dyDescent="0.3">
      <c r="I583" s="207"/>
      <c r="J583" s="207"/>
      <c r="K583" s="207"/>
      <c r="L583" s="207"/>
      <c r="M583" s="208"/>
    </row>
    <row r="584" spans="9:13" ht="13.8" x14ac:dyDescent="0.3">
      <c r="I584" s="207"/>
      <c r="J584" s="207"/>
      <c r="K584" s="207"/>
      <c r="L584" s="207"/>
      <c r="M584" s="208"/>
    </row>
    <row r="585" spans="9:13" ht="13.8" x14ac:dyDescent="0.3">
      <c r="I585" s="207"/>
      <c r="J585" s="207"/>
      <c r="K585" s="207"/>
      <c r="L585" s="207"/>
      <c r="M585" s="208"/>
    </row>
    <row r="586" spans="9:13" ht="13.8" x14ac:dyDescent="0.3">
      <c r="I586" s="207"/>
      <c r="J586" s="207"/>
      <c r="K586" s="207"/>
      <c r="L586" s="207"/>
      <c r="M586" s="208"/>
    </row>
    <row r="587" spans="9:13" ht="13.8" x14ac:dyDescent="0.3">
      <c r="I587" s="207"/>
      <c r="J587" s="207"/>
      <c r="K587" s="207"/>
      <c r="L587" s="207"/>
      <c r="M587" s="208"/>
    </row>
    <row r="588" spans="9:13" ht="13.8" x14ac:dyDescent="0.3">
      <c r="I588" s="207"/>
      <c r="J588" s="207"/>
      <c r="K588" s="207"/>
      <c r="L588" s="207"/>
      <c r="M588" s="208"/>
    </row>
    <row r="589" spans="9:13" ht="13.8" x14ac:dyDescent="0.3">
      <c r="I589" s="207"/>
      <c r="J589" s="207"/>
      <c r="K589" s="207"/>
      <c r="L589" s="207"/>
      <c r="M589" s="208"/>
    </row>
    <row r="590" spans="9:13" ht="13.8" x14ac:dyDescent="0.3">
      <c r="I590" s="207"/>
      <c r="J590" s="207"/>
      <c r="K590" s="207"/>
      <c r="L590" s="207"/>
      <c r="M590" s="208"/>
    </row>
    <row r="591" spans="9:13" ht="13.8" x14ac:dyDescent="0.3">
      <c r="I591" s="207"/>
      <c r="J591" s="207"/>
      <c r="K591" s="207"/>
      <c r="L591" s="207"/>
      <c r="M591" s="208"/>
    </row>
    <row r="592" spans="9:13" ht="13.8" x14ac:dyDescent="0.3">
      <c r="I592" s="207"/>
      <c r="J592" s="207"/>
      <c r="K592" s="207"/>
      <c r="L592" s="207"/>
      <c r="M592" s="208"/>
    </row>
    <row r="593" spans="9:13" ht="13.8" x14ac:dyDescent="0.3">
      <c r="I593" s="207"/>
      <c r="J593" s="207"/>
      <c r="K593" s="207"/>
      <c r="L593" s="207"/>
      <c r="M593" s="208"/>
    </row>
    <row r="594" spans="9:13" ht="13.8" x14ac:dyDescent="0.3">
      <c r="I594" s="207"/>
      <c r="J594" s="207"/>
      <c r="K594" s="207"/>
      <c r="L594" s="207"/>
      <c r="M594" s="208"/>
    </row>
    <row r="595" spans="9:13" ht="13.8" x14ac:dyDescent="0.3">
      <c r="I595" s="207"/>
      <c r="J595" s="207"/>
      <c r="K595" s="207"/>
      <c r="L595" s="207"/>
      <c r="M595" s="208"/>
    </row>
    <row r="596" spans="9:13" ht="13.8" x14ac:dyDescent="0.3">
      <c r="I596" s="207"/>
      <c r="J596" s="207"/>
      <c r="K596" s="207"/>
      <c r="L596" s="207"/>
      <c r="M596" s="208"/>
    </row>
    <row r="597" spans="9:13" ht="13.8" x14ac:dyDescent="0.3">
      <c r="I597" s="207"/>
      <c r="J597" s="207"/>
      <c r="K597" s="207"/>
      <c r="L597" s="207"/>
      <c r="M597" s="208"/>
    </row>
    <row r="598" spans="9:13" ht="13.8" x14ac:dyDescent="0.3">
      <c r="I598" s="207"/>
      <c r="J598" s="207"/>
      <c r="K598" s="207"/>
      <c r="L598" s="207"/>
      <c r="M598" s="208"/>
    </row>
    <row r="599" spans="9:13" ht="13.8" x14ac:dyDescent="0.3">
      <c r="I599" s="207"/>
      <c r="J599" s="207"/>
      <c r="K599" s="207"/>
      <c r="L599" s="207"/>
      <c r="M599" s="208"/>
    </row>
    <row r="600" spans="9:13" ht="13.8" x14ac:dyDescent="0.3">
      <c r="I600" s="207"/>
      <c r="J600" s="207"/>
      <c r="K600" s="207"/>
      <c r="L600" s="207"/>
      <c r="M600" s="208"/>
    </row>
    <row r="601" spans="9:13" ht="13.8" x14ac:dyDescent="0.3">
      <c r="I601" s="207"/>
      <c r="J601" s="207"/>
      <c r="K601" s="207"/>
      <c r="L601" s="207"/>
      <c r="M601" s="208"/>
    </row>
    <row r="602" spans="9:13" ht="13.8" x14ac:dyDescent="0.3">
      <c r="I602" s="207"/>
      <c r="J602" s="207"/>
      <c r="K602" s="207"/>
      <c r="L602" s="207"/>
      <c r="M602" s="208"/>
    </row>
    <row r="603" spans="9:13" ht="13.8" x14ac:dyDescent="0.3">
      <c r="I603" s="207"/>
      <c r="J603" s="207"/>
      <c r="K603" s="207"/>
      <c r="L603" s="207"/>
      <c r="M603" s="208"/>
    </row>
    <row r="604" spans="9:13" ht="13.8" x14ac:dyDescent="0.3">
      <c r="I604" s="207"/>
      <c r="J604" s="207"/>
      <c r="K604" s="207"/>
      <c r="L604" s="207"/>
      <c r="M604" s="208"/>
    </row>
    <row r="605" spans="9:13" ht="13.8" x14ac:dyDescent="0.3">
      <c r="I605" s="207"/>
      <c r="J605" s="207"/>
      <c r="K605" s="207"/>
      <c r="L605" s="207"/>
      <c r="M605" s="208"/>
    </row>
    <row r="606" spans="9:13" ht="13.8" x14ac:dyDescent="0.3">
      <c r="I606" s="207"/>
      <c r="J606" s="207"/>
      <c r="K606" s="207"/>
      <c r="L606" s="207"/>
      <c r="M606" s="208"/>
    </row>
    <row r="607" spans="9:13" ht="13.8" x14ac:dyDescent="0.3">
      <c r="I607" s="207"/>
      <c r="J607" s="207"/>
      <c r="K607" s="207"/>
      <c r="L607" s="207"/>
      <c r="M607" s="208"/>
    </row>
    <row r="608" spans="9:13" ht="13.8" x14ac:dyDescent="0.3">
      <c r="I608" s="207"/>
      <c r="J608" s="207"/>
      <c r="K608" s="207"/>
      <c r="L608" s="207"/>
      <c r="M608" s="208"/>
    </row>
    <row r="609" spans="9:13" ht="13.8" x14ac:dyDescent="0.3">
      <c r="I609" s="207"/>
      <c r="J609" s="207"/>
      <c r="K609" s="207"/>
      <c r="L609" s="207"/>
      <c r="M609" s="208"/>
    </row>
    <row r="610" spans="9:13" ht="13.8" x14ac:dyDescent="0.3">
      <c r="I610" s="207"/>
      <c r="J610" s="207"/>
      <c r="K610" s="207"/>
      <c r="L610" s="207"/>
      <c r="M610" s="208"/>
    </row>
    <row r="611" spans="9:13" ht="13.8" x14ac:dyDescent="0.3">
      <c r="I611" s="207"/>
      <c r="J611" s="207"/>
      <c r="K611" s="207"/>
      <c r="L611" s="207"/>
      <c r="M611" s="208"/>
    </row>
    <row r="612" spans="9:13" ht="13.8" x14ac:dyDescent="0.3">
      <c r="I612" s="207"/>
      <c r="J612" s="207"/>
      <c r="K612" s="207"/>
      <c r="L612" s="207"/>
      <c r="M612" s="208"/>
    </row>
    <row r="613" spans="9:13" ht="13.8" x14ac:dyDescent="0.3">
      <c r="I613" s="207"/>
      <c r="J613" s="207"/>
      <c r="K613" s="207"/>
      <c r="L613" s="207"/>
      <c r="M613" s="208"/>
    </row>
    <row r="614" spans="9:13" ht="13.8" x14ac:dyDescent="0.3">
      <c r="I614" s="207"/>
      <c r="J614" s="207"/>
      <c r="K614" s="207"/>
      <c r="L614" s="207"/>
      <c r="M614" s="208"/>
    </row>
    <row r="615" spans="9:13" ht="13.8" x14ac:dyDescent="0.3">
      <c r="I615" s="207"/>
      <c r="J615" s="207"/>
      <c r="K615" s="207"/>
      <c r="L615" s="207"/>
      <c r="M615" s="208"/>
    </row>
    <row r="616" spans="9:13" ht="13.8" x14ac:dyDescent="0.3">
      <c r="I616" s="207"/>
      <c r="J616" s="207"/>
      <c r="K616" s="207"/>
      <c r="L616" s="207"/>
      <c r="M616" s="208"/>
    </row>
    <row r="617" spans="9:13" ht="13.8" x14ac:dyDescent="0.3">
      <c r="I617" s="207"/>
      <c r="J617" s="207"/>
      <c r="K617" s="207"/>
      <c r="L617" s="207"/>
      <c r="M617" s="208"/>
    </row>
    <row r="618" spans="9:13" ht="13.8" x14ac:dyDescent="0.3">
      <c r="I618" s="207"/>
      <c r="J618" s="207"/>
      <c r="K618" s="207"/>
      <c r="L618" s="207"/>
      <c r="M618" s="208"/>
    </row>
    <row r="619" spans="9:13" ht="13.8" x14ac:dyDescent="0.3">
      <c r="I619" s="207"/>
      <c r="J619" s="207"/>
      <c r="K619" s="207"/>
      <c r="L619" s="207"/>
      <c r="M619" s="208"/>
    </row>
    <row r="620" spans="9:13" ht="13.8" x14ac:dyDescent="0.3">
      <c r="I620" s="207"/>
      <c r="J620" s="207"/>
      <c r="K620" s="207"/>
      <c r="L620" s="207"/>
      <c r="M620" s="208"/>
    </row>
    <row r="621" spans="9:13" ht="13.8" x14ac:dyDescent="0.3">
      <c r="I621" s="207"/>
      <c r="J621" s="207"/>
      <c r="K621" s="207"/>
      <c r="L621" s="207"/>
      <c r="M621" s="208"/>
    </row>
    <row r="622" spans="9:13" ht="13.8" x14ac:dyDescent="0.3">
      <c r="I622" s="207"/>
      <c r="J622" s="207"/>
      <c r="K622" s="207"/>
      <c r="L622" s="207"/>
      <c r="M622" s="208"/>
    </row>
    <row r="623" spans="9:13" ht="13.8" x14ac:dyDescent="0.3">
      <c r="I623" s="207"/>
      <c r="J623" s="207"/>
      <c r="K623" s="207"/>
      <c r="L623" s="207"/>
      <c r="M623" s="208"/>
    </row>
    <row r="624" spans="9:13" ht="13.8" x14ac:dyDescent="0.3">
      <c r="I624" s="207"/>
      <c r="J624" s="207"/>
      <c r="K624" s="207"/>
      <c r="L624" s="207"/>
      <c r="M624" s="208"/>
    </row>
    <row r="625" spans="9:13" ht="13.8" x14ac:dyDescent="0.3">
      <c r="I625" s="207"/>
      <c r="J625" s="207"/>
      <c r="K625" s="207"/>
      <c r="L625" s="207"/>
      <c r="M625" s="208"/>
    </row>
    <row r="626" spans="9:13" ht="13.8" x14ac:dyDescent="0.3">
      <c r="I626" s="207"/>
      <c r="J626" s="207"/>
      <c r="K626" s="207"/>
      <c r="L626" s="207"/>
      <c r="M626" s="208"/>
    </row>
    <row r="627" spans="9:13" ht="13.8" x14ac:dyDescent="0.3">
      <c r="I627" s="207"/>
      <c r="J627" s="207"/>
      <c r="K627" s="207"/>
      <c r="L627" s="207"/>
      <c r="M627" s="208"/>
    </row>
    <row r="628" spans="9:13" ht="13.8" x14ac:dyDescent="0.3">
      <c r="I628" s="207"/>
      <c r="J628" s="207"/>
      <c r="K628" s="207"/>
      <c r="L628" s="207"/>
      <c r="M628" s="208"/>
    </row>
    <row r="629" spans="9:13" ht="13.8" x14ac:dyDescent="0.3">
      <c r="I629" s="207"/>
      <c r="J629" s="207"/>
      <c r="K629" s="207"/>
      <c r="L629" s="207"/>
      <c r="M629" s="208"/>
    </row>
    <row r="630" spans="9:13" ht="13.8" x14ac:dyDescent="0.3">
      <c r="I630" s="207"/>
      <c r="J630" s="207"/>
      <c r="K630" s="207"/>
      <c r="L630" s="207"/>
      <c r="M630" s="208"/>
    </row>
    <row r="631" spans="9:13" ht="13.8" x14ac:dyDescent="0.3">
      <c r="I631" s="207"/>
      <c r="J631" s="207"/>
      <c r="K631" s="207"/>
      <c r="L631" s="207"/>
      <c r="M631" s="208"/>
    </row>
    <row r="632" spans="9:13" ht="13.8" x14ac:dyDescent="0.3">
      <c r="I632" s="207"/>
      <c r="J632" s="207"/>
      <c r="K632" s="207"/>
      <c r="L632" s="207"/>
      <c r="M632" s="208"/>
    </row>
    <row r="633" spans="9:13" ht="13.8" x14ac:dyDescent="0.3">
      <c r="I633" s="207"/>
      <c r="J633" s="207"/>
      <c r="K633" s="207"/>
      <c r="L633" s="207"/>
      <c r="M633" s="208"/>
    </row>
    <row r="634" spans="9:13" ht="13.8" x14ac:dyDescent="0.3">
      <c r="I634" s="207"/>
      <c r="J634" s="207"/>
      <c r="K634" s="207"/>
      <c r="L634" s="207"/>
      <c r="M634" s="208"/>
    </row>
    <row r="635" spans="9:13" ht="13.8" x14ac:dyDescent="0.3">
      <c r="I635" s="207"/>
      <c r="J635" s="207"/>
      <c r="K635" s="207"/>
      <c r="L635" s="207"/>
      <c r="M635" s="208"/>
    </row>
    <row r="636" spans="9:13" ht="13.8" x14ac:dyDescent="0.3">
      <c r="I636" s="207"/>
      <c r="J636" s="207"/>
      <c r="K636" s="207"/>
      <c r="L636" s="207"/>
      <c r="M636" s="208"/>
    </row>
    <row r="637" spans="9:13" ht="13.8" x14ac:dyDescent="0.3">
      <c r="I637" s="207"/>
      <c r="J637" s="207"/>
      <c r="K637" s="207"/>
      <c r="L637" s="207"/>
      <c r="M637" s="208"/>
    </row>
    <row r="638" spans="9:13" ht="13.8" x14ac:dyDescent="0.3">
      <c r="I638" s="207"/>
      <c r="J638" s="207"/>
      <c r="K638" s="207"/>
      <c r="L638" s="207"/>
      <c r="M638" s="208"/>
    </row>
    <row r="639" spans="9:13" ht="13.8" x14ac:dyDescent="0.3">
      <c r="I639" s="207"/>
      <c r="J639" s="207"/>
      <c r="K639" s="207"/>
      <c r="L639" s="207"/>
      <c r="M639" s="208"/>
    </row>
    <row r="640" spans="9:13" ht="13.8" x14ac:dyDescent="0.3">
      <c r="I640" s="207"/>
      <c r="J640" s="207"/>
      <c r="K640" s="207"/>
      <c r="L640" s="207"/>
      <c r="M640" s="208"/>
    </row>
    <row r="641" spans="9:13" ht="13.8" x14ac:dyDescent="0.3">
      <c r="I641" s="207"/>
      <c r="J641" s="207"/>
      <c r="K641" s="207"/>
      <c r="L641" s="207"/>
      <c r="M641" s="208"/>
    </row>
    <row r="642" spans="9:13" ht="13.8" x14ac:dyDescent="0.3">
      <c r="I642" s="207"/>
      <c r="J642" s="207"/>
      <c r="K642" s="207"/>
      <c r="L642" s="207"/>
      <c r="M642" s="208"/>
    </row>
    <row r="643" spans="9:13" ht="13.8" x14ac:dyDescent="0.3">
      <c r="I643" s="207"/>
      <c r="J643" s="207"/>
      <c r="K643" s="207"/>
      <c r="L643" s="207"/>
      <c r="M643" s="208"/>
    </row>
    <row r="644" spans="9:13" ht="13.8" x14ac:dyDescent="0.3">
      <c r="I644" s="207"/>
      <c r="J644" s="207"/>
      <c r="K644" s="207"/>
      <c r="L644" s="207"/>
      <c r="M644" s="208"/>
    </row>
    <row r="645" spans="9:13" ht="13.8" x14ac:dyDescent="0.3">
      <c r="I645" s="207"/>
      <c r="J645" s="207"/>
      <c r="K645" s="207"/>
      <c r="L645" s="207"/>
      <c r="M645" s="208"/>
    </row>
    <row r="646" spans="9:13" ht="13.8" x14ac:dyDescent="0.3">
      <c r="I646" s="207"/>
      <c r="J646" s="207"/>
      <c r="K646" s="207"/>
      <c r="L646" s="207"/>
      <c r="M646" s="208"/>
    </row>
    <row r="647" spans="9:13" ht="13.8" x14ac:dyDescent="0.3">
      <c r="I647" s="207"/>
      <c r="J647" s="207"/>
      <c r="K647" s="207"/>
      <c r="L647" s="207"/>
      <c r="M647" s="208"/>
    </row>
    <row r="648" spans="9:13" ht="13.8" x14ac:dyDescent="0.3">
      <c r="I648" s="207"/>
      <c r="J648" s="207"/>
      <c r="K648" s="207"/>
      <c r="L648" s="207"/>
      <c r="M648" s="208"/>
    </row>
    <row r="649" spans="9:13" ht="13.8" x14ac:dyDescent="0.3">
      <c r="I649" s="207"/>
      <c r="J649" s="207"/>
      <c r="K649" s="207"/>
      <c r="L649" s="207"/>
      <c r="M649" s="208"/>
    </row>
    <row r="650" spans="9:13" ht="13.8" x14ac:dyDescent="0.3">
      <c r="I650" s="207"/>
      <c r="J650" s="207"/>
      <c r="K650" s="207"/>
      <c r="L650" s="207"/>
      <c r="M650" s="208"/>
    </row>
    <row r="651" spans="9:13" ht="13.8" x14ac:dyDescent="0.3">
      <c r="I651" s="207"/>
      <c r="J651" s="207"/>
      <c r="K651" s="207"/>
      <c r="L651" s="207"/>
      <c r="M651" s="208"/>
    </row>
    <row r="652" spans="9:13" ht="13.8" x14ac:dyDescent="0.3">
      <c r="I652" s="207"/>
      <c r="J652" s="207"/>
      <c r="K652" s="207"/>
      <c r="L652" s="207"/>
      <c r="M652" s="208"/>
    </row>
    <row r="653" spans="9:13" ht="13.8" x14ac:dyDescent="0.3">
      <c r="I653" s="207"/>
      <c r="J653" s="207"/>
      <c r="K653" s="207"/>
      <c r="L653" s="207"/>
      <c r="M653" s="208"/>
    </row>
    <row r="654" spans="9:13" ht="13.8" x14ac:dyDescent="0.3">
      <c r="I654" s="207"/>
      <c r="J654" s="207"/>
      <c r="K654" s="207"/>
      <c r="L654" s="207"/>
      <c r="M654" s="208"/>
    </row>
    <row r="655" spans="9:13" ht="13.8" x14ac:dyDescent="0.3">
      <c r="I655" s="207"/>
      <c r="J655" s="207"/>
      <c r="K655" s="207"/>
      <c r="L655" s="207"/>
      <c r="M655" s="208"/>
    </row>
    <row r="656" spans="9:13" ht="13.8" x14ac:dyDescent="0.3">
      <c r="I656" s="207"/>
      <c r="J656" s="207"/>
      <c r="K656" s="207"/>
      <c r="L656" s="207"/>
      <c r="M656" s="208"/>
    </row>
    <row r="657" spans="9:13" ht="13.8" x14ac:dyDescent="0.3">
      <c r="I657" s="207"/>
      <c r="J657" s="207"/>
      <c r="K657" s="207"/>
      <c r="L657" s="207"/>
      <c r="M657" s="208"/>
    </row>
    <row r="658" spans="9:13" ht="13.8" x14ac:dyDescent="0.3">
      <c r="I658" s="207"/>
      <c r="J658" s="207"/>
      <c r="K658" s="207"/>
      <c r="L658" s="207"/>
      <c r="M658" s="208"/>
    </row>
    <row r="659" spans="9:13" ht="13.8" x14ac:dyDescent="0.3">
      <c r="I659" s="207"/>
      <c r="J659" s="207"/>
      <c r="K659" s="207"/>
      <c r="L659" s="207"/>
      <c r="M659" s="208"/>
    </row>
    <row r="660" spans="9:13" ht="13.8" x14ac:dyDescent="0.3">
      <c r="I660" s="207"/>
      <c r="J660" s="207"/>
      <c r="K660" s="207"/>
      <c r="L660" s="207"/>
      <c r="M660" s="208"/>
    </row>
    <row r="661" spans="9:13" ht="13.8" x14ac:dyDescent="0.3">
      <c r="I661" s="207"/>
      <c r="J661" s="207"/>
      <c r="K661" s="207"/>
      <c r="L661" s="207"/>
      <c r="M661" s="208"/>
    </row>
    <row r="662" spans="9:13" ht="13.8" x14ac:dyDescent="0.3">
      <c r="I662" s="207"/>
      <c r="J662" s="207"/>
      <c r="K662" s="207"/>
      <c r="L662" s="207"/>
      <c r="M662" s="208"/>
    </row>
    <row r="663" spans="9:13" ht="13.8" x14ac:dyDescent="0.3">
      <c r="I663" s="207"/>
      <c r="J663" s="207"/>
      <c r="K663" s="207"/>
      <c r="L663" s="207"/>
      <c r="M663" s="208"/>
    </row>
    <row r="664" spans="9:13" ht="13.8" x14ac:dyDescent="0.3">
      <c r="I664" s="207"/>
      <c r="J664" s="207"/>
      <c r="K664" s="207"/>
      <c r="L664" s="207"/>
      <c r="M664" s="208"/>
    </row>
    <row r="665" spans="9:13" ht="13.8" x14ac:dyDescent="0.3">
      <c r="I665" s="207"/>
      <c r="J665" s="207"/>
      <c r="K665" s="207"/>
      <c r="L665" s="207"/>
      <c r="M665" s="208"/>
    </row>
    <row r="666" spans="9:13" ht="13.8" x14ac:dyDescent="0.3">
      <c r="I666" s="207"/>
      <c r="J666" s="207"/>
      <c r="K666" s="207"/>
      <c r="L666" s="207"/>
      <c r="M666" s="208"/>
    </row>
    <row r="667" spans="9:13" ht="13.8" x14ac:dyDescent="0.3">
      <c r="I667" s="207"/>
      <c r="J667" s="207"/>
      <c r="K667" s="207"/>
      <c r="L667" s="207"/>
      <c r="M667" s="208"/>
    </row>
    <row r="668" spans="9:13" ht="13.8" x14ac:dyDescent="0.3">
      <c r="I668" s="207"/>
      <c r="J668" s="207"/>
      <c r="K668" s="207"/>
      <c r="L668" s="207"/>
      <c r="M668" s="208"/>
    </row>
    <row r="669" spans="9:13" ht="13.8" x14ac:dyDescent="0.3">
      <c r="I669" s="207"/>
      <c r="J669" s="207"/>
      <c r="K669" s="207"/>
      <c r="L669" s="207"/>
      <c r="M669" s="208"/>
    </row>
    <row r="670" spans="9:13" ht="13.8" x14ac:dyDescent="0.3">
      <c r="I670" s="207"/>
      <c r="J670" s="207"/>
      <c r="K670" s="207"/>
      <c r="L670" s="207"/>
      <c r="M670" s="208"/>
    </row>
    <row r="671" spans="9:13" ht="13.8" x14ac:dyDescent="0.3">
      <c r="I671" s="207"/>
      <c r="J671" s="207"/>
      <c r="K671" s="207"/>
      <c r="L671" s="207"/>
      <c r="M671" s="208"/>
    </row>
    <row r="672" spans="9:13" ht="13.8" x14ac:dyDescent="0.3">
      <c r="I672" s="207"/>
      <c r="J672" s="207"/>
      <c r="K672" s="207"/>
      <c r="L672" s="207"/>
      <c r="M672" s="208"/>
    </row>
    <row r="673" spans="9:13" ht="13.8" x14ac:dyDescent="0.3">
      <c r="I673" s="207"/>
      <c r="J673" s="207"/>
      <c r="K673" s="207"/>
      <c r="L673" s="207"/>
      <c r="M673" s="208"/>
    </row>
    <row r="674" spans="9:13" ht="13.8" x14ac:dyDescent="0.3">
      <c r="I674" s="207"/>
      <c r="J674" s="207"/>
      <c r="K674" s="207"/>
      <c r="L674" s="207"/>
      <c r="M674" s="208"/>
    </row>
    <row r="675" spans="9:13" ht="13.8" x14ac:dyDescent="0.3">
      <c r="I675" s="207"/>
      <c r="J675" s="207"/>
      <c r="K675" s="207"/>
      <c r="L675" s="207"/>
      <c r="M675" s="208"/>
    </row>
    <row r="676" spans="9:13" ht="13.8" x14ac:dyDescent="0.3">
      <c r="I676" s="207"/>
      <c r="J676" s="207"/>
      <c r="K676" s="207"/>
      <c r="L676" s="207"/>
      <c r="M676" s="208"/>
    </row>
    <row r="677" spans="9:13" ht="13.8" x14ac:dyDescent="0.3">
      <c r="I677" s="207"/>
      <c r="J677" s="207"/>
      <c r="K677" s="207"/>
      <c r="L677" s="207"/>
      <c r="M677" s="208"/>
    </row>
    <row r="678" spans="9:13" ht="13.8" x14ac:dyDescent="0.3">
      <c r="I678" s="207"/>
      <c r="J678" s="207"/>
      <c r="K678" s="207"/>
      <c r="L678" s="207"/>
      <c r="M678" s="208"/>
    </row>
    <row r="679" spans="9:13" ht="13.8" x14ac:dyDescent="0.3">
      <c r="I679" s="207"/>
      <c r="J679" s="207"/>
      <c r="K679" s="207"/>
      <c r="L679" s="207"/>
      <c r="M679" s="208"/>
    </row>
    <row r="680" spans="9:13" ht="13.8" x14ac:dyDescent="0.3">
      <c r="I680" s="207"/>
      <c r="J680" s="207"/>
      <c r="K680" s="207"/>
      <c r="L680" s="207"/>
      <c r="M680" s="208"/>
    </row>
    <row r="681" spans="9:13" ht="13.8" x14ac:dyDescent="0.3">
      <c r="I681" s="207"/>
      <c r="J681" s="207"/>
      <c r="K681" s="207"/>
      <c r="L681" s="207"/>
      <c r="M681" s="208"/>
    </row>
    <row r="682" spans="9:13" ht="13.8" x14ac:dyDescent="0.3">
      <c r="I682" s="207"/>
      <c r="J682" s="207"/>
      <c r="K682" s="207"/>
      <c r="L682" s="207"/>
      <c r="M682" s="208"/>
    </row>
    <row r="683" spans="9:13" ht="13.8" x14ac:dyDescent="0.3">
      <c r="I683" s="207"/>
      <c r="J683" s="207"/>
      <c r="K683" s="207"/>
      <c r="L683" s="207"/>
      <c r="M683" s="208"/>
    </row>
    <row r="684" spans="9:13" ht="13.8" x14ac:dyDescent="0.3">
      <c r="I684" s="207"/>
      <c r="J684" s="207"/>
      <c r="K684" s="207"/>
      <c r="L684" s="207"/>
      <c r="M684" s="208"/>
    </row>
    <row r="685" spans="9:13" ht="13.8" x14ac:dyDescent="0.3">
      <c r="I685" s="207"/>
      <c r="J685" s="207"/>
      <c r="K685" s="207"/>
      <c r="L685" s="207"/>
      <c r="M685" s="208"/>
    </row>
    <row r="686" spans="9:13" ht="13.8" x14ac:dyDescent="0.3">
      <c r="I686" s="207"/>
      <c r="J686" s="207"/>
      <c r="K686" s="207"/>
      <c r="L686" s="207"/>
      <c r="M686" s="208"/>
    </row>
    <row r="687" spans="9:13" ht="13.8" x14ac:dyDescent="0.3">
      <c r="I687" s="207"/>
      <c r="J687" s="207"/>
      <c r="K687" s="207"/>
      <c r="L687" s="207"/>
      <c r="M687" s="208"/>
    </row>
    <row r="688" spans="9:13" ht="13.8" x14ac:dyDescent="0.3">
      <c r="I688" s="207"/>
      <c r="J688" s="207"/>
      <c r="K688" s="207"/>
      <c r="L688" s="207"/>
      <c r="M688" s="208"/>
    </row>
    <row r="689" spans="9:13" ht="13.8" x14ac:dyDescent="0.3">
      <c r="I689" s="207"/>
      <c r="J689" s="207"/>
      <c r="K689" s="207"/>
      <c r="L689" s="207"/>
      <c r="M689" s="208"/>
    </row>
    <row r="690" spans="9:13" ht="13.8" x14ac:dyDescent="0.3">
      <c r="I690" s="207"/>
      <c r="J690" s="207"/>
      <c r="K690" s="207"/>
      <c r="L690" s="207"/>
      <c r="M690" s="208"/>
    </row>
    <row r="691" spans="9:13" ht="13.8" x14ac:dyDescent="0.3">
      <c r="I691" s="207"/>
      <c r="J691" s="207"/>
      <c r="K691" s="207"/>
      <c r="L691" s="207"/>
      <c r="M691" s="208"/>
    </row>
    <row r="692" spans="9:13" ht="13.8" x14ac:dyDescent="0.3">
      <c r="I692" s="207"/>
      <c r="J692" s="207"/>
      <c r="K692" s="207"/>
      <c r="L692" s="207"/>
      <c r="M692" s="208"/>
    </row>
    <row r="693" spans="9:13" ht="13.8" x14ac:dyDescent="0.3">
      <c r="I693" s="207"/>
      <c r="J693" s="207"/>
      <c r="K693" s="207"/>
      <c r="L693" s="207"/>
      <c r="M693" s="208"/>
    </row>
    <row r="694" spans="9:13" ht="13.8" x14ac:dyDescent="0.3">
      <c r="I694" s="207"/>
      <c r="J694" s="207"/>
      <c r="K694" s="207"/>
      <c r="L694" s="207"/>
      <c r="M694" s="208"/>
    </row>
    <row r="695" spans="9:13" ht="13.8" x14ac:dyDescent="0.3">
      <c r="I695" s="207"/>
      <c r="J695" s="207"/>
      <c r="K695" s="207"/>
      <c r="L695" s="207"/>
      <c r="M695" s="208"/>
    </row>
    <row r="696" spans="9:13" ht="13.8" x14ac:dyDescent="0.3">
      <c r="I696" s="207"/>
      <c r="J696" s="207"/>
      <c r="K696" s="207"/>
      <c r="L696" s="207"/>
      <c r="M696" s="208"/>
    </row>
    <row r="697" spans="9:13" ht="13.8" x14ac:dyDescent="0.3">
      <c r="I697" s="207"/>
      <c r="J697" s="207"/>
      <c r="K697" s="207"/>
      <c r="L697" s="207"/>
      <c r="M697" s="208"/>
    </row>
    <row r="698" spans="9:13" ht="13.8" x14ac:dyDescent="0.3">
      <c r="I698" s="207"/>
      <c r="J698" s="207"/>
      <c r="K698" s="207"/>
      <c r="L698" s="207"/>
      <c r="M698" s="208"/>
    </row>
    <row r="699" spans="9:13" ht="13.8" x14ac:dyDescent="0.3">
      <c r="I699" s="207"/>
      <c r="J699" s="207"/>
      <c r="K699" s="207"/>
      <c r="L699" s="207"/>
      <c r="M699" s="208"/>
    </row>
    <row r="700" spans="9:13" ht="13.8" x14ac:dyDescent="0.3">
      <c r="I700" s="207"/>
      <c r="J700" s="207"/>
      <c r="K700" s="207"/>
      <c r="L700" s="207"/>
      <c r="M700" s="208"/>
    </row>
    <row r="701" spans="9:13" ht="13.8" x14ac:dyDescent="0.3">
      <c r="I701" s="207"/>
      <c r="J701" s="207"/>
      <c r="K701" s="207"/>
      <c r="L701" s="207"/>
      <c r="M701" s="208"/>
    </row>
    <row r="702" spans="9:13" ht="13.8" x14ac:dyDescent="0.3">
      <c r="I702" s="207"/>
      <c r="J702" s="207"/>
      <c r="K702" s="207"/>
      <c r="L702" s="207"/>
      <c r="M702" s="208"/>
    </row>
    <row r="703" spans="9:13" ht="13.8" x14ac:dyDescent="0.3">
      <c r="I703" s="207"/>
      <c r="J703" s="207"/>
      <c r="K703" s="207"/>
      <c r="L703" s="207"/>
      <c r="M703" s="208"/>
    </row>
    <row r="704" spans="9:13" ht="13.8" x14ac:dyDescent="0.3">
      <c r="I704" s="207"/>
      <c r="J704" s="207"/>
      <c r="K704" s="207"/>
      <c r="L704" s="207"/>
      <c r="M704" s="208"/>
    </row>
    <row r="705" spans="9:13" ht="13.8" x14ac:dyDescent="0.3">
      <c r="I705" s="207"/>
      <c r="J705" s="207"/>
      <c r="K705" s="207"/>
      <c r="L705" s="207"/>
      <c r="M705" s="208"/>
    </row>
    <row r="706" spans="9:13" ht="13.8" x14ac:dyDescent="0.3">
      <c r="I706" s="207"/>
      <c r="J706" s="207"/>
      <c r="K706" s="207"/>
      <c r="L706" s="207"/>
      <c r="M706" s="208"/>
    </row>
    <row r="707" spans="9:13" ht="13.8" x14ac:dyDescent="0.3">
      <c r="I707" s="207"/>
      <c r="J707" s="207"/>
      <c r="K707" s="207"/>
      <c r="L707" s="207"/>
      <c r="M707" s="208"/>
    </row>
    <row r="708" spans="9:13" ht="13.8" x14ac:dyDescent="0.3">
      <c r="I708" s="207"/>
      <c r="J708" s="207"/>
      <c r="K708" s="207"/>
      <c r="L708" s="207"/>
      <c r="M708" s="208"/>
    </row>
    <row r="709" spans="9:13" ht="13.8" x14ac:dyDescent="0.3">
      <c r="I709" s="207"/>
      <c r="J709" s="207"/>
      <c r="K709" s="207"/>
      <c r="L709" s="207"/>
      <c r="M709" s="208"/>
    </row>
    <row r="710" spans="9:13" ht="13.8" x14ac:dyDescent="0.3">
      <c r="I710" s="207"/>
      <c r="J710" s="207"/>
      <c r="K710" s="207"/>
      <c r="L710" s="207"/>
      <c r="M710" s="208"/>
    </row>
    <row r="711" spans="9:13" ht="13.8" x14ac:dyDescent="0.3">
      <c r="I711" s="207"/>
      <c r="J711" s="207"/>
      <c r="K711" s="207"/>
      <c r="L711" s="207"/>
      <c r="M711" s="208"/>
    </row>
    <row r="712" spans="9:13" ht="13.8" x14ac:dyDescent="0.3">
      <c r="I712" s="207"/>
      <c r="J712" s="207"/>
      <c r="K712" s="207"/>
      <c r="L712" s="207"/>
      <c r="M712" s="208"/>
    </row>
    <row r="713" spans="9:13" ht="13.8" x14ac:dyDescent="0.3">
      <c r="I713" s="207"/>
      <c r="J713" s="207"/>
      <c r="K713" s="207"/>
      <c r="L713" s="207"/>
      <c r="M713" s="208"/>
    </row>
    <row r="714" spans="9:13" ht="13.8" x14ac:dyDescent="0.3">
      <c r="I714" s="207"/>
      <c r="J714" s="207"/>
      <c r="K714" s="207"/>
      <c r="L714" s="207"/>
      <c r="M714" s="208"/>
    </row>
    <row r="715" spans="9:13" ht="13.8" x14ac:dyDescent="0.3">
      <c r="I715" s="207"/>
      <c r="J715" s="207"/>
      <c r="K715" s="207"/>
      <c r="L715" s="207"/>
      <c r="M715" s="208"/>
    </row>
    <row r="716" spans="9:13" ht="13.8" x14ac:dyDescent="0.3">
      <c r="I716" s="207"/>
      <c r="J716" s="207"/>
      <c r="K716" s="207"/>
      <c r="L716" s="207"/>
      <c r="M716" s="208"/>
    </row>
    <row r="717" spans="9:13" ht="13.8" x14ac:dyDescent="0.3">
      <c r="I717" s="207"/>
      <c r="J717" s="207"/>
      <c r="K717" s="207"/>
      <c r="L717" s="207"/>
      <c r="M717" s="208"/>
    </row>
    <row r="718" spans="9:13" ht="13.8" x14ac:dyDescent="0.3">
      <c r="I718" s="207"/>
      <c r="J718" s="207"/>
      <c r="K718" s="207"/>
      <c r="L718" s="207"/>
      <c r="M718" s="208"/>
    </row>
    <row r="719" spans="9:13" ht="13.8" x14ac:dyDescent="0.3">
      <c r="I719" s="207"/>
      <c r="J719" s="207"/>
      <c r="K719" s="207"/>
      <c r="L719" s="207"/>
      <c r="M719" s="208"/>
    </row>
    <row r="720" spans="9:13" ht="13.8" x14ac:dyDescent="0.3">
      <c r="I720" s="207"/>
      <c r="J720" s="207"/>
      <c r="K720" s="207"/>
      <c r="L720" s="207"/>
      <c r="M720" s="208"/>
    </row>
    <row r="721" spans="9:13" ht="13.8" x14ac:dyDescent="0.3">
      <c r="I721" s="207"/>
      <c r="J721" s="207"/>
      <c r="K721" s="207"/>
      <c r="L721" s="207"/>
      <c r="M721" s="208"/>
    </row>
    <row r="722" spans="9:13" ht="13.8" x14ac:dyDescent="0.3">
      <c r="I722" s="207"/>
      <c r="J722" s="207"/>
      <c r="K722" s="207"/>
      <c r="L722" s="207"/>
      <c r="M722" s="208"/>
    </row>
    <row r="723" spans="9:13" ht="13.8" x14ac:dyDescent="0.3">
      <c r="I723" s="207"/>
      <c r="J723" s="207"/>
      <c r="K723" s="207"/>
      <c r="L723" s="207"/>
      <c r="M723" s="208"/>
    </row>
    <row r="724" spans="9:13" ht="13.8" x14ac:dyDescent="0.3">
      <c r="I724" s="207"/>
      <c r="J724" s="207"/>
      <c r="K724" s="207"/>
      <c r="L724" s="207"/>
      <c r="M724" s="208"/>
    </row>
    <row r="725" spans="9:13" ht="13.8" x14ac:dyDescent="0.3">
      <c r="I725" s="207"/>
      <c r="J725" s="207"/>
      <c r="K725" s="207"/>
      <c r="L725" s="207"/>
      <c r="M725" s="208"/>
    </row>
    <row r="726" spans="9:13" ht="13.8" x14ac:dyDescent="0.3">
      <c r="I726" s="207"/>
      <c r="J726" s="207"/>
      <c r="K726" s="207"/>
      <c r="L726" s="207"/>
      <c r="M726" s="208"/>
    </row>
    <row r="727" spans="9:13" ht="13.8" x14ac:dyDescent="0.3">
      <c r="I727" s="207"/>
      <c r="J727" s="207"/>
      <c r="K727" s="207"/>
      <c r="L727" s="207"/>
      <c r="M727" s="208"/>
    </row>
    <row r="728" spans="9:13" ht="13.8" x14ac:dyDescent="0.3">
      <c r="I728" s="207"/>
      <c r="J728" s="207"/>
      <c r="K728" s="207"/>
      <c r="L728" s="207"/>
      <c r="M728" s="208"/>
    </row>
    <row r="729" spans="9:13" ht="13.8" x14ac:dyDescent="0.3">
      <c r="I729" s="207"/>
      <c r="J729" s="207"/>
      <c r="K729" s="207"/>
      <c r="L729" s="207"/>
      <c r="M729" s="208"/>
    </row>
    <row r="730" spans="9:13" ht="13.8" x14ac:dyDescent="0.3">
      <c r="I730" s="207"/>
      <c r="J730" s="207"/>
      <c r="K730" s="207"/>
      <c r="L730" s="207"/>
      <c r="M730" s="208"/>
    </row>
    <row r="731" spans="9:13" ht="13.8" x14ac:dyDescent="0.3">
      <c r="I731" s="207"/>
      <c r="J731" s="207"/>
      <c r="K731" s="207"/>
      <c r="L731" s="207"/>
      <c r="M731" s="208"/>
    </row>
    <row r="732" spans="9:13" ht="13.8" x14ac:dyDescent="0.3">
      <c r="I732" s="207"/>
      <c r="J732" s="207"/>
      <c r="K732" s="207"/>
      <c r="L732" s="207"/>
      <c r="M732" s="208"/>
    </row>
    <row r="733" spans="9:13" ht="13.8" x14ac:dyDescent="0.3">
      <c r="I733" s="207"/>
      <c r="J733" s="207"/>
      <c r="K733" s="207"/>
      <c r="L733" s="207"/>
      <c r="M733" s="208"/>
    </row>
    <row r="734" spans="9:13" ht="13.8" x14ac:dyDescent="0.3">
      <c r="I734" s="207"/>
      <c r="J734" s="207"/>
      <c r="K734" s="207"/>
      <c r="L734" s="207"/>
      <c r="M734" s="208"/>
    </row>
    <row r="735" spans="9:13" ht="13.8" x14ac:dyDescent="0.3">
      <c r="I735" s="207"/>
      <c r="J735" s="207"/>
      <c r="K735" s="207"/>
      <c r="L735" s="207"/>
      <c r="M735" s="208"/>
    </row>
    <row r="736" spans="9:13" ht="13.8" x14ac:dyDescent="0.3">
      <c r="I736" s="207"/>
      <c r="J736" s="207"/>
      <c r="K736" s="207"/>
      <c r="L736" s="207"/>
      <c r="M736" s="208"/>
    </row>
    <row r="737" spans="9:13" ht="13.8" x14ac:dyDescent="0.3">
      <c r="I737" s="207"/>
      <c r="J737" s="207"/>
      <c r="K737" s="207"/>
      <c r="L737" s="207"/>
      <c r="M737" s="208"/>
    </row>
    <row r="738" spans="9:13" ht="13.8" x14ac:dyDescent="0.3">
      <c r="I738" s="207"/>
      <c r="J738" s="207"/>
      <c r="K738" s="207"/>
      <c r="L738" s="207"/>
      <c r="M738" s="208"/>
    </row>
    <row r="739" spans="9:13" ht="13.8" x14ac:dyDescent="0.3">
      <c r="I739" s="207"/>
      <c r="J739" s="207"/>
      <c r="K739" s="207"/>
      <c r="L739" s="207"/>
      <c r="M739" s="208"/>
    </row>
    <row r="740" spans="9:13" ht="13.8" x14ac:dyDescent="0.3">
      <c r="I740" s="207"/>
      <c r="J740" s="207"/>
      <c r="K740" s="207"/>
      <c r="L740" s="207"/>
      <c r="M740" s="208"/>
    </row>
    <row r="741" spans="9:13" ht="13.8" x14ac:dyDescent="0.3">
      <c r="I741" s="207"/>
      <c r="J741" s="207"/>
      <c r="K741" s="207"/>
      <c r="L741" s="207"/>
      <c r="M741" s="208"/>
    </row>
    <row r="742" spans="9:13" ht="13.8" x14ac:dyDescent="0.3">
      <c r="I742" s="207"/>
      <c r="J742" s="207"/>
      <c r="K742" s="207"/>
      <c r="L742" s="207"/>
      <c r="M742" s="208"/>
    </row>
    <row r="743" spans="9:13" ht="13.8" x14ac:dyDescent="0.3">
      <c r="I743" s="207"/>
      <c r="J743" s="207"/>
      <c r="K743" s="207"/>
      <c r="L743" s="207"/>
      <c r="M743" s="208"/>
    </row>
    <row r="744" spans="9:13" ht="13.8" x14ac:dyDescent="0.3">
      <c r="I744" s="207"/>
      <c r="J744" s="207"/>
      <c r="K744" s="207"/>
      <c r="L744" s="207"/>
      <c r="M744" s="208"/>
    </row>
    <row r="745" spans="9:13" ht="13.8" x14ac:dyDescent="0.3">
      <c r="I745" s="207"/>
      <c r="J745" s="207"/>
      <c r="K745" s="207"/>
      <c r="L745" s="207"/>
      <c r="M745" s="208"/>
    </row>
    <row r="746" spans="9:13" ht="13.8" x14ac:dyDescent="0.3">
      <c r="I746" s="207"/>
      <c r="J746" s="207"/>
      <c r="K746" s="207"/>
      <c r="L746" s="207"/>
      <c r="M746" s="208"/>
    </row>
    <row r="747" spans="9:13" ht="13.8" x14ac:dyDescent="0.3">
      <c r="I747" s="207"/>
      <c r="J747" s="207"/>
      <c r="K747" s="207"/>
      <c r="L747" s="207"/>
      <c r="M747" s="208"/>
    </row>
    <row r="748" spans="9:13" ht="13.8" x14ac:dyDescent="0.3">
      <c r="I748" s="207"/>
      <c r="J748" s="207"/>
      <c r="K748" s="207"/>
      <c r="L748" s="207"/>
      <c r="M748" s="208"/>
    </row>
    <row r="749" spans="9:13" ht="13.8" x14ac:dyDescent="0.3">
      <c r="I749" s="207"/>
      <c r="J749" s="207"/>
      <c r="K749" s="207"/>
      <c r="L749" s="207"/>
      <c r="M749" s="208"/>
    </row>
    <row r="750" spans="9:13" ht="13.8" x14ac:dyDescent="0.3">
      <c r="I750" s="207"/>
      <c r="J750" s="207"/>
      <c r="K750" s="207"/>
      <c r="L750" s="207"/>
      <c r="M750" s="208"/>
    </row>
    <row r="751" spans="9:13" ht="13.8" x14ac:dyDescent="0.3">
      <c r="I751" s="207"/>
      <c r="J751" s="207"/>
      <c r="K751" s="207"/>
      <c r="L751" s="207"/>
      <c r="M751" s="208"/>
    </row>
    <row r="752" spans="9:13" ht="13.8" x14ac:dyDescent="0.3">
      <c r="I752" s="207"/>
      <c r="J752" s="207"/>
      <c r="K752" s="207"/>
      <c r="L752" s="207"/>
      <c r="M752" s="208"/>
    </row>
    <row r="753" spans="9:13" ht="13.8" x14ac:dyDescent="0.3">
      <c r="I753" s="207"/>
      <c r="J753" s="207"/>
      <c r="K753" s="207"/>
      <c r="L753" s="207"/>
      <c r="M753" s="208"/>
    </row>
    <row r="754" spans="9:13" ht="13.8" x14ac:dyDescent="0.3">
      <c r="I754" s="207"/>
      <c r="J754" s="207"/>
      <c r="K754" s="207"/>
      <c r="L754" s="207"/>
      <c r="M754" s="208"/>
    </row>
    <row r="755" spans="9:13" ht="13.8" x14ac:dyDescent="0.3">
      <c r="I755" s="207"/>
      <c r="J755" s="207"/>
      <c r="K755" s="207"/>
      <c r="L755" s="207"/>
      <c r="M755" s="208"/>
    </row>
    <row r="756" spans="9:13" ht="13.8" x14ac:dyDescent="0.3">
      <c r="I756" s="207"/>
      <c r="J756" s="207"/>
      <c r="K756" s="207"/>
      <c r="L756" s="207"/>
      <c r="M756" s="208"/>
    </row>
    <row r="757" spans="9:13" ht="13.8" x14ac:dyDescent="0.3">
      <c r="I757" s="207"/>
      <c r="J757" s="207"/>
      <c r="K757" s="207"/>
      <c r="L757" s="207"/>
      <c r="M757" s="208"/>
    </row>
    <row r="758" spans="9:13" ht="13.8" x14ac:dyDescent="0.3">
      <c r="I758" s="207"/>
      <c r="J758" s="207"/>
      <c r="K758" s="207"/>
      <c r="L758" s="207"/>
      <c r="M758" s="208"/>
    </row>
    <row r="759" spans="9:13" ht="13.8" x14ac:dyDescent="0.3">
      <c r="I759" s="207"/>
      <c r="J759" s="207"/>
      <c r="K759" s="207"/>
      <c r="L759" s="207"/>
      <c r="M759" s="208"/>
    </row>
    <row r="760" spans="9:13" ht="13.8" x14ac:dyDescent="0.3">
      <c r="I760" s="207"/>
      <c r="J760" s="207"/>
      <c r="K760" s="207"/>
      <c r="L760" s="207"/>
      <c r="M760" s="208"/>
    </row>
    <row r="761" spans="9:13" ht="13.8" x14ac:dyDescent="0.3">
      <c r="I761" s="207"/>
      <c r="J761" s="207"/>
      <c r="K761" s="207"/>
      <c r="L761" s="207"/>
      <c r="M761" s="208"/>
    </row>
    <row r="762" spans="9:13" ht="13.8" x14ac:dyDescent="0.3">
      <c r="I762" s="207"/>
      <c r="J762" s="207"/>
      <c r="K762" s="207"/>
      <c r="L762" s="207"/>
      <c r="M762" s="208"/>
    </row>
    <row r="763" spans="9:13" ht="13.8" x14ac:dyDescent="0.3">
      <c r="I763" s="207"/>
      <c r="J763" s="207"/>
      <c r="K763" s="207"/>
      <c r="L763" s="207"/>
      <c r="M763" s="208"/>
    </row>
    <row r="764" spans="9:13" ht="13.8" x14ac:dyDescent="0.3">
      <c r="I764" s="207"/>
      <c r="J764" s="207"/>
      <c r="K764" s="207"/>
      <c r="L764" s="207"/>
      <c r="M764" s="208"/>
    </row>
    <row r="765" spans="9:13" ht="13.8" x14ac:dyDescent="0.3">
      <c r="I765" s="207"/>
      <c r="J765" s="207"/>
      <c r="K765" s="207"/>
      <c r="L765" s="207"/>
      <c r="M765" s="208"/>
    </row>
    <row r="766" spans="9:13" ht="13.8" x14ac:dyDescent="0.3">
      <c r="I766" s="207"/>
      <c r="J766" s="207"/>
      <c r="K766" s="207"/>
      <c r="L766" s="207"/>
      <c r="M766" s="208"/>
    </row>
    <row r="767" spans="9:13" ht="13.8" x14ac:dyDescent="0.3">
      <c r="I767" s="207"/>
      <c r="J767" s="207"/>
      <c r="K767" s="207"/>
      <c r="L767" s="207"/>
      <c r="M767" s="208"/>
    </row>
    <row r="768" spans="9:13" ht="13.8" x14ac:dyDescent="0.3">
      <c r="I768" s="207"/>
      <c r="J768" s="207"/>
      <c r="K768" s="207"/>
      <c r="L768" s="207"/>
      <c r="M768" s="208"/>
    </row>
    <row r="769" spans="9:13" ht="13.8" x14ac:dyDescent="0.3">
      <c r="I769" s="207"/>
      <c r="J769" s="207"/>
      <c r="K769" s="207"/>
      <c r="L769" s="207"/>
      <c r="M769" s="208"/>
    </row>
    <row r="770" spans="9:13" ht="13.8" x14ac:dyDescent="0.3">
      <c r="I770" s="207"/>
      <c r="J770" s="207"/>
      <c r="K770" s="207"/>
      <c r="L770" s="207"/>
      <c r="M770" s="208"/>
    </row>
    <row r="771" spans="9:13" ht="13.8" x14ac:dyDescent="0.3">
      <c r="I771" s="207"/>
      <c r="J771" s="207"/>
      <c r="K771" s="207"/>
      <c r="L771" s="207"/>
      <c r="M771" s="208"/>
    </row>
    <row r="772" spans="9:13" ht="13.8" x14ac:dyDescent="0.3">
      <c r="I772" s="207"/>
      <c r="J772" s="207"/>
      <c r="K772" s="207"/>
      <c r="L772" s="207"/>
      <c r="M772" s="208"/>
    </row>
    <row r="773" spans="9:13" ht="13.8" x14ac:dyDescent="0.3">
      <c r="I773" s="207"/>
      <c r="J773" s="207"/>
      <c r="K773" s="207"/>
      <c r="L773" s="207"/>
      <c r="M773" s="208"/>
    </row>
    <row r="774" spans="9:13" ht="13.8" x14ac:dyDescent="0.3">
      <c r="I774" s="207"/>
      <c r="J774" s="207"/>
      <c r="K774" s="207"/>
      <c r="L774" s="207"/>
      <c r="M774" s="208"/>
    </row>
    <row r="775" spans="9:13" ht="13.8" x14ac:dyDescent="0.3">
      <c r="I775" s="207"/>
      <c r="J775" s="207"/>
      <c r="K775" s="207"/>
      <c r="L775" s="207"/>
      <c r="M775" s="208"/>
    </row>
    <row r="776" spans="9:13" ht="13.8" x14ac:dyDescent="0.3">
      <c r="I776" s="207"/>
      <c r="J776" s="207"/>
      <c r="K776" s="207"/>
      <c r="L776" s="207"/>
      <c r="M776" s="208"/>
    </row>
    <row r="777" spans="9:13" ht="13.8" x14ac:dyDescent="0.3">
      <c r="I777" s="207"/>
      <c r="J777" s="207"/>
      <c r="K777" s="207"/>
      <c r="L777" s="207"/>
      <c r="M777" s="208"/>
    </row>
    <row r="778" spans="9:13" ht="13.8" x14ac:dyDescent="0.3">
      <c r="I778" s="207"/>
      <c r="J778" s="207"/>
      <c r="K778" s="207"/>
      <c r="L778" s="207"/>
      <c r="M778" s="208"/>
    </row>
    <row r="779" spans="9:13" ht="13.8" x14ac:dyDescent="0.3">
      <c r="I779" s="207"/>
      <c r="J779" s="207"/>
      <c r="K779" s="207"/>
      <c r="L779" s="207"/>
      <c r="M779" s="208"/>
    </row>
    <row r="780" spans="9:13" ht="13.8" x14ac:dyDescent="0.3">
      <c r="I780" s="207"/>
      <c r="J780" s="207"/>
      <c r="K780" s="207"/>
      <c r="L780" s="207"/>
      <c r="M780" s="208"/>
    </row>
    <row r="781" spans="9:13" ht="13.8" x14ac:dyDescent="0.3">
      <c r="I781" s="207"/>
      <c r="J781" s="207"/>
      <c r="K781" s="207"/>
      <c r="L781" s="207"/>
      <c r="M781" s="208"/>
    </row>
    <row r="782" spans="9:13" ht="13.8" x14ac:dyDescent="0.3">
      <c r="I782" s="207"/>
      <c r="J782" s="207"/>
      <c r="K782" s="207"/>
      <c r="L782" s="207"/>
      <c r="M782" s="208"/>
    </row>
    <row r="783" spans="9:13" ht="13.8" x14ac:dyDescent="0.3">
      <c r="I783" s="207"/>
      <c r="J783" s="207"/>
      <c r="K783" s="207"/>
      <c r="L783" s="207"/>
      <c r="M783" s="208"/>
    </row>
    <row r="784" spans="9:13" ht="13.8" x14ac:dyDescent="0.3">
      <c r="I784" s="207"/>
      <c r="J784" s="207"/>
      <c r="K784" s="207"/>
      <c r="L784" s="207"/>
      <c r="M784" s="208"/>
    </row>
    <row r="785" spans="9:13" ht="13.8" x14ac:dyDescent="0.3">
      <c r="I785" s="207"/>
      <c r="J785" s="207"/>
      <c r="K785" s="207"/>
      <c r="L785" s="207"/>
      <c r="M785" s="208"/>
    </row>
    <row r="786" spans="9:13" ht="13.8" x14ac:dyDescent="0.3">
      <c r="I786" s="207"/>
      <c r="J786" s="207"/>
      <c r="K786" s="207"/>
      <c r="L786" s="207"/>
      <c r="M786" s="208"/>
    </row>
    <row r="787" spans="9:13" ht="13.8" x14ac:dyDescent="0.3">
      <c r="I787" s="207"/>
      <c r="J787" s="207"/>
      <c r="K787" s="207"/>
      <c r="L787" s="207"/>
      <c r="M787" s="208"/>
    </row>
    <row r="788" spans="9:13" ht="13.8" x14ac:dyDescent="0.3">
      <c r="I788" s="207"/>
      <c r="J788" s="207"/>
      <c r="K788" s="207"/>
      <c r="L788" s="207"/>
      <c r="M788" s="208"/>
    </row>
    <row r="789" spans="9:13" ht="13.8" x14ac:dyDescent="0.3">
      <c r="I789" s="207"/>
      <c r="J789" s="207"/>
      <c r="K789" s="207"/>
      <c r="L789" s="207"/>
      <c r="M789" s="208"/>
    </row>
    <row r="790" spans="9:13" ht="13.8" x14ac:dyDescent="0.3">
      <c r="I790" s="207"/>
      <c r="J790" s="207"/>
      <c r="K790" s="207"/>
      <c r="L790" s="207"/>
      <c r="M790" s="208"/>
    </row>
    <row r="791" spans="9:13" ht="13.8" x14ac:dyDescent="0.3">
      <c r="I791" s="207"/>
      <c r="J791" s="207"/>
      <c r="K791" s="207"/>
      <c r="L791" s="207"/>
      <c r="M791" s="208"/>
    </row>
    <row r="792" spans="9:13" ht="13.8" x14ac:dyDescent="0.3">
      <c r="I792" s="207"/>
      <c r="J792" s="207"/>
      <c r="K792" s="207"/>
      <c r="L792" s="207"/>
      <c r="M792" s="208"/>
    </row>
    <row r="793" spans="9:13" ht="13.8" x14ac:dyDescent="0.3">
      <c r="I793" s="207"/>
      <c r="J793" s="207"/>
      <c r="K793" s="207"/>
      <c r="L793" s="207"/>
      <c r="M793" s="208"/>
    </row>
    <row r="794" spans="9:13" ht="13.8" x14ac:dyDescent="0.3">
      <c r="I794" s="207"/>
      <c r="J794" s="207"/>
      <c r="K794" s="207"/>
      <c r="L794" s="207"/>
      <c r="M794" s="208"/>
    </row>
    <row r="795" spans="9:13" ht="13.8" x14ac:dyDescent="0.3">
      <c r="I795" s="207"/>
      <c r="J795" s="207"/>
      <c r="K795" s="207"/>
      <c r="L795" s="207"/>
      <c r="M795" s="208"/>
    </row>
    <row r="796" spans="9:13" ht="13.8" x14ac:dyDescent="0.3">
      <c r="I796" s="207"/>
      <c r="J796" s="207"/>
      <c r="K796" s="207"/>
      <c r="L796" s="207"/>
      <c r="M796" s="208"/>
    </row>
    <row r="797" spans="9:13" ht="13.8" x14ac:dyDescent="0.3">
      <c r="I797" s="207"/>
      <c r="J797" s="207"/>
      <c r="K797" s="207"/>
      <c r="L797" s="207"/>
      <c r="M797" s="208"/>
    </row>
    <row r="798" spans="9:13" ht="13.8" x14ac:dyDescent="0.3">
      <c r="I798" s="207"/>
      <c r="J798" s="207"/>
      <c r="K798" s="207"/>
      <c r="L798" s="207"/>
      <c r="M798" s="208"/>
    </row>
    <row r="799" spans="9:13" ht="13.8" x14ac:dyDescent="0.3">
      <c r="I799" s="207"/>
      <c r="J799" s="207"/>
      <c r="K799" s="207"/>
      <c r="L799" s="207"/>
      <c r="M799" s="208"/>
    </row>
    <row r="800" spans="9:13" ht="13.8" x14ac:dyDescent="0.3">
      <c r="I800" s="207"/>
      <c r="J800" s="207"/>
      <c r="K800" s="207"/>
      <c r="L800" s="207"/>
      <c r="M800" s="208"/>
    </row>
    <row r="801" spans="9:13" ht="13.8" x14ac:dyDescent="0.3">
      <c r="I801" s="207"/>
      <c r="J801" s="207"/>
      <c r="K801" s="207"/>
      <c r="L801" s="207"/>
      <c r="M801" s="208"/>
    </row>
    <row r="802" spans="9:13" ht="13.8" x14ac:dyDescent="0.3">
      <c r="I802" s="207"/>
      <c r="J802" s="207"/>
      <c r="K802" s="207"/>
      <c r="L802" s="207"/>
      <c r="M802" s="208"/>
    </row>
    <row r="803" spans="9:13" ht="13.8" x14ac:dyDescent="0.3">
      <c r="I803" s="207"/>
      <c r="J803" s="207"/>
      <c r="K803" s="207"/>
      <c r="L803" s="207"/>
      <c r="M803" s="208"/>
    </row>
    <row r="804" spans="9:13" ht="13.8" x14ac:dyDescent="0.3">
      <c r="I804" s="207"/>
      <c r="J804" s="207"/>
      <c r="K804" s="207"/>
      <c r="L804" s="207"/>
      <c r="M804" s="208"/>
    </row>
    <row r="805" spans="9:13" ht="13.8" x14ac:dyDescent="0.3">
      <c r="I805" s="207"/>
      <c r="J805" s="207"/>
      <c r="K805" s="207"/>
      <c r="L805" s="207"/>
      <c r="M805" s="208"/>
    </row>
    <row r="806" spans="9:13" ht="13.8" x14ac:dyDescent="0.3">
      <c r="I806" s="207"/>
      <c r="J806" s="207"/>
      <c r="K806" s="207"/>
      <c r="L806" s="207"/>
      <c r="M806" s="208"/>
    </row>
    <row r="807" spans="9:13" ht="13.8" x14ac:dyDescent="0.3">
      <c r="I807" s="207"/>
      <c r="J807" s="207"/>
      <c r="K807" s="207"/>
      <c r="L807" s="207"/>
      <c r="M807" s="208"/>
    </row>
    <row r="808" spans="9:13" ht="13.8" x14ac:dyDescent="0.3">
      <c r="I808" s="207"/>
      <c r="J808" s="207"/>
      <c r="K808" s="207"/>
      <c r="L808" s="207"/>
      <c r="M808" s="208"/>
    </row>
    <row r="809" spans="9:13" ht="13.8" x14ac:dyDescent="0.3">
      <c r="I809" s="207"/>
      <c r="J809" s="207"/>
      <c r="K809" s="207"/>
      <c r="L809" s="207"/>
      <c r="M809" s="208"/>
    </row>
    <row r="810" spans="9:13" ht="13.8" x14ac:dyDescent="0.3">
      <c r="I810" s="207"/>
      <c r="J810" s="207"/>
      <c r="K810" s="207"/>
      <c r="L810" s="207"/>
      <c r="M810" s="208"/>
    </row>
    <row r="811" spans="9:13" ht="13.8" x14ac:dyDescent="0.3">
      <c r="I811" s="207"/>
      <c r="J811" s="207"/>
      <c r="K811" s="207"/>
      <c r="L811" s="207"/>
      <c r="M811" s="208"/>
    </row>
    <row r="812" spans="9:13" ht="13.8" x14ac:dyDescent="0.3">
      <c r="I812" s="207"/>
      <c r="J812" s="207"/>
      <c r="K812" s="207"/>
      <c r="L812" s="207"/>
      <c r="M812" s="208"/>
    </row>
    <row r="813" spans="9:13" ht="13.8" x14ac:dyDescent="0.3">
      <c r="I813" s="207"/>
      <c r="J813" s="207"/>
      <c r="K813" s="207"/>
      <c r="L813" s="207"/>
      <c r="M813" s="208"/>
    </row>
    <row r="814" spans="9:13" ht="13.8" x14ac:dyDescent="0.3">
      <c r="I814" s="207"/>
      <c r="J814" s="207"/>
      <c r="K814" s="207"/>
      <c r="L814" s="207"/>
      <c r="M814" s="208"/>
    </row>
    <row r="815" spans="9:13" ht="13.8" x14ac:dyDescent="0.3">
      <c r="I815" s="207"/>
      <c r="J815" s="207"/>
      <c r="K815" s="207"/>
      <c r="L815" s="207"/>
      <c r="M815" s="208"/>
    </row>
    <row r="816" spans="9:13" ht="13.8" x14ac:dyDescent="0.3">
      <c r="I816" s="207"/>
      <c r="J816" s="207"/>
      <c r="K816" s="207"/>
      <c r="L816" s="207"/>
      <c r="M816" s="208"/>
    </row>
    <row r="817" spans="9:13" ht="13.8" x14ac:dyDescent="0.3">
      <c r="I817" s="207"/>
      <c r="J817" s="207"/>
      <c r="K817" s="207"/>
      <c r="L817" s="207"/>
      <c r="M817" s="208"/>
    </row>
    <row r="818" spans="9:13" ht="13.8" x14ac:dyDescent="0.3">
      <c r="I818" s="207"/>
      <c r="J818" s="207"/>
      <c r="K818" s="207"/>
      <c r="L818" s="207"/>
      <c r="M818" s="208"/>
    </row>
    <row r="819" spans="9:13" ht="13.8" x14ac:dyDescent="0.3">
      <c r="I819" s="207"/>
      <c r="J819" s="207"/>
      <c r="K819" s="207"/>
      <c r="L819" s="207"/>
      <c r="M819" s="208"/>
    </row>
    <row r="820" spans="9:13" ht="13.8" x14ac:dyDescent="0.3">
      <c r="I820" s="207"/>
      <c r="J820" s="207"/>
      <c r="K820" s="207"/>
      <c r="L820" s="207"/>
      <c r="M820" s="208"/>
    </row>
    <row r="821" spans="9:13" ht="13.8" x14ac:dyDescent="0.3">
      <c r="I821" s="207"/>
      <c r="J821" s="207"/>
      <c r="K821" s="207"/>
      <c r="L821" s="207"/>
      <c r="M821" s="208"/>
    </row>
    <row r="822" spans="9:13" ht="13.8" x14ac:dyDescent="0.3">
      <c r="I822" s="207"/>
      <c r="J822" s="207"/>
      <c r="K822" s="207"/>
      <c r="L822" s="207"/>
      <c r="M822" s="208"/>
    </row>
    <row r="823" spans="9:13" ht="13.8" x14ac:dyDescent="0.3">
      <c r="I823" s="207"/>
      <c r="J823" s="207"/>
      <c r="K823" s="207"/>
      <c r="L823" s="207"/>
      <c r="M823" s="208"/>
    </row>
    <row r="824" spans="9:13" ht="13.8" x14ac:dyDescent="0.3">
      <c r="I824" s="207"/>
      <c r="J824" s="207"/>
      <c r="K824" s="207"/>
      <c r="L824" s="207"/>
      <c r="M824" s="208"/>
    </row>
    <row r="825" spans="9:13" ht="13.8" x14ac:dyDescent="0.3">
      <c r="I825" s="207"/>
      <c r="J825" s="207"/>
      <c r="K825" s="207"/>
      <c r="L825" s="207"/>
      <c r="M825" s="208"/>
    </row>
    <row r="826" spans="9:13" ht="13.8" x14ac:dyDescent="0.3">
      <c r="I826" s="207"/>
      <c r="J826" s="207"/>
      <c r="K826" s="207"/>
      <c r="L826" s="207"/>
      <c r="M826" s="208"/>
    </row>
    <row r="827" spans="9:13" ht="13.8" x14ac:dyDescent="0.3">
      <c r="I827" s="207"/>
      <c r="J827" s="207"/>
      <c r="K827" s="207"/>
      <c r="L827" s="207"/>
      <c r="M827" s="208"/>
    </row>
    <row r="828" spans="9:13" ht="13.8" x14ac:dyDescent="0.3">
      <c r="I828" s="207"/>
      <c r="J828" s="207"/>
      <c r="K828" s="207"/>
      <c r="L828" s="207"/>
      <c r="M828" s="208"/>
    </row>
    <row r="829" spans="9:13" ht="13.8" x14ac:dyDescent="0.3">
      <c r="I829" s="207"/>
      <c r="J829" s="207"/>
      <c r="K829" s="207"/>
      <c r="L829" s="207"/>
      <c r="M829" s="208"/>
    </row>
    <row r="830" spans="9:13" ht="13.8" x14ac:dyDescent="0.3">
      <c r="I830" s="207"/>
      <c r="J830" s="207"/>
      <c r="K830" s="207"/>
      <c r="L830" s="207"/>
      <c r="M830" s="208"/>
    </row>
    <row r="831" spans="9:13" ht="13.8" x14ac:dyDescent="0.3">
      <c r="I831" s="207"/>
      <c r="J831" s="207"/>
      <c r="K831" s="207"/>
      <c r="L831" s="207"/>
      <c r="M831" s="208"/>
    </row>
    <row r="832" spans="9:13" ht="13.8" x14ac:dyDescent="0.3">
      <c r="I832" s="207"/>
      <c r="J832" s="207"/>
      <c r="K832" s="207"/>
      <c r="L832" s="207"/>
      <c r="M832" s="208"/>
    </row>
    <row r="833" spans="9:13" ht="13.8" x14ac:dyDescent="0.3">
      <c r="I833" s="207"/>
      <c r="J833" s="207"/>
      <c r="K833" s="207"/>
      <c r="L833" s="207"/>
      <c r="M833" s="208"/>
    </row>
    <row r="834" spans="9:13" ht="13.8" x14ac:dyDescent="0.3">
      <c r="I834" s="207"/>
      <c r="J834" s="207"/>
      <c r="K834" s="207"/>
      <c r="L834" s="207"/>
      <c r="M834" s="208"/>
    </row>
    <row r="835" spans="9:13" ht="13.8" x14ac:dyDescent="0.3">
      <c r="I835" s="207"/>
      <c r="J835" s="207"/>
      <c r="K835" s="207"/>
      <c r="L835" s="207"/>
      <c r="M835" s="208"/>
    </row>
    <row r="836" spans="9:13" ht="13.8" x14ac:dyDescent="0.3">
      <c r="I836" s="207"/>
      <c r="J836" s="207"/>
      <c r="K836" s="207"/>
      <c r="L836" s="207"/>
      <c r="M836" s="208"/>
    </row>
    <row r="837" spans="9:13" ht="13.8" x14ac:dyDescent="0.3">
      <c r="I837" s="207"/>
      <c r="J837" s="207"/>
      <c r="K837" s="207"/>
      <c r="L837" s="207"/>
      <c r="M837" s="208"/>
    </row>
    <row r="838" spans="9:13" ht="13.8" x14ac:dyDescent="0.3">
      <c r="I838" s="207"/>
      <c r="J838" s="207"/>
      <c r="K838" s="207"/>
      <c r="L838" s="207"/>
      <c r="M838" s="208"/>
    </row>
    <row r="839" spans="9:13" ht="13.8" x14ac:dyDescent="0.3">
      <c r="I839" s="207"/>
      <c r="J839" s="207"/>
      <c r="K839" s="207"/>
      <c r="L839" s="207"/>
      <c r="M839" s="208"/>
    </row>
    <row r="840" spans="9:13" ht="13.8" x14ac:dyDescent="0.3">
      <c r="I840" s="207"/>
      <c r="J840" s="207"/>
      <c r="K840" s="207"/>
      <c r="L840" s="207"/>
      <c r="M840" s="208"/>
    </row>
    <row r="841" spans="9:13" ht="13.8" x14ac:dyDescent="0.3">
      <c r="I841" s="207"/>
      <c r="J841" s="207"/>
      <c r="K841" s="207"/>
      <c r="L841" s="207"/>
      <c r="M841" s="208"/>
    </row>
    <row r="842" spans="9:13" ht="13.8" x14ac:dyDescent="0.3">
      <c r="I842" s="207"/>
      <c r="J842" s="207"/>
      <c r="K842" s="207"/>
      <c r="L842" s="207"/>
      <c r="M842" s="208"/>
    </row>
    <row r="843" spans="9:13" ht="13.8" x14ac:dyDescent="0.3">
      <c r="I843" s="207"/>
      <c r="J843" s="207"/>
      <c r="K843" s="207"/>
      <c r="L843" s="207"/>
      <c r="M843" s="208"/>
    </row>
    <row r="844" spans="9:13" ht="13.8" x14ac:dyDescent="0.3">
      <c r="I844" s="207"/>
      <c r="J844" s="207"/>
      <c r="K844" s="207"/>
      <c r="L844" s="207"/>
      <c r="M844" s="208"/>
    </row>
    <row r="845" spans="9:13" ht="13.8" x14ac:dyDescent="0.3">
      <c r="I845" s="207"/>
      <c r="J845" s="207"/>
      <c r="K845" s="207"/>
      <c r="L845" s="207"/>
      <c r="M845" s="208"/>
    </row>
    <row r="846" spans="9:13" ht="13.8" x14ac:dyDescent="0.3">
      <c r="I846" s="207"/>
      <c r="J846" s="207"/>
      <c r="K846" s="207"/>
      <c r="L846" s="207"/>
      <c r="M846" s="208"/>
    </row>
    <row r="847" spans="9:13" ht="13.8" x14ac:dyDescent="0.3">
      <c r="I847" s="207"/>
      <c r="J847" s="207"/>
      <c r="K847" s="207"/>
      <c r="L847" s="207"/>
      <c r="M847" s="208"/>
    </row>
    <row r="848" spans="9:13" ht="13.8" x14ac:dyDescent="0.3">
      <c r="I848" s="207"/>
      <c r="J848" s="207"/>
      <c r="K848" s="207"/>
      <c r="L848" s="207"/>
      <c r="M848" s="208"/>
    </row>
    <row r="849" spans="9:13" ht="13.8" x14ac:dyDescent="0.3">
      <c r="I849" s="207"/>
      <c r="J849" s="207"/>
      <c r="K849" s="207"/>
      <c r="L849" s="207"/>
      <c r="M849" s="208"/>
    </row>
    <row r="850" spans="9:13" ht="13.8" x14ac:dyDescent="0.3">
      <c r="I850" s="207"/>
      <c r="J850" s="207"/>
      <c r="K850" s="207"/>
      <c r="L850" s="207"/>
      <c r="M850" s="208"/>
    </row>
    <row r="851" spans="9:13" ht="13.8" x14ac:dyDescent="0.3">
      <c r="I851" s="207"/>
      <c r="J851" s="207"/>
      <c r="K851" s="207"/>
      <c r="L851" s="207"/>
      <c r="M851" s="208"/>
    </row>
    <row r="852" spans="9:13" ht="13.8" x14ac:dyDescent="0.3">
      <c r="I852" s="207"/>
      <c r="J852" s="207"/>
      <c r="K852" s="207"/>
      <c r="L852" s="207"/>
      <c r="M852" s="208"/>
    </row>
    <row r="853" spans="9:13" ht="13.8" x14ac:dyDescent="0.3">
      <c r="I853" s="207"/>
      <c r="J853" s="207"/>
      <c r="K853" s="207"/>
      <c r="L853" s="207"/>
      <c r="M853" s="208"/>
    </row>
    <row r="854" spans="9:13" ht="13.8" x14ac:dyDescent="0.3">
      <c r="I854" s="207"/>
      <c r="J854" s="207"/>
      <c r="K854" s="207"/>
      <c r="L854" s="207"/>
      <c r="M854" s="208"/>
    </row>
    <row r="855" spans="9:13" ht="13.8" x14ac:dyDescent="0.3">
      <c r="I855" s="207"/>
      <c r="J855" s="207"/>
      <c r="K855" s="207"/>
      <c r="L855" s="207"/>
      <c r="M855" s="208"/>
    </row>
    <row r="856" spans="9:13" ht="13.8" x14ac:dyDescent="0.3">
      <c r="I856" s="207"/>
      <c r="J856" s="207"/>
      <c r="K856" s="207"/>
      <c r="L856" s="207"/>
      <c r="M856" s="208"/>
    </row>
    <row r="857" spans="9:13" ht="13.8" x14ac:dyDescent="0.3">
      <c r="I857" s="207"/>
      <c r="J857" s="207"/>
      <c r="K857" s="207"/>
      <c r="L857" s="207"/>
      <c r="M857" s="208"/>
    </row>
    <row r="858" spans="9:13" ht="13.8" x14ac:dyDescent="0.3">
      <c r="I858" s="207"/>
      <c r="J858" s="207"/>
      <c r="K858" s="207"/>
      <c r="L858" s="207"/>
      <c r="M858" s="208"/>
    </row>
    <row r="859" spans="9:13" ht="13.8" x14ac:dyDescent="0.3">
      <c r="I859" s="207"/>
      <c r="J859" s="207"/>
      <c r="K859" s="207"/>
      <c r="L859" s="207"/>
      <c r="M859" s="208"/>
    </row>
    <row r="860" spans="9:13" ht="13.8" x14ac:dyDescent="0.3">
      <c r="I860" s="207"/>
      <c r="J860" s="207"/>
      <c r="K860" s="207"/>
      <c r="L860" s="207"/>
      <c r="M860" s="208"/>
    </row>
    <row r="861" spans="9:13" ht="13.8" x14ac:dyDescent="0.3">
      <c r="I861" s="207"/>
      <c r="J861" s="207"/>
      <c r="K861" s="207"/>
      <c r="L861" s="207"/>
      <c r="M861" s="208"/>
    </row>
    <row r="862" spans="9:13" ht="13.8" x14ac:dyDescent="0.3">
      <c r="I862" s="207"/>
      <c r="J862" s="207"/>
      <c r="K862" s="207"/>
      <c r="L862" s="207"/>
      <c r="M862" s="208"/>
    </row>
    <row r="863" spans="9:13" ht="13.8" x14ac:dyDescent="0.3">
      <c r="I863" s="207"/>
      <c r="J863" s="207"/>
      <c r="K863" s="207"/>
      <c r="L863" s="207"/>
      <c r="M863" s="208"/>
    </row>
    <row r="864" spans="9:13" ht="13.8" x14ac:dyDescent="0.3">
      <c r="I864" s="207"/>
      <c r="J864" s="207"/>
      <c r="K864" s="207"/>
      <c r="L864" s="207"/>
      <c r="M864" s="208"/>
    </row>
    <row r="865" spans="9:13" ht="13.8" x14ac:dyDescent="0.3">
      <c r="I865" s="207"/>
      <c r="J865" s="207"/>
      <c r="K865" s="207"/>
      <c r="L865" s="207"/>
      <c r="M865" s="208"/>
    </row>
    <row r="866" spans="9:13" ht="13.8" x14ac:dyDescent="0.3">
      <c r="I866" s="207"/>
      <c r="J866" s="207"/>
      <c r="K866" s="207"/>
      <c r="L866" s="207"/>
      <c r="M866" s="208"/>
    </row>
    <row r="867" spans="9:13" ht="13.8" x14ac:dyDescent="0.3">
      <c r="I867" s="207"/>
      <c r="J867" s="207"/>
      <c r="K867" s="207"/>
      <c r="L867" s="207"/>
      <c r="M867" s="208"/>
    </row>
    <row r="868" spans="9:13" ht="13.8" x14ac:dyDescent="0.3">
      <c r="I868" s="207"/>
      <c r="J868" s="207"/>
      <c r="K868" s="207"/>
      <c r="L868" s="207"/>
      <c r="M868" s="208"/>
    </row>
    <row r="869" spans="9:13" ht="13.8" x14ac:dyDescent="0.3">
      <c r="I869" s="207"/>
      <c r="J869" s="207"/>
      <c r="K869" s="207"/>
      <c r="L869" s="207"/>
      <c r="M869" s="208"/>
    </row>
    <row r="870" spans="9:13" ht="13.8" x14ac:dyDescent="0.3">
      <c r="I870" s="207"/>
      <c r="J870" s="207"/>
      <c r="K870" s="207"/>
      <c r="L870" s="207"/>
      <c r="M870" s="208"/>
    </row>
    <row r="871" spans="9:13" ht="13.8" x14ac:dyDescent="0.3">
      <c r="I871" s="207"/>
      <c r="J871" s="207"/>
      <c r="K871" s="207"/>
      <c r="L871" s="207"/>
      <c r="M871" s="208"/>
    </row>
    <row r="872" spans="9:13" ht="13.8" x14ac:dyDescent="0.3">
      <c r="I872" s="207"/>
      <c r="J872" s="207"/>
      <c r="K872" s="207"/>
      <c r="L872" s="207"/>
      <c r="M872" s="208"/>
    </row>
    <row r="873" spans="9:13" ht="13.8" x14ac:dyDescent="0.3">
      <c r="I873" s="207"/>
      <c r="J873" s="207"/>
      <c r="K873" s="207"/>
      <c r="L873" s="207"/>
      <c r="M873" s="208"/>
    </row>
    <row r="874" spans="9:13" ht="13.8" x14ac:dyDescent="0.3">
      <c r="I874" s="207"/>
      <c r="J874" s="207"/>
      <c r="K874" s="207"/>
      <c r="L874" s="207"/>
      <c r="M874" s="208"/>
    </row>
    <row r="875" spans="9:13" ht="13.8" x14ac:dyDescent="0.3">
      <c r="I875" s="207"/>
      <c r="J875" s="207"/>
      <c r="K875" s="207"/>
      <c r="L875" s="207"/>
      <c r="M875" s="208"/>
    </row>
    <row r="876" spans="9:13" ht="13.8" x14ac:dyDescent="0.3">
      <c r="I876" s="207"/>
      <c r="J876" s="207"/>
      <c r="K876" s="207"/>
      <c r="L876" s="207"/>
      <c r="M876" s="208"/>
    </row>
    <row r="877" spans="9:13" ht="13.8" x14ac:dyDescent="0.3">
      <c r="I877" s="207"/>
      <c r="J877" s="207"/>
      <c r="K877" s="207"/>
      <c r="L877" s="207"/>
      <c r="M877" s="208"/>
    </row>
    <row r="878" spans="9:13" ht="13.8" x14ac:dyDescent="0.3">
      <c r="I878" s="207"/>
      <c r="J878" s="207"/>
      <c r="K878" s="207"/>
      <c r="L878" s="207"/>
      <c r="M878" s="208"/>
    </row>
    <row r="879" spans="9:13" ht="13.8" x14ac:dyDescent="0.3">
      <c r="I879" s="207"/>
      <c r="J879" s="207"/>
      <c r="K879" s="207"/>
      <c r="L879" s="207"/>
      <c r="M879" s="208"/>
    </row>
    <row r="880" spans="9:13" ht="13.8" x14ac:dyDescent="0.3">
      <c r="I880" s="207"/>
      <c r="J880" s="207"/>
      <c r="K880" s="207"/>
      <c r="L880" s="207"/>
      <c r="M880" s="208"/>
    </row>
    <row r="881" spans="9:13" ht="13.8" x14ac:dyDescent="0.3">
      <c r="I881" s="207"/>
      <c r="J881" s="207"/>
      <c r="K881" s="207"/>
      <c r="L881" s="207"/>
      <c r="M881" s="208"/>
    </row>
    <row r="882" spans="9:13" ht="13.8" x14ac:dyDescent="0.3">
      <c r="I882" s="207"/>
      <c r="J882" s="207"/>
      <c r="K882" s="207"/>
      <c r="L882" s="207"/>
      <c r="M882" s="208"/>
    </row>
    <row r="883" spans="9:13" ht="13.8" x14ac:dyDescent="0.3">
      <c r="I883" s="207"/>
      <c r="J883" s="207"/>
      <c r="K883" s="207"/>
      <c r="L883" s="207"/>
      <c r="M883" s="208"/>
    </row>
    <row r="884" spans="9:13" ht="13.8" x14ac:dyDescent="0.3">
      <c r="I884" s="207"/>
      <c r="J884" s="207"/>
      <c r="K884" s="207"/>
      <c r="L884" s="207"/>
      <c r="M884" s="208"/>
    </row>
    <row r="885" spans="9:13" ht="13.8" x14ac:dyDescent="0.3">
      <c r="I885" s="207"/>
      <c r="J885" s="207"/>
      <c r="K885" s="207"/>
      <c r="L885" s="207"/>
      <c r="M885" s="208"/>
    </row>
    <row r="886" spans="9:13" ht="13.8" x14ac:dyDescent="0.3">
      <c r="I886" s="207"/>
      <c r="J886" s="207"/>
      <c r="K886" s="207"/>
      <c r="L886" s="207"/>
      <c r="M886" s="208"/>
    </row>
    <row r="887" spans="9:13" ht="13.8" x14ac:dyDescent="0.3">
      <c r="I887" s="207"/>
      <c r="J887" s="207"/>
      <c r="K887" s="207"/>
      <c r="L887" s="207"/>
      <c r="M887" s="208"/>
    </row>
    <row r="888" spans="9:13" ht="13.8" x14ac:dyDescent="0.3">
      <c r="I888" s="207"/>
      <c r="J888" s="207"/>
      <c r="K888" s="207"/>
      <c r="L888" s="207"/>
      <c r="M888" s="208"/>
    </row>
    <row r="889" spans="9:13" ht="13.8" x14ac:dyDescent="0.3">
      <c r="I889" s="207"/>
      <c r="J889" s="207"/>
      <c r="K889" s="207"/>
      <c r="L889" s="207"/>
      <c r="M889" s="208"/>
    </row>
    <row r="890" spans="9:13" ht="13.8" x14ac:dyDescent="0.3">
      <c r="I890" s="207"/>
      <c r="J890" s="207"/>
      <c r="K890" s="207"/>
      <c r="L890" s="207"/>
      <c r="M890" s="208"/>
    </row>
    <row r="891" spans="9:13" ht="13.8" x14ac:dyDescent="0.3">
      <c r="I891" s="207"/>
      <c r="J891" s="207"/>
      <c r="K891" s="207"/>
      <c r="L891" s="207"/>
      <c r="M891" s="208"/>
    </row>
    <row r="892" spans="9:13" ht="13.8" x14ac:dyDescent="0.3">
      <c r="I892" s="207"/>
      <c r="J892" s="207"/>
      <c r="K892" s="207"/>
      <c r="L892" s="207"/>
      <c r="M892" s="208"/>
    </row>
    <row r="893" spans="9:13" ht="13.8" x14ac:dyDescent="0.3">
      <c r="I893" s="207"/>
      <c r="J893" s="207"/>
      <c r="K893" s="207"/>
      <c r="L893" s="207"/>
      <c r="M893" s="208"/>
    </row>
    <row r="894" spans="9:13" ht="13.8" x14ac:dyDescent="0.3">
      <c r="I894" s="207"/>
      <c r="J894" s="207"/>
      <c r="K894" s="207"/>
      <c r="L894" s="207"/>
      <c r="M894" s="208"/>
    </row>
    <row r="895" spans="9:13" ht="13.8" x14ac:dyDescent="0.3">
      <c r="I895" s="207"/>
      <c r="J895" s="207"/>
      <c r="K895" s="207"/>
      <c r="L895" s="207"/>
      <c r="M895" s="208"/>
    </row>
    <row r="896" spans="9:13" ht="13.8" x14ac:dyDescent="0.3">
      <c r="I896" s="207"/>
      <c r="J896" s="207"/>
      <c r="K896" s="207"/>
      <c r="L896" s="207"/>
      <c r="M896" s="208"/>
    </row>
    <row r="897" spans="9:13" ht="13.8" x14ac:dyDescent="0.3">
      <c r="I897" s="207"/>
      <c r="J897" s="207"/>
      <c r="K897" s="207"/>
      <c r="L897" s="207"/>
      <c r="M897" s="208"/>
    </row>
    <row r="898" spans="9:13" ht="13.8" x14ac:dyDescent="0.3">
      <c r="I898" s="207"/>
      <c r="J898" s="207"/>
      <c r="K898" s="207"/>
      <c r="L898" s="207"/>
      <c r="M898" s="208"/>
    </row>
    <row r="899" spans="9:13" ht="13.8" x14ac:dyDescent="0.3">
      <c r="I899" s="207"/>
      <c r="J899" s="207"/>
      <c r="K899" s="207"/>
      <c r="L899" s="207"/>
      <c r="M899" s="208"/>
    </row>
    <row r="900" spans="9:13" ht="13.8" x14ac:dyDescent="0.3">
      <c r="I900" s="207"/>
      <c r="J900" s="207"/>
      <c r="K900" s="207"/>
      <c r="L900" s="207"/>
      <c r="M900" s="208"/>
    </row>
    <row r="901" spans="9:13" ht="13.8" x14ac:dyDescent="0.3">
      <c r="I901" s="207"/>
      <c r="J901" s="207"/>
      <c r="K901" s="207"/>
      <c r="L901" s="207"/>
      <c r="M901" s="208"/>
    </row>
    <row r="902" spans="9:13" ht="13.8" x14ac:dyDescent="0.3">
      <c r="I902" s="207"/>
      <c r="J902" s="207"/>
      <c r="K902" s="207"/>
      <c r="L902" s="207"/>
      <c r="M902" s="208"/>
    </row>
    <row r="903" spans="9:13" ht="13.8" x14ac:dyDescent="0.3">
      <c r="I903" s="207"/>
      <c r="J903" s="207"/>
      <c r="K903" s="207"/>
      <c r="L903" s="207"/>
      <c r="M903" s="208"/>
    </row>
    <row r="904" spans="9:13" ht="13.8" x14ac:dyDescent="0.3">
      <c r="I904" s="207"/>
      <c r="J904" s="207"/>
      <c r="K904" s="207"/>
      <c r="L904" s="207"/>
      <c r="M904" s="208"/>
    </row>
    <row r="905" spans="9:13" ht="13.8" x14ac:dyDescent="0.3">
      <c r="I905" s="207"/>
      <c r="J905" s="207"/>
      <c r="K905" s="207"/>
      <c r="L905" s="207"/>
      <c r="M905" s="208"/>
    </row>
    <row r="906" spans="9:13" ht="13.8" x14ac:dyDescent="0.3">
      <c r="I906" s="207"/>
      <c r="J906" s="207"/>
      <c r="K906" s="207"/>
      <c r="L906" s="207"/>
      <c r="M906" s="208"/>
    </row>
    <row r="907" spans="9:13" ht="13.8" x14ac:dyDescent="0.3">
      <c r="I907" s="207"/>
      <c r="J907" s="207"/>
      <c r="K907" s="207"/>
      <c r="L907" s="207"/>
      <c r="M907" s="208"/>
    </row>
    <row r="908" spans="9:13" ht="13.8" x14ac:dyDescent="0.3">
      <c r="I908" s="207"/>
      <c r="J908" s="207"/>
      <c r="K908" s="207"/>
      <c r="L908" s="207"/>
      <c r="M908" s="208"/>
    </row>
    <row r="909" spans="9:13" ht="13.8" x14ac:dyDescent="0.3">
      <c r="I909" s="207"/>
      <c r="J909" s="207"/>
      <c r="K909" s="207"/>
      <c r="L909" s="207"/>
      <c r="M909" s="208"/>
    </row>
    <row r="910" spans="9:13" ht="13.8" x14ac:dyDescent="0.3">
      <c r="I910" s="207"/>
      <c r="J910" s="207"/>
      <c r="K910" s="207"/>
      <c r="L910" s="207"/>
      <c r="M910" s="208"/>
    </row>
    <row r="911" spans="9:13" ht="13.8" x14ac:dyDescent="0.3">
      <c r="I911" s="207"/>
      <c r="J911" s="207"/>
      <c r="K911" s="207"/>
      <c r="L911" s="207"/>
      <c r="M911" s="208"/>
    </row>
    <row r="912" spans="9:13" ht="13.8" x14ac:dyDescent="0.3">
      <c r="I912" s="207"/>
      <c r="J912" s="207"/>
      <c r="K912" s="207"/>
      <c r="L912" s="207"/>
      <c r="M912" s="208"/>
    </row>
    <row r="913" spans="9:13" ht="13.8" x14ac:dyDescent="0.3">
      <c r="I913" s="207"/>
      <c r="J913" s="207"/>
      <c r="K913" s="207"/>
      <c r="L913" s="207"/>
      <c r="M913" s="208"/>
    </row>
    <row r="914" spans="9:13" ht="13.8" x14ac:dyDescent="0.3">
      <c r="I914" s="207"/>
      <c r="J914" s="207"/>
      <c r="K914" s="207"/>
      <c r="L914" s="207"/>
      <c r="M914" s="208"/>
    </row>
    <row r="915" spans="9:13" ht="13.8" x14ac:dyDescent="0.3">
      <c r="I915" s="207"/>
      <c r="J915" s="207"/>
      <c r="K915" s="207"/>
      <c r="L915" s="207"/>
      <c r="M915" s="208"/>
    </row>
    <row r="916" spans="9:13" ht="13.8" x14ac:dyDescent="0.3">
      <c r="I916" s="207"/>
      <c r="J916" s="207"/>
      <c r="K916" s="207"/>
      <c r="L916" s="207"/>
      <c r="M916" s="208"/>
    </row>
    <row r="917" spans="9:13" ht="13.8" x14ac:dyDescent="0.3">
      <c r="I917" s="207"/>
      <c r="J917" s="207"/>
      <c r="K917" s="207"/>
      <c r="L917" s="207"/>
      <c r="M917" s="208"/>
    </row>
    <row r="918" spans="9:13" ht="13.8" x14ac:dyDescent="0.3">
      <c r="I918" s="207"/>
      <c r="J918" s="207"/>
      <c r="K918" s="207"/>
      <c r="L918" s="207"/>
      <c r="M918" s="208"/>
    </row>
    <row r="919" spans="9:13" ht="13.8" x14ac:dyDescent="0.3">
      <c r="I919" s="207"/>
      <c r="J919" s="207"/>
      <c r="K919" s="207"/>
      <c r="L919" s="207"/>
      <c r="M919" s="208"/>
    </row>
    <row r="920" spans="9:13" ht="13.8" x14ac:dyDescent="0.3">
      <c r="I920" s="207"/>
      <c r="J920" s="207"/>
      <c r="K920" s="207"/>
      <c r="L920" s="207"/>
      <c r="M920" s="208"/>
    </row>
    <row r="921" spans="9:13" ht="13.8" x14ac:dyDescent="0.3">
      <c r="I921" s="207"/>
      <c r="J921" s="207"/>
      <c r="K921" s="207"/>
      <c r="L921" s="207"/>
      <c r="M921" s="208"/>
    </row>
    <row r="922" spans="9:13" ht="13.8" x14ac:dyDescent="0.3">
      <c r="I922" s="207"/>
      <c r="J922" s="207"/>
      <c r="K922" s="207"/>
      <c r="L922" s="207"/>
      <c r="M922" s="208"/>
    </row>
    <row r="923" spans="9:13" ht="13.8" x14ac:dyDescent="0.3">
      <c r="I923" s="207"/>
      <c r="J923" s="207"/>
      <c r="K923" s="207"/>
      <c r="L923" s="207"/>
      <c r="M923" s="208"/>
    </row>
    <row r="924" spans="9:13" ht="13.8" x14ac:dyDescent="0.3">
      <c r="I924" s="207"/>
      <c r="J924" s="207"/>
      <c r="K924" s="207"/>
      <c r="L924" s="207"/>
      <c r="M924" s="208"/>
    </row>
    <row r="925" spans="9:13" ht="13.8" x14ac:dyDescent="0.3">
      <c r="I925" s="207"/>
      <c r="J925" s="207"/>
      <c r="K925" s="207"/>
      <c r="L925" s="207"/>
      <c r="M925" s="208"/>
    </row>
    <row r="926" spans="9:13" ht="13.8" x14ac:dyDescent="0.3">
      <c r="I926" s="207"/>
      <c r="J926" s="207"/>
      <c r="K926" s="207"/>
      <c r="L926" s="207"/>
      <c r="M926" s="208"/>
    </row>
    <row r="927" spans="9:13" ht="13.8" x14ac:dyDescent="0.3">
      <c r="I927" s="207"/>
      <c r="J927" s="207"/>
      <c r="K927" s="207"/>
      <c r="L927" s="207"/>
      <c r="M927" s="208"/>
    </row>
    <row r="928" spans="9:13" ht="13.8" x14ac:dyDescent="0.3">
      <c r="I928" s="207"/>
      <c r="J928" s="207"/>
      <c r="K928" s="207"/>
      <c r="L928" s="207"/>
      <c r="M928" s="208"/>
    </row>
    <row r="929" spans="9:13" ht="13.8" x14ac:dyDescent="0.3">
      <c r="I929" s="207"/>
      <c r="J929" s="207"/>
      <c r="K929" s="207"/>
      <c r="L929" s="207"/>
      <c r="M929" s="208"/>
    </row>
    <row r="930" spans="9:13" ht="13.8" x14ac:dyDescent="0.3">
      <c r="I930" s="207"/>
      <c r="J930" s="207"/>
      <c r="K930" s="207"/>
      <c r="L930" s="207"/>
      <c r="M930" s="208"/>
    </row>
  </sheetData>
  <autoFilter ref="A1:Q200" xr:uid="{00000000-0001-0000-0000-000000000000}"/>
  <sortState xmlns:xlrd2="http://schemas.microsoft.com/office/spreadsheetml/2017/richdata2" ref="A2:J198">
    <sortCondition ref="A2:A198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3D631-5838-4AC9-B8C0-4CA39E46884B}">
  <dimension ref="A1:R26"/>
  <sheetViews>
    <sheetView topLeftCell="A3" workbookViewId="0">
      <selection sqref="A1:K26"/>
    </sheetView>
  </sheetViews>
  <sheetFormatPr baseColWidth="10" defaultRowHeight="13.2" x14ac:dyDescent="0.25"/>
  <cols>
    <col min="1" max="1" width="68" customWidth="1"/>
    <col min="2" max="2" width="12" bestFit="1" customWidth="1"/>
    <col min="3" max="3" width="16.33203125" bestFit="1" customWidth="1"/>
    <col min="5" max="5" width="32.109375" bestFit="1" customWidth="1"/>
    <col min="6" max="6" width="12" bestFit="1" customWidth="1"/>
    <col min="7" max="7" width="15.109375" bestFit="1" customWidth="1"/>
    <col min="9" max="9" width="12" bestFit="1" customWidth="1"/>
    <col min="10" max="10" width="20" bestFit="1" customWidth="1"/>
    <col min="11" max="11" width="15.33203125" bestFit="1" customWidth="1"/>
  </cols>
  <sheetData>
    <row r="1" spans="1:16" s="11" customFormat="1" ht="14.4" thickBot="1" x14ac:dyDescent="0.35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7" t="s">
        <v>289</v>
      </c>
      <c r="K1" s="8" t="s">
        <v>292</v>
      </c>
      <c r="L1" s="9">
        <v>46142</v>
      </c>
      <c r="M1" s="9">
        <v>46173</v>
      </c>
      <c r="N1" s="9">
        <v>46203</v>
      </c>
      <c r="O1" s="9">
        <v>46234</v>
      </c>
      <c r="P1" s="10">
        <v>46265</v>
      </c>
    </row>
    <row r="2" spans="1:16" s="112" customFormat="1" ht="14.4" thickBot="1" x14ac:dyDescent="0.35">
      <c r="A2" s="33" t="s">
        <v>256</v>
      </c>
      <c r="B2" s="34">
        <v>33711300789</v>
      </c>
      <c r="C2" s="34" t="s">
        <v>257</v>
      </c>
      <c r="D2" s="35">
        <v>46049</v>
      </c>
      <c r="E2" s="34" t="s">
        <v>68</v>
      </c>
      <c r="F2" s="36">
        <v>10170</v>
      </c>
      <c r="G2" s="36">
        <v>0</v>
      </c>
      <c r="H2" s="36">
        <v>0</v>
      </c>
      <c r="I2" s="36">
        <f t="shared" ref="I2:I25" si="0">F2-G2-H2</f>
        <v>10170</v>
      </c>
      <c r="J2" s="37">
        <f>I2</f>
        <v>10170</v>
      </c>
      <c r="K2" s="45">
        <f>J2</f>
        <v>10170</v>
      </c>
      <c r="L2" s="111"/>
      <c r="M2" s="111"/>
      <c r="N2" s="111"/>
      <c r="O2" s="111"/>
      <c r="P2" s="111"/>
    </row>
    <row r="3" spans="1:16" s="112" customFormat="1" ht="14.4" thickBot="1" x14ac:dyDescent="0.35">
      <c r="A3" s="33" t="s">
        <v>251</v>
      </c>
      <c r="B3" s="34">
        <v>30709634964</v>
      </c>
      <c r="C3" s="34" t="s">
        <v>252</v>
      </c>
      <c r="D3" s="35">
        <v>46057</v>
      </c>
      <c r="E3" s="34" t="s">
        <v>29</v>
      </c>
      <c r="F3" s="36">
        <v>199618.84</v>
      </c>
      <c r="G3" s="36">
        <v>28808.76</v>
      </c>
      <c r="H3" s="36">
        <v>0</v>
      </c>
      <c r="I3" s="36">
        <f t="shared" si="0"/>
        <v>170810.08</v>
      </c>
      <c r="J3" s="37">
        <f>I3</f>
        <v>170810.08</v>
      </c>
      <c r="K3" s="45">
        <f>J3</f>
        <v>170810.08</v>
      </c>
      <c r="L3" s="111"/>
      <c r="M3" s="111"/>
      <c r="N3" s="111"/>
      <c r="O3" s="111"/>
      <c r="P3" s="111"/>
    </row>
    <row r="4" spans="1:16" s="112" customFormat="1" ht="14.4" thickBot="1" x14ac:dyDescent="0.35">
      <c r="A4" s="33" t="s">
        <v>239</v>
      </c>
      <c r="B4" s="34">
        <v>30715347756</v>
      </c>
      <c r="C4" s="34" t="s">
        <v>240</v>
      </c>
      <c r="D4" s="35">
        <v>46058</v>
      </c>
      <c r="E4" s="34" t="s">
        <v>25</v>
      </c>
      <c r="F4" s="36">
        <v>308608.65000000002</v>
      </c>
      <c r="G4" s="36">
        <v>0</v>
      </c>
      <c r="H4" s="36">
        <v>0</v>
      </c>
      <c r="I4" s="36">
        <f t="shared" si="0"/>
        <v>308608.65000000002</v>
      </c>
      <c r="J4" s="37">
        <f t="shared" ref="J4:K6" si="1">I4</f>
        <v>308608.65000000002</v>
      </c>
      <c r="K4" s="45">
        <f t="shared" si="1"/>
        <v>308608.65000000002</v>
      </c>
      <c r="L4" s="111"/>
      <c r="M4" s="111"/>
      <c r="N4" s="111"/>
      <c r="O4" s="111"/>
      <c r="P4" s="111"/>
    </row>
    <row r="5" spans="1:16" s="112" customFormat="1" ht="14.4" thickBot="1" x14ac:dyDescent="0.35">
      <c r="A5" s="33" t="s">
        <v>237</v>
      </c>
      <c r="B5" s="34">
        <v>30715316338</v>
      </c>
      <c r="C5" s="34" t="s">
        <v>238</v>
      </c>
      <c r="D5" s="35">
        <v>46057</v>
      </c>
      <c r="E5" s="34" t="s">
        <v>66</v>
      </c>
      <c r="F5" s="36">
        <v>40566.74</v>
      </c>
      <c r="G5" s="36">
        <v>0</v>
      </c>
      <c r="H5" s="36">
        <v>0</v>
      </c>
      <c r="I5" s="36">
        <f t="shared" si="0"/>
        <v>40566.74</v>
      </c>
      <c r="J5" s="37">
        <f t="shared" si="1"/>
        <v>40566.74</v>
      </c>
      <c r="K5" s="45">
        <f t="shared" si="1"/>
        <v>40566.74</v>
      </c>
      <c r="L5" s="111"/>
      <c r="M5" s="111"/>
      <c r="N5" s="111"/>
      <c r="O5" s="111"/>
      <c r="P5" s="111"/>
    </row>
    <row r="6" spans="1:16" s="112" customFormat="1" ht="14.4" thickBot="1" x14ac:dyDescent="0.35">
      <c r="A6" s="33" t="s">
        <v>235</v>
      </c>
      <c r="B6" s="34">
        <v>30710118821</v>
      </c>
      <c r="C6" s="34" t="s">
        <v>236</v>
      </c>
      <c r="D6" s="35">
        <v>46058</v>
      </c>
      <c r="E6" s="34" t="s">
        <v>29</v>
      </c>
      <c r="F6" s="36">
        <v>17444</v>
      </c>
      <c r="G6" s="36">
        <v>0</v>
      </c>
      <c r="H6" s="36">
        <v>0</v>
      </c>
      <c r="I6" s="36">
        <f t="shared" si="0"/>
        <v>17444</v>
      </c>
      <c r="J6" s="37">
        <f t="shared" si="1"/>
        <v>17444</v>
      </c>
      <c r="K6" s="45">
        <f t="shared" si="1"/>
        <v>17444</v>
      </c>
      <c r="L6" s="111"/>
      <c r="M6" s="111"/>
      <c r="N6" s="111"/>
      <c r="O6" s="111"/>
      <c r="P6" s="111"/>
    </row>
    <row r="7" spans="1:16" s="112" customFormat="1" ht="14.4" thickBot="1" x14ac:dyDescent="0.35">
      <c r="A7" s="33" t="s">
        <v>223</v>
      </c>
      <c r="B7" s="34">
        <v>30589536084</v>
      </c>
      <c r="C7" s="34" t="s">
        <v>224</v>
      </c>
      <c r="D7" s="35">
        <v>46055</v>
      </c>
      <c r="E7" s="34" t="s">
        <v>199</v>
      </c>
      <c r="F7" s="36">
        <v>9723</v>
      </c>
      <c r="G7" s="36">
        <v>0</v>
      </c>
      <c r="H7" s="36">
        <v>0</v>
      </c>
      <c r="I7" s="36">
        <f t="shared" si="0"/>
        <v>9723</v>
      </c>
      <c r="J7" s="37">
        <f t="shared" ref="J7:K11" si="2">I7</f>
        <v>9723</v>
      </c>
      <c r="K7" s="45">
        <f t="shared" si="2"/>
        <v>9723</v>
      </c>
      <c r="L7" s="111"/>
      <c r="M7" s="111"/>
      <c r="N7" s="111"/>
      <c r="O7" s="111"/>
      <c r="P7" s="111"/>
    </row>
    <row r="8" spans="1:16" s="112" customFormat="1" ht="14.4" thickBot="1" x14ac:dyDescent="0.35">
      <c r="A8" s="33" t="s">
        <v>221</v>
      </c>
      <c r="B8" s="34">
        <v>30708237791</v>
      </c>
      <c r="C8" s="34" t="s">
        <v>222</v>
      </c>
      <c r="D8" s="35">
        <v>46053</v>
      </c>
      <c r="E8" s="34" t="s">
        <v>29</v>
      </c>
      <c r="F8" s="36">
        <v>111635</v>
      </c>
      <c r="G8" s="36">
        <v>0</v>
      </c>
      <c r="H8" s="36">
        <v>0</v>
      </c>
      <c r="I8" s="36">
        <f t="shared" si="0"/>
        <v>111635</v>
      </c>
      <c r="J8" s="37">
        <f t="shared" si="2"/>
        <v>111635</v>
      </c>
      <c r="K8" s="45">
        <f t="shared" si="2"/>
        <v>111635</v>
      </c>
      <c r="L8" s="111"/>
      <c r="M8" s="111"/>
      <c r="N8" s="111"/>
      <c r="O8" s="111"/>
      <c r="P8" s="111"/>
    </row>
    <row r="9" spans="1:16" s="112" customFormat="1" ht="14.4" thickBot="1" x14ac:dyDescent="0.35">
      <c r="A9" s="33" t="s">
        <v>216</v>
      </c>
      <c r="B9" s="34">
        <v>30708069791</v>
      </c>
      <c r="C9" s="34" t="s">
        <v>217</v>
      </c>
      <c r="D9" s="35">
        <v>46055</v>
      </c>
      <c r="E9" s="34" t="s">
        <v>68</v>
      </c>
      <c r="F9" s="36">
        <v>125482</v>
      </c>
      <c r="G9" s="36">
        <v>4770</v>
      </c>
      <c r="H9" s="36">
        <v>0</v>
      </c>
      <c r="I9" s="36">
        <f t="shared" si="0"/>
        <v>120712</v>
      </c>
      <c r="J9" s="37">
        <f t="shared" si="2"/>
        <v>120712</v>
      </c>
      <c r="K9" s="45">
        <f t="shared" si="2"/>
        <v>120712</v>
      </c>
      <c r="L9" s="111"/>
      <c r="M9" s="111"/>
      <c r="N9" s="111"/>
      <c r="O9" s="111"/>
      <c r="P9" s="111"/>
    </row>
    <row r="10" spans="1:16" s="112" customFormat="1" ht="14.4" thickBot="1" x14ac:dyDescent="0.35">
      <c r="A10" s="33" t="s">
        <v>206</v>
      </c>
      <c r="B10" s="34">
        <v>30645574326</v>
      </c>
      <c r="C10" s="34" t="s">
        <v>207</v>
      </c>
      <c r="D10" s="35">
        <v>46059</v>
      </c>
      <c r="E10" s="34" t="s">
        <v>66</v>
      </c>
      <c r="F10" s="36">
        <v>142225.76999999999</v>
      </c>
      <c r="G10" s="36">
        <v>44027.72</v>
      </c>
      <c r="H10" s="36">
        <v>0</v>
      </c>
      <c r="I10" s="36">
        <f t="shared" si="0"/>
        <v>98198.049999999988</v>
      </c>
      <c r="J10" s="37">
        <f t="shared" si="2"/>
        <v>98198.049999999988</v>
      </c>
      <c r="K10" s="45">
        <f t="shared" si="2"/>
        <v>98198.049999999988</v>
      </c>
      <c r="L10" s="111"/>
      <c r="M10" s="111"/>
      <c r="N10" s="111"/>
      <c r="O10" s="111"/>
      <c r="P10" s="111"/>
    </row>
    <row r="11" spans="1:16" s="112" customFormat="1" ht="14.4" thickBot="1" x14ac:dyDescent="0.35">
      <c r="A11" s="33" t="s">
        <v>185</v>
      </c>
      <c r="B11" s="34">
        <v>30680944691</v>
      </c>
      <c r="C11" s="34" t="s">
        <v>186</v>
      </c>
      <c r="D11" s="35">
        <v>46059</v>
      </c>
      <c r="E11" s="34" t="s">
        <v>68</v>
      </c>
      <c r="F11" s="36">
        <v>34700</v>
      </c>
      <c r="G11" s="36">
        <v>0</v>
      </c>
      <c r="H11" s="36">
        <v>0</v>
      </c>
      <c r="I11" s="36">
        <f t="shared" si="0"/>
        <v>34700</v>
      </c>
      <c r="J11" s="37">
        <f t="shared" si="2"/>
        <v>34700</v>
      </c>
      <c r="K11" s="45">
        <f t="shared" si="2"/>
        <v>34700</v>
      </c>
      <c r="L11" s="111"/>
      <c r="M11" s="111"/>
      <c r="N11" s="111"/>
      <c r="O11" s="111"/>
      <c r="P11" s="111"/>
    </row>
    <row r="12" spans="1:16" s="114" customFormat="1" ht="13.8" x14ac:dyDescent="0.3">
      <c r="A12" s="12" t="s">
        <v>181</v>
      </c>
      <c r="B12" s="13">
        <v>30615748966</v>
      </c>
      <c r="C12" s="13" t="s">
        <v>182</v>
      </c>
      <c r="D12" s="14">
        <v>46055</v>
      </c>
      <c r="E12" s="13" t="s">
        <v>183</v>
      </c>
      <c r="F12" s="15">
        <v>23832</v>
      </c>
      <c r="G12" s="15">
        <v>0</v>
      </c>
      <c r="H12" s="15">
        <v>0</v>
      </c>
      <c r="I12" s="15">
        <f t="shared" si="0"/>
        <v>23832</v>
      </c>
      <c r="J12" s="16"/>
      <c r="K12" s="17"/>
      <c r="L12" s="113"/>
      <c r="M12" s="113"/>
      <c r="N12" s="113"/>
      <c r="O12" s="113"/>
      <c r="P12" s="113"/>
    </row>
    <row r="13" spans="1:16" s="116" customFormat="1" ht="14.4" thickBot="1" x14ac:dyDescent="0.35">
      <c r="A13" s="25" t="s">
        <v>181</v>
      </c>
      <c r="B13" s="26">
        <v>30615748966</v>
      </c>
      <c r="C13" s="26" t="s">
        <v>184</v>
      </c>
      <c r="D13" s="27">
        <v>46055</v>
      </c>
      <c r="E13" s="26" t="s">
        <v>29</v>
      </c>
      <c r="F13" s="28">
        <v>25024</v>
      </c>
      <c r="G13" s="28">
        <v>0</v>
      </c>
      <c r="H13" s="28">
        <v>0</v>
      </c>
      <c r="I13" s="28">
        <f t="shared" si="0"/>
        <v>25024</v>
      </c>
      <c r="J13" s="29">
        <f>I13+I12</f>
        <v>48856</v>
      </c>
      <c r="K13" s="38">
        <f t="shared" ref="K13:K20" si="3">J13</f>
        <v>48856</v>
      </c>
      <c r="L13" s="115"/>
      <c r="M13" s="115"/>
      <c r="N13" s="115"/>
      <c r="O13" s="115"/>
      <c r="P13" s="115"/>
    </row>
    <row r="14" spans="1:16" s="112" customFormat="1" ht="14.4" thickBot="1" x14ac:dyDescent="0.35">
      <c r="A14" s="33" t="s">
        <v>179</v>
      </c>
      <c r="B14" s="34">
        <v>33711273129</v>
      </c>
      <c r="C14" s="34" t="s">
        <v>180</v>
      </c>
      <c r="D14" s="35">
        <v>46053</v>
      </c>
      <c r="E14" s="34" t="s">
        <v>29</v>
      </c>
      <c r="F14" s="36">
        <v>207454.42</v>
      </c>
      <c r="G14" s="36">
        <v>16800</v>
      </c>
      <c r="H14" s="36">
        <v>0</v>
      </c>
      <c r="I14" s="36">
        <f t="shared" si="0"/>
        <v>190654.42</v>
      </c>
      <c r="J14" s="37">
        <f t="shared" ref="J14:J20" si="4">I14</f>
        <v>190654.42</v>
      </c>
      <c r="K14" s="45">
        <f t="shared" si="3"/>
        <v>190654.42</v>
      </c>
      <c r="L14" s="111"/>
      <c r="M14" s="111"/>
      <c r="N14" s="111"/>
      <c r="O14" s="111"/>
      <c r="P14" s="111"/>
    </row>
    <row r="15" spans="1:16" s="112" customFormat="1" ht="14.4" thickBot="1" x14ac:dyDescent="0.35">
      <c r="A15" s="33" t="s">
        <v>175</v>
      </c>
      <c r="B15" s="34">
        <v>30555217419</v>
      </c>
      <c r="C15" s="34" t="s">
        <v>176</v>
      </c>
      <c r="D15" s="35">
        <v>46058</v>
      </c>
      <c r="E15" s="34" t="s">
        <v>71</v>
      </c>
      <c r="F15" s="36">
        <v>48594.17</v>
      </c>
      <c r="G15" s="36">
        <v>30744.17</v>
      </c>
      <c r="H15" s="36">
        <v>0</v>
      </c>
      <c r="I15" s="36">
        <f t="shared" si="0"/>
        <v>17850</v>
      </c>
      <c r="J15" s="37">
        <f t="shared" si="4"/>
        <v>17850</v>
      </c>
      <c r="K15" s="45">
        <f t="shared" si="3"/>
        <v>17850</v>
      </c>
      <c r="L15" s="111"/>
      <c r="M15" s="111"/>
      <c r="N15" s="111"/>
      <c r="O15" s="111"/>
      <c r="P15" s="111"/>
    </row>
    <row r="16" spans="1:16" s="112" customFormat="1" ht="14.4" thickBot="1" x14ac:dyDescent="0.35">
      <c r="A16" s="33" t="s">
        <v>161</v>
      </c>
      <c r="B16" s="34">
        <v>30714473723</v>
      </c>
      <c r="C16" s="34" t="s">
        <v>162</v>
      </c>
      <c r="D16" s="35">
        <v>46056</v>
      </c>
      <c r="E16" s="34" t="s">
        <v>68</v>
      </c>
      <c r="F16" s="36">
        <v>34041</v>
      </c>
      <c r="G16" s="36">
        <v>0</v>
      </c>
      <c r="H16" s="36">
        <v>0</v>
      </c>
      <c r="I16" s="36">
        <f t="shared" si="0"/>
        <v>34041</v>
      </c>
      <c r="J16" s="37">
        <f t="shared" si="4"/>
        <v>34041</v>
      </c>
      <c r="K16" s="45">
        <f t="shared" si="3"/>
        <v>34041</v>
      </c>
      <c r="L16" s="111"/>
      <c r="M16" s="111"/>
      <c r="N16" s="111"/>
      <c r="O16" s="111"/>
      <c r="P16" s="111"/>
    </row>
    <row r="17" spans="1:18" s="112" customFormat="1" ht="14.4" thickBot="1" x14ac:dyDescent="0.35">
      <c r="A17" s="33" t="s">
        <v>151</v>
      </c>
      <c r="B17" s="34">
        <v>33716532629</v>
      </c>
      <c r="C17" s="34" t="s">
        <v>152</v>
      </c>
      <c r="D17" s="35">
        <v>46057</v>
      </c>
      <c r="E17" s="34" t="s">
        <v>68</v>
      </c>
      <c r="F17" s="36">
        <v>119721</v>
      </c>
      <c r="G17" s="36">
        <v>76769</v>
      </c>
      <c r="H17" s="36">
        <v>0</v>
      </c>
      <c r="I17" s="36">
        <f t="shared" si="0"/>
        <v>42952</v>
      </c>
      <c r="J17" s="37">
        <f t="shared" si="4"/>
        <v>42952</v>
      </c>
      <c r="K17" s="45">
        <f t="shared" si="3"/>
        <v>42952</v>
      </c>
      <c r="L17" s="111"/>
      <c r="M17" s="111"/>
      <c r="N17" s="111"/>
      <c r="O17" s="111"/>
      <c r="P17" s="111"/>
    </row>
    <row r="18" spans="1:18" s="112" customFormat="1" ht="14.4" thickBot="1" x14ac:dyDescent="0.35">
      <c r="A18" s="39" t="s">
        <v>283</v>
      </c>
      <c r="B18" s="40">
        <v>30708497629</v>
      </c>
      <c r="C18" s="40" t="s">
        <v>284</v>
      </c>
      <c r="D18" s="41">
        <v>46055</v>
      </c>
      <c r="E18" s="40" t="s">
        <v>25</v>
      </c>
      <c r="F18" s="42">
        <v>15102.07</v>
      </c>
      <c r="G18" s="42">
        <v>0</v>
      </c>
      <c r="H18" s="42">
        <v>0</v>
      </c>
      <c r="I18" s="42">
        <f t="shared" si="0"/>
        <v>15102.07</v>
      </c>
      <c r="J18" s="43">
        <f t="shared" si="4"/>
        <v>15102.07</v>
      </c>
      <c r="K18" s="45">
        <f t="shared" si="3"/>
        <v>15102.07</v>
      </c>
      <c r="L18" s="111"/>
      <c r="M18" s="111"/>
      <c r="N18" s="111"/>
      <c r="O18" s="111"/>
      <c r="P18" s="111"/>
    </row>
    <row r="19" spans="1:18" s="112" customFormat="1" ht="14.4" thickBot="1" x14ac:dyDescent="0.35">
      <c r="A19" s="33" t="s">
        <v>72</v>
      </c>
      <c r="B19" s="34">
        <v>30669419658</v>
      </c>
      <c r="C19" s="34" t="s">
        <v>73</v>
      </c>
      <c r="D19" s="35">
        <v>46056</v>
      </c>
      <c r="E19" s="34" t="s">
        <v>66</v>
      </c>
      <c r="F19" s="36">
        <v>66694.600000000006</v>
      </c>
      <c r="G19" s="36">
        <v>22341.59</v>
      </c>
      <c r="H19" s="36">
        <v>0</v>
      </c>
      <c r="I19" s="36">
        <f t="shared" si="0"/>
        <v>44353.010000000009</v>
      </c>
      <c r="J19" s="37">
        <f t="shared" si="4"/>
        <v>44353.010000000009</v>
      </c>
      <c r="K19" s="45">
        <f t="shared" si="3"/>
        <v>44353.010000000009</v>
      </c>
      <c r="L19" s="111"/>
      <c r="M19" s="111"/>
      <c r="N19" s="111"/>
      <c r="O19" s="111"/>
      <c r="P19" s="111"/>
    </row>
    <row r="20" spans="1:18" s="112" customFormat="1" ht="14.4" thickBot="1" x14ac:dyDescent="0.35">
      <c r="A20" s="33" t="s">
        <v>57</v>
      </c>
      <c r="B20" s="34">
        <v>30562336237</v>
      </c>
      <c r="C20" s="34" t="s">
        <v>58</v>
      </c>
      <c r="D20" s="35">
        <v>46055</v>
      </c>
      <c r="E20" s="34" t="s">
        <v>29</v>
      </c>
      <c r="F20" s="36">
        <v>18540</v>
      </c>
      <c r="G20" s="36">
        <v>0</v>
      </c>
      <c r="H20" s="36">
        <v>0</v>
      </c>
      <c r="I20" s="36">
        <f t="shared" si="0"/>
        <v>18540</v>
      </c>
      <c r="J20" s="37">
        <f t="shared" si="4"/>
        <v>18540</v>
      </c>
      <c r="K20" s="45">
        <f t="shared" si="3"/>
        <v>18540</v>
      </c>
      <c r="L20" s="111"/>
      <c r="M20" s="111"/>
      <c r="N20" s="111"/>
      <c r="O20" s="111"/>
      <c r="P20" s="111"/>
    </row>
    <row r="21" spans="1:18" s="114" customFormat="1" ht="13.8" x14ac:dyDescent="0.3">
      <c r="A21" s="12" t="s">
        <v>12</v>
      </c>
      <c r="B21" s="13">
        <v>30703378222</v>
      </c>
      <c r="C21" s="13" t="s">
        <v>13</v>
      </c>
      <c r="D21" s="14">
        <v>46059</v>
      </c>
      <c r="E21" s="13" t="s">
        <v>14</v>
      </c>
      <c r="F21" s="15">
        <v>21900</v>
      </c>
      <c r="G21" s="15">
        <v>0</v>
      </c>
      <c r="H21" s="15">
        <v>0</v>
      </c>
      <c r="I21" s="15">
        <f t="shared" si="0"/>
        <v>21900</v>
      </c>
      <c r="J21" s="16"/>
      <c r="K21" s="17"/>
      <c r="L21" s="113"/>
      <c r="M21" s="113"/>
      <c r="N21" s="113"/>
      <c r="O21" s="113"/>
      <c r="P21" s="113"/>
    </row>
    <row r="22" spans="1:18" s="118" customFormat="1" ht="13.8" x14ac:dyDescent="0.3">
      <c r="A22" s="19" t="s">
        <v>12</v>
      </c>
      <c r="B22" s="20">
        <v>30703378222</v>
      </c>
      <c r="C22" s="20" t="s">
        <v>15</v>
      </c>
      <c r="D22" s="21">
        <v>46059</v>
      </c>
      <c r="E22" s="20" t="s">
        <v>16</v>
      </c>
      <c r="F22" s="22">
        <v>30400</v>
      </c>
      <c r="G22" s="22">
        <v>0</v>
      </c>
      <c r="H22" s="22">
        <v>0</v>
      </c>
      <c r="I22" s="22">
        <f t="shared" si="0"/>
        <v>30400</v>
      </c>
      <c r="J22" s="23"/>
      <c r="K22" s="24"/>
      <c r="L22" s="117"/>
      <c r="M22" s="117"/>
      <c r="N22" s="117"/>
      <c r="O22" s="117"/>
      <c r="P22" s="117"/>
    </row>
    <row r="23" spans="1:18" s="118" customFormat="1" ht="14.4" thickBot="1" x14ac:dyDescent="0.35">
      <c r="A23" s="141" t="s">
        <v>12</v>
      </c>
      <c r="B23" s="142">
        <v>30703378222</v>
      </c>
      <c r="C23" s="142" t="s">
        <v>17</v>
      </c>
      <c r="D23" s="143">
        <v>46059</v>
      </c>
      <c r="E23" s="142" t="s">
        <v>18</v>
      </c>
      <c r="F23" s="144">
        <v>16000</v>
      </c>
      <c r="G23" s="144">
        <v>0</v>
      </c>
      <c r="H23" s="144">
        <v>0</v>
      </c>
      <c r="I23" s="144">
        <f t="shared" si="0"/>
        <v>16000</v>
      </c>
      <c r="J23" s="131"/>
      <c r="K23" s="145"/>
      <c r="L23" s="117"/>
      <c r="M23" s="117"/>
      <c r="N23" s="117"/>
      <c r="O23" s="117"/>
      <c r="P23" s="117"/>
    </row>
    <row r="24" spans="1:18" s="116" customFormat="1" ht="14.4" thickBot="1" x14ac:dyDescent="0.35">
      <c r="A24" s="33" t="s">
        <v>12</v>
      </c>
      <c r="B24" s="34">
        <v>30703378222</v>
      </c>
      <c r="C24" s="34" t="s">
        <v>19</v>
      </c>
      <c r="D24" s="35">
        <v>46059</v>
      </c>
      <c r="E24" s="34" t="s">
        <v>20</v>
      </c>
      <c r="F24" s="36">
        <v>16000</v>
      </c>
      <c r="G24" s="36">
        <v>0</v>
      </c>
      <c r="H24" s="36">
        <v>0</v>
      </c>
      <c r="I24" s="36">
        <f t="shared" si="0"/>
        <v>16000</v>
      </c>
      <c r="J24" s="37">
        <f>SUM(I21:I24)</f>
        <v>84300</v>
      </c>
      <c r="K24" s="146">
        <f>J24</f>
        <v>84300</v>
      </c>
      <c r="L24" s="139"/>
      <c r="M24" s="119"/>
      <c r="N24" s="119"/>
      <c r="O24" s="119"/>
      <c r="P24" s="119"/>
      <c r="Q24" s="120"/>
      <c r="R24" s="120"/>
    </row>
    <row r="25" spans="1:18" s="114" customFormat="1" ht="13.5" customHeight="1" thickBot="1" x14ac:dyDescent="0.35">
      <c r="A25" s="33" t="s">
        <v>9</v>
      </c>
      <c r="B25" s="34">
        <v>30716413256</v>
      </c>
      <c r="C25" s="34" t="s">
        <v>10</v>
      </c>
      <c r="D25" s="35">
        <v>46038</v>
      </c>
      <c r="E25" s="34" t="s">
        <v>11</v>
      </c>
      <c r="F25" s="36">
        <v>26900</v>
      </c>
      <c r="G25" s="36">
        <v>900</v>
      </c>
      <c r="H25" s="36">
        <v>0</v>
      </c>
      <c r="I25" s="36">
        <f t="shared" si="0"/>
        <v>26000</v>
      </c>
      <c r="J25" s="37">
        <f>I25</f>
        <v>26000</v>
      </c>
      <c r="K25" s="146">
        <f>J25</f>
        <v>26000</v>
      </c>
      <c r="L25" s="140"/>
      <c r="M25" s="121"/>
      <c r="N25" s="121"/>
      <c r="O25" s="121"/>
      <c r="P25" s="121"/>
      <c r="Q25" s="122"/>
      <c r="R25" s="122"/>
    </row>
    <row r="26" spans="1:18" x14ac:dyDescent="0.25">
      <c r="K26" s="123">
        <f>SUM(K2:K25)</f>
        <v>1445216.02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5D683-8BBE-4351-A704-8A15F3E84EDA}">
  <dimension ref="A1:EY107"/>
  <sheetViews>
    <sheetView topLeftCell="D30" workbookViewId="0">
      <selection activeCell="C44" sqref="C44:L57"/>
    </sheetView>
  </sheetViews>
  <sheetFormatPr baseColWidth="10" defaultRowHeight="13.2" x14ac:dyDescent="0.25"/>
  <cols>
    <col min="1" max="1" width="24.5546875" bestFit="1" customWidth="1"/>
    <col min="2" max="2" width="12" bestFit="1" customWidth="1"/>
    <col min="3" max="3" width="24.5546875" bestFit="1" customWidth="1"/>
    <col min="4" max="4" width="21.88671875" customWidth="1"/>
    <col min="5" max="5" width="14.5546875" customWidth="1"/>
    <col min="6" max="6" width="32.44140625" bestFit="1" customWidth="1"/>
    <col min="7" max="7" width="15.109375" bestFit="1" customWidth="1"/>
    <col min="8" max="8" width="15.6640625" customWidth="1"/>
    <col min="9" max="9" width="14.44140625" bestFit="1" customWidth="1"/>
    <col min="10" max="10" width="20" bestFit="1" customWidth="1"/>
    <col min="11" max="11" width="15.33203125" bestFit="1" customWidth="1"/>
    <col min="12" max="12" width="14.88671875" bestFit="1" customWidth="1"/>
    <col min="13" max="13" width="20" bestFit="1" customWidth="1"/>
    <col min="14" max="14" width="14.88671875" bestFit="1" customWidth="1"/>
    <col min="15" max="16" width="13.88671875" bestFit="1" customWidth="1"/>
  </cols>
  <sheetData>
    <row r="1" spans="1:16" s="11" customFormat="1" ht="13.8" x14ac:dyDescent="0.3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7" t="s">
        <v>289</v>
      </c>
      <c r="K1" s="8" t="s">
        <v>292</v>
      </c>
      <c r="L1" s="9">
        <v>46142</v>
      </c>
      <c r="M1" s="9">
        <v>46173</v>
      </c>
      <c r="N1" s="9">
        <v>46203</v>
      </c>
      <c r="O1" s="9">
        <v>46234</v>
      </c>
      <c r="P1" s="10">
        <v>46265</v>
      </c>
    </row>
    <row r="11" spans="1:16" ht="15" customHeight="1" thickBot="1" x14ac:dyDescent="0.3"/>
    <row r="12" spans="1:16" s="18" customFormat="1" ht="13.8" x14ac:dyDescent="0.3">
      <c r="K12" s="17"/>
      <c r="L12" s="17"/>
      <c r="M12" s="17"/>
      <c r="N12" s="17"/>
      <c r="O12" s="17"/>
      <c r="P12" s="17"/>
    </row>
    <row r="13" spans="1:16" s="11" customFormat="1" ht="13.8" x14ac:dyDescent="0.3">
      <c r="K13" s="24"/>
      <c r="L13" s="24"/>
      <c r="M13" s="24"/>
      <c r="N13" s="24"/>
      <c r="O13" s="24"/>
      <c r="P13" s="24"/>
    </row>
    <row r="14" spans="1:16" s="11" customFormat="1" ht="13.8" x14ac:dyDescent="0.3">
      <c r="K14" s="24"/>
      <c r="L14" s="24"/>
      <c r="M14" s="24"/>
      <c r="N14" s="24"/>
      <c r="O14" s="24"/>
      <c r="P14" s="24"/>
    </row>
    <row r="15" spans="1:16" s="11" customFormat="1" ht="13.8" x14ac:dyDescent="0.3">
      <c r="K15" s="24"/>
      <c r="L15" s="24"/>
      <c r="M15" s="24"/>
      <c r="N15" s="24"/>
      <c r="O15" s="24"/>
      <c r="P15" s="24"/>
    </row>
    <row r="16" spans="1:16" s="32" customFormat="1" ht="14.4" thickBot="1" x14ac:dyDescent="0.35">
      <c r="K16" s="30"/>
      <c r="L16" s="30"/>
      <c r="M16" s="30"/>
      <c r="N16" s="30"/>
      <c r="O16" s="30"/>
      <c r="P16" s="30"/>
    </row>
    <row r="29" spans="1:19" ht="13.8" x14ac:dyDescent="0.3">
      <c r="N29" s="11"/>
      <c r="O29" s="11"/>
      <c r="P29" s="11"/>
      <c r="Q29" s="11"/>
      <c r="R29" s="11"/>
      <c r="S29" s="11"/>
    </row>
    <row r="30" spans="1:19" ht="13.8" x14ac:dyDescent="0.3">
      <c r="N30" s="11"/>
      <c r="O30" s="11"/>
      <c r="P30" s="11"/>
      <c r="Q30" s="11"/>
      <c r="R30" s="11"/>
      <c r="S30" s="11"/>
    </row>
    <row r="31" spans="1:19" s="44" customFormat="1" ht="15.75" customHeight="1" thickBot="1" x14ac:dyDescent="0.35">
      <c r="A31" s="147" t="s">
        <v>293</v>
      </c>
      <c r="B31" s="148"/>
      <c r="C31" s="47" t="s">
        <v>0</v>
      </c>
      <c r="D31" s="47" t="s">
        <v>294</v>
      </c>
      <c r="E31" s="47" t="s">
        <v>3</v>
      </c>
      <c r="F31" s="47" t="s">
        <v>4</v>
      </c>
      <c r="G31" s="47" t="s">
        <v>295</v>
      </c>
      <c r="H31" s="124" t="s">
        <v>296</v>
      </c>
      <c r="I31" s="124" t="s">
        <v>7</v>
      </c>
      <c r="J31" s="125" t="s">
        <v>297</v>
      </c>
      <c r="K31" s="126" t="s">
        <v>298</v>
      </c>
      <c r="L31" s="127">
        <v>46132</v>
      </c>
      <c r="M31" s="127">
        <v>46162</v>
      </c>
      <c r="N31"/>
      <c r="O31"/>
      <c r="P31" s="11"/>
      <c r="Q31" s="11"/>
      <c r="R31" s="11"/>
      <c r="S31" s="11"/>
    </row>
    <row r="32" spans="1:19" s="81" customFormat="1" ht="13.8" x14ac:dyDescent="0.3">
      <c r="A32" s="52" t="s">
        <v>299</v>
      </c>
      <c r="B32" s="53" t="s">
        <v>300</v>
      </c>
      <c r="C32" s="53" t="s">
        <v>211</v>
      </c>
      <c r="D32" s="54" t="s">
        <v>310</v>
      </c>
      <c r="E32" s="55">
        <v>46021</v>
      </c>
      <c r="F32" s="53" t="s">
        <v>11</v>
      </c>
      <c r="G32" s="56">
        <v>75391.199999999997</v>
      </c>
      <c r="H32" s="56">
        <v>4114.32</v>
      </c>
      <c r="I32" s="56">
        <v>0</v>
      </c>
      <c r="J32" s="57">
        <f t="shared" ref="J32:J35" si="0">G32-H32-I32</f>
        <v>71276.88</v>
      </c>
      <c r="K32" s="58"/>
      <c r="L32" s="79"/>
      <c r="M32" s="1"/>
      <c r="N32"/>
      <c r="O32"/>
      <c r="P32" s="80"/>
      <c r="Q32" s="80"/>
      <c r="R32" s="80"/>
    </row>
    <row r="33" spans="1:155" s="81" customFormat="1" ht="13.8" x14ac:dyDescent="0.3">
      <c r="A33" s="59" t="s">
        <v>299</v>
      </c>
      <c r="B33" s="60" t="s">
        <v>300</v>
      </c>
      <c r="C33" s="60" t="s">
        <v>211</v>
      </c>
      <c r="D33" s="61" t="s">
        <v>311</v>
      </c>
      <c r="E33" s="62">
        <v>46028</v>
      </c>
      <c r="F33" s="60" t="s">
        <v>11</v>
      </c>
      <c r="G33" s="63">
        <v>475803.49</v>
      </c>
      <c r="H33" s="63">
        <v>81232.56</v>
      </c>
      <c r="I33" s="63">
        <v>0</v>
      </c>
      <c r="J33" s="64">
        <f t="shared" si="0"/>
        <v>394570.93</v>
      </c>
      <c r="K33" s="65"/>
      <c r="L33" s="82"/>
      <c r="M33" s="1"/>
      <c r="N33"/>
      <c r="O33"/>
      <c r="P33" s="83"/>
      <c r="Q33" s="83"/>
      <c r="R33" s="83"/>
    </row>
    <row r="34" spans="1:155" s="81" customFormat="1" ht="13.8" x14ac:dyDescent="0.3">
      <c r="A34" s="67" t="s">
        <v>299</v>
      </c>
      <c r="B34" s="68" t="s">
        <v>300</v>
      </c>
      <c r="C34" s="68" t="s">
        <v>211</v>
      </c>
      <c r="D34" s="69" t="s">
        <v>312</v>
      </c>
      <c r="E34" s="70">
        <v>46028</v>
      </c>
      <c r="F34" s="68" t="s">
        <v>307</v>
      </c>
      <c r="G34" s="71">
        <v>9522.9599999999991</v>
      </c>
      <c r="H34" s="71">
        <v>0</v>
      </c>
      <c r="I34" s="71">
        <v>0</v>
      </c>
      <c r="J34" s="72">
        <f t="shared" si="0"/>
        <v>9522.9599999999991</v>
      </c>
      <c r="K34" s="73"/>
      <c r="L34" s="84"/>
      <c r="M34" s="1"/>
      <c r="N34"/>
      <c r="O34"/>
      <c r="P34" s="83"/>
      <c r="Q34" s="83"/>
      <c r="R34" s="83"/>
    </row>
    <row r="35" spans="1:155" s="81" customFormat="1" ht="14.4" thickBot="1" x14ac:dyDescent="0.35">
      <c r="A35" s="85" t="s">
        <v>299</v>
      </c>
      <c r="B35" s="86" t="s">
        <v>300</v>
      </c>
      <c r="C35" s="86" t="s">
        <v>211</v>
      </c>
      <c r="D35" s="87" t="s">
        <v>313</v>
      </c>
      <c r="E35" s="88">
        <v>46028</v>
      </c>
      <c r="F35" s="86" t="s">
        <v>302</v>
      </c>
      <c r="G35" s="89">
        <v>3129948.72</v>
      </c>
      <c r="H35" s="89">
        <v>0</v>
      </c>
      <c r="I35" s="89">
        <v>250406.72</v>
      </c>
      <c r="J35" s="90">
        <f t="shared" si="0"/>
        <v>2879542</v>
      </c>
      <c r="K35" s="91"/>
      <c r="L35" s="74"/>
      <c r="M35" s="1"/>
      <c r="N35"/>
      <c r="O35"/>
      <c r="P35" s="92"/>
      <c r="Q35" s="92"/>
      <c r="R35" s="92"/>
      <c r="S35" s="93"/>
    </row>
    <row r="36" spans="1:155" ht="13.8" x14ac:dyDescent="0.3">
      <c r="A36" s="52" t="s">
        <v>299</v>
      </c>
      <c r="B36" s="53" t="s">
        <v>300</v>
      </c>
      <c r="C36" s="12" t="s">
        <v>211</v>
      </c>
      <c r="D36" s="100" t="s">
        <v>212</v>
      </c>
      <c r="E36" s="14">
        <v>46051</v>
      </c>
      <c r="F36" s="13" t="s">
        <v>29</v>
      </c>
      <c r="G36" s="15">
        <v>6772.16</v>
      </c>
      <c r="H36" s="15">
        <v>0</v>
      </c>
      <c r="I36" s="15">
        <v>0</v>
      </c>
      <c r="J36" s="15">
        <f t="shared" ref="J36:J40" si="1">G36-H36-I36</f>
        <v>6772.16</v>
      </c>
      <c r="K36" s="16"/>
      <c r="L36" s="1"/>
      <c r="M36" s="1"/>
    </row>
    <row r="37" spans="1:155" ht="13.8" x14ac:dyDescent="0.3">
      <c r="A37" s="95" t="s">
        <v>299</v>
      </c>
      <c r="B37" s="96" t="s">
        <v>300</v>
      </c>
      <c r="C37" s="19" t="s">
        <v>211</v>
      </c>
      <c r="D37" s="101" t="s">
        <v>285</v>
      </c>
      <c r="E37" s="21">
        <v>46099</v>
      </c>
      <c r="F37" s="20" t="s">
        <v>286</v>
      </c>
      <c r="G37" s="22">
        <v>366051.84000000003</v>
      </c>
      <c r="H37" s="22"/>
      <c r="I37" s="22"/>
      <c r="J37" s="22">
        <f t="shared" si="1"/>
        <v>366051.84000000003</v>
      </c>
      <c r="K37" s="23"/>
      <c r="L37" s="1"/>
      <c r="M37" s="1"/>
    </row>
    <row r="38" spans="1:155" ht="13.8" x14ac:dyDescent="0.3">
      <c r="A38" s="20" t="s">
        <v>299</v>
      </c>
      <c r="B38" s="20" t="s">
        <v>300</v>
      </c>
      <c r="C38" s="94" t="s">
        <v>211</v>
      </c>
      <c r="D38" s="101" t="s">
        <v>213</v>
      </c>
      <c r="E38" s="21">
        <v>46056</v>
      </c>
      <c r="F38" s="20" t="s">
        <v>25</v>
      </c>
      <c r="G38" s="22">
        <v>19045.919999999998</v>
      </c>
      <c r="H38" s="22">
        <v>0</v>
      </c>
      <c r="I38" s="22">
        <v>0</v>
      </c>
      <c r="J38" s="22">
        <f t="shared" si="1"/>
        <v>19045.919999999998</v>
      </c>
      <c r="K38" s="23"/>
      <c r="L38" s="1"/>
      <c r="M38" s="1"/>
    </row>
    <row r="39" spans="1:155" ht="13.8" x14ac:dyDescent="0.3">
      <c r="A39" s="99" t="s">
        <v>299</v>
      </c>
      <c r="B39" s="99" t="s">
        <v>300</v>
      </c>
      <c r="C39" s="94" t="s">
        <v>211</v>
      </c>
      <c r="D39" s="101" t="s">
        <v>214</v>
      </c>
      <c r="E39" s="21">
        <v>46056</v>
      </c>
      <c r="F39" s="20" t="s">
        <v>29</v>
      </c>
      <c r="G39" s="22">
        <v>119934.72</v>
      </c>
      <c r="H39" s="22">
        <v>4620</v>
      </c>
      <c r="I39" s="22">
        <v>0</v>
      </c>
      <c r="J39" s="22">
        <f t="shared" si="1"/>
        <v>115314.72</v>
      </c>
      <c r="K39" s="23"/>
      <c r="L39" s="1"/>
      <c r="M39" s="1"/>
    </row>
    <row r="40" spans="1:155" ht="14.4" thickBot="1" x14ac:dyDescent="0.35">
      <c r="A40" s="97" t="s">
        <v>299</v>
      </c>
      <c r="B40" s="98" t="s">
        <v>300</v>
      </c>
      <c r="C40" s="25" t="s">
        <v>211</v>
      </c>
      <c r="D40" s="102" t="s">
        <v>215</v>
      </c>
      <c r="E40" s="27">
        <v>46058</v>
      </c>
      <c r="F40" s="26" t="s">
        <v>39</v>
      </c>
      <c r="G40" s="28">
        <v>459656.38</v>
      </c>
      <c r="H40" s="28">
        <v>0</v>
      </c>
      <c r="I40" s="28">
        <v>137505.06</v>
      </c>
      <c r="J40" s="28">
        <f t="shared" si="1"/>
        <v>322151.32</v>
      </c>
      <c r="K40" s="29">
        <f>SUM(J32:J40)</f>
        <v>4184248.73</v>
      </c>
      <c r="L40" s="74">
        <v>3354912.77</v>
      </c>
      <c r="M40" s="74">
        <f>J36+J37+J38+J39+J40</f>
        <v>829335.96</v>
      </c>
    </row>
    <row r="44" spans="1:155" s="44" customFormat="1" ht="15.75" customHeight="1" thickBot="1" x14ac:dyDescent="0.35">
      <c r="A44" s="147" t="s">
        <v>293</v>
      </c>
      <c r="B44" s="148"/>
      <c r="C44" s="46" t="s">
        <v>0</v>
      </c>
      <c r="D44" s="47" t="s">
        <v>294</v>
      </c>
      <c r="E44" s="46" t="s">
        <v>3</v>
      </c>
      <c r="F44" s="46" t="s">
        <v>4</v>
      </c>
      <c r="G44" s="46" t="s">
        <v>295</v>
      </c>
      <c r="H44" s="48" t="s">
        <v>296</v>
      </c>
      <c r="I44" s="48" t="s">
        <v>7</v>
      </c>
      <c r="J44" s="49" t="s">
        <v>297</v>
      </c>
      <c r="K44" s="50" t="s">
        <v>298</v>
      </c>
      <c r="L44" s="51">
        <v>46167</v>
      </c>
      <c r="M44"/>
      <c r="O44" s="11"/>
      <c r="P44" s="11"/>
      <c r="Q44" s="11"/>
      <c r="R44" s="11"/>
      <c r="S44" s="11"/>
    </row>
    <row r="45" spans="1:155" s="18" customFormat="1" ht="13.8" x14ac:dyDescent="0.3">
      <c r="A45" s="52" t="s">
        <v>299</v>
      </c>
      <c r="B45" s="53" t="s">
        <v>300</v>
      </c>
      <c r="C45" s="53" t="s">
        <v>44</v>
      </c>
      <c r="D45" s="135" t="s">
        <v>301</v>
      </c>
      <c r="E45" s="55">
        <v>46027</v>
      </c>
      <c r="F45" s="53" t="s">
        <v>302</v>
      </c>
      <c r="G45" s="56">
        <v>886720.13</v>
      </c>
      <c r="H45" s="56">
        <v>0</v>
      </c>
      <c r="I45" s="56">
        <v>227364.92</v>
      </c>
      <c r="J45" s="22">
        <f>G45-H45-I45</f>
        <v>659355.21</v>
      </c>
      <c r="K45" s="58"/>
      <c r="L45" s="66"/>
      <c r="M45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</row>
    <row r="46" spans="1:155" s="11" customFormat="1" ht="13.8" x14ac:dyDescent="0.3">
      <c r="A46" s="59" t="s">
        <v>299</v>
      </c>
      <c r="B46" s="60" t="s">
        <v>300</v>
      </c>
      <c r="C46" s="60" t="s">
        <v>44</v>
      </c>
      <c r="D46" s="136" t="s">
        <v>303</v>
      </c>
      <c r="E46" s="62">
        <v>46027</v>
      </c>
      <c r="F46" s="60" t="s">
        <v>11</v>
      </c>
      <c r="G46" s="63">
        <v>112584.8</v>
      </c>
      <c r="H46" s="63">
        <v>1101.1600000000001</v>
      </c>
      <c r="I46" s="63"/>
      <c r="J46" s="22">
        <f t="shared" ref="J46:J50" si="2">G46-H46-I46</f>
        <v>111483.64</v>
      </c>
      <c r="K46" s="65"/>
      <c r="L46" s="66"/>
      <c r="M46"/>
    </row>
    <row r="47" spans="1:155" s="11" customFormat="1" ht="13.8" x14ac:dyDescent="0.3">
      <c r="A47" s="59" t="s">
        <v>299</v>
      </c>
      <c r="B47" s="60" t="s">
        <v>300</v>
      </c>
      <c r="C47" s="60" t="s">
        <v>44</v>
      </c>
      <c r="D47" s="136" t="s">
        <v>304</v>
      </c>
      <c r="E47" s="62">
        <v>46028</v>
      </c>
      <c r="F47" s="60" t="s">
        <v>302</v>
      </c>
      <c r="G47" s="63">
        <v>13953435.23</v>
      </c>
      <c r="H47" s="63">
        <v>0</v>
      </c>
      <c r="I47" s="63">
        <v>4173278.62</v>
      </c>
      <c r="J47" s="22">
        <f t="shared" si="2"/>
        <v>9780156.6099999994</v>
      </c>
      <c r="K47" s="65"/>
      <c r="L47" s="66"/>
      <c r="M47"/>
    </row>
    <row r="48" spans="1:155" s="11" customFormat="1" ht="13.8" x14ac:dyDescent="0.3">
      <c r="A48" s="59" t="s">
        <v>299</v>
      </c>
      <c r="B48" s="60" t="s">
        <v>300</v>
      </c>
      <c r="C48" s="60" t="s">
        <v>44</v>
      </c>
      <c r="D48" s="136" t="s">
        <v>305</v>
      </c>
      <c r="E48" s="62">
        <v>46028</v>
      </c>
      <c r="F48" s="60" t="s">
        <v>11</v>
      </c>
      <c r="G48" s="63">
        <v>1060074.32</v>
      </c>
      <c r="H48" s="63">
        <v>29905.919999999998</v>
      </c>
      <c r="I48" s="63">
        <v>0</v>
      </c>
      <c r="J48" s="22">
        <f t="shared" si="2"/>
        <v>1030168.4</v>
      </c>
      <c r="K48" s="65"/>
      <c r="L48" s="66"/>
      <c r="M48"/>
    </row>
    <row r="49" spans="1:155" s="11" customFormat="1" ht="14.4" thickBot="1" x14ac:dyDescent="0.35">
      <c r="A49" s="67" t="s">
        <v>299</v>
      </c>
      <c r="B49" s="68" t="s">
        <v>300</v>
      </c>
      <c r="C49" s="68" t="s">
        <v>44</v>
      </c>
      <c r="D49" s="137" t="s">
        <v>306</v>
      </c>
      <c r="E49" s="70">
        <v>46028</v>
      </c>
      <c r="F49" s="68" t="s">
        <v>307</v>
      </c>
      <c r="G49" s="71">
        <v>28568.880000000001</v>
      </c>
      <c r="H49" s="71">
        <v>0</v>
      </c>
      <c r="I49" s="71">
        <v>0</v>
      </c>
      <c r="J49" s="22">
        <f t="shared" si="2"/>
        <v>28568.880000000001</v>
      </c>
      <c r="K49" s="129"/>
      <c r="L49" s="74"/>
      <c r="M49"/>
    </row>
    <row r="50" spans="1:155" s="32" customFormat="1" ht="14.4" thickBot="1" x14ac:dyDescent="0.35">
      <c r="A50" s="75" t="s">
        <v>299</v>
      </c>
      <c r="B50" s="76" t="s">
        <v>300</v>
      </c>
      <c r="C50" s="76" t="s">
        <v>44</v>
      </c>
      <c r="D50" s="138" t="s">
        <v>308</v>
      </c>
      <c r="E50" s="77">
        <v>46028</v>
      </c>
      <c r="F50" s="76" t="s">
        <v>309</v>
      </c>
      <c r="G50" s="78">
        <v>9522.9599999999991</v>
      </c>
      <c r="H50" s="78">
        <v>0</v>
      </c>
      <c r="I50" s="78">
        <v>0</v>
      </c>
      <c r="J50" s="128">
        <f t="shared" si="2"/>
        <v>9522.9599999999991</v>
      </c>
      <c r="K50" s="130">
        <f>SUM(J45:J50)</f>
        <v>11619255.700000001</v>
      </c>
      <c r="L50" s="133">
        <f>K50</f>
        <v>11619255.700000001</v>
      </c>
      <c r="M50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/>
      <c r="EO50" s="11"/>
      <c r="EP50" s="11"/>
      <c r="EQ50" s="11"/>
      <c r="ER50" s="11"/>
      <c r="ES50" s="11"/>
      <c r="ET50" s="11"/>
      <c r="EU50" s="11"/>
      <c r="EV50" s="11"/>
      <c r="EW50" s="11"/>
      <c r="EX50" s="11"/>
      <c r="EY50" s="11"/>
    </row>
    <row r="51" spans="1:155" s="44" customFormat="1" ht="15.75" customHeight="1" thickBot="1" x14ac:dyDescent="0.35">
      <c r="A51" s="147" t="s">
        <v>293</v>
      </c>
      <c r="B51" s="148"/>
      <c r="C51" s="46" t="s">
        <v>0</v>
      </c>
      <c r="D51" s="47" t="s">
        <v>294</v>
      </c>
      <c r="E51" s="46" t="s">
        <v>3</v>
      </c>
      <c r="F51" s="46" t="s">
        <v>4</v>
      </c>
      <c r="G51" s="46" t="s">
        <v>295</v>
      </c>
      <c r="H51" s="48" t="s">
        <v>296</v>
      </c>
      <c r="I51" s="48" t="s">
        <v>7</v>
      </c>
      <c r="J51" s="49" t="s">
        <v>297</v>
      </c>
      <c r="K51" s="50" t="s">
        <v>298</v>
      </c>
      <c r="L51" s="51">
        <v>46198</v>
      </c>
      <c r="O51" s="11"/>
      <c r="P51" s="11"/>
      <c r="Q51" s="11"/>
      <c r="R51" s="11"/>
      <c r="S51" s="11"/>
    </row>
    <row r="52" spans="1:155" ht="13.8" x14ac:dyDescent="0.3">
      <c r="C52" s="12" t="s">
        <v>44</v>
      </c>
      <c r="D52" s="13" t="s">
        <v>45</v>
      </c>
      <c r="E52" s="14">
        <v>46056</v>
      </c>
      <c r="F52" s="13" t="s">
        <v>29</v>
      </c>
      <c r="G52" s="15">
        <v>959759.59</v>
      </c>
      <c r="H52" s="15">
        <v>22885.919999999998</v>
      </c>
      <c r="I52" s="15">
        <v>0</v>
      </c>
      <c r="J52" s="22">
        <f t="shared" ref="J52:J57" si="3">G52-H52-I52</f>
        <v>936873.66999999993</v>
      </c>
      <c r="K52" s="16"/>
      <c r="L52" s="24"/>
      <c r="O52" s="103"/>
      <c r="P52" s="17"/>
      <c r="Q52" s="17"/>
      <c r="R52" s="17"/>
    </row>
    <row r="53" spans="1:155" ht="13.8" x14ac:dyDescent="0.3">
      <c r="C53" s="19" t="s">
        <v>44</v>
      </c>
      <c r="D53" s="20" t="s">
        <v>46</v>
      </c>
      <c r="E53" s="21">
        <v>46056</v>
      </c>
      <c r="F53" s="20" t="s">
        <v>25</v>
      </c>
      <c r="G53" s="22">
        <v>52646.85</v>
      </c>
      <c r="H53" s="22">
        <v>0</v>
      </c>
      <c r="I53" s="22">
        <v>0</v>
      </c>
      <c r="J53" s="22">
        <f t="shared" si="3"/>
        <v>52646.85</v>
      </c>
      <c r="K53" s="23"/>
      <c r="L53" s="24"/>
      <c r="O53" s="104"/>
      <c r="P53" s="24"/>
      <c r="Q53" s="24"/>
      <c r="R53" s="24"/>
    </row>
    <row r="54" spans="1:155" ht="13.8" x14ac:dyDescent="0.3">
      <c r="C54" s="19" t="s">
        <v>44</v>
      </c>
      <c r="D54" s="20" t="s">
        <v>47</v>
      </c>
      <c r="E54" s="21">
        <v>46056</v>
      </c>
      <c r="F54" s="20" t="s">
        <v>27</v>
      </c>
      <c r="G54" s="22">
        <v>9522.9599999999991</v>
      </c>
      <c r="H54" s="22">
        <v>0</v>
      </c>
      <c r="I54" s="22">
        <v>0</v>
      </c>
      <c r="J54" s="22">
        <f t="shared" si="3"/>
        <v>9522.9599999999991</v>
      </c>
      <c r="K54" s="23"/>
      <c r="L54" s="24"/>
      <c r="O54" s="104"/>
      <c r="P54" s="24"/>
      <c r="Q54" s="24"/>
      <c r="R54" s="24"/>
    </row>
    <row r="55" spans="1:155" ht="13.8" x14ac:dyDescent="0.3">
      <c r="C55" s="19" t="s">
        <v>44</v>
      </c>
      <c r="D55" s="20" t="s">
        <v>48</v>
      </c>
      <c r="E55" s="21">
        <v>46058</v>
      </c>
      <c r="F55" s="20" t="s">
        <v>39</v>
      </c>
      <c r="G55" s="22">
        <v>938074.84</v>
      </c>
      <c r="H55" s="22">
        <v>0</v>
      </c>
      <c r="I55" s="22">
        <v>86687.56</v>
      </c>
      <c r="J55" s="22">
        <f t="shared" si="3"/>
        <v>851387.28</v>
      </c>
      <c r="K55" s="23"/>
      <c r="L55" s="24"/>
      <c r="O55" s="104"/>
      <c r="P55" s="24"/>
      <c r="Q55" s="24"/>
      <c r="R55" s="24"/>
    </row>
    <row r="56" spans="1:155" ht="14.4" thickBot="1" x14ac:dyDescent="0.35">
      <c r="C56" s="19" t="s">
        <v>44</v>
      </c>
      <c r="D56" s="20" t="s">
        <v>49</v>
      </c>
      <c r="E56" s="21">
        <v>46058</v>
      </c>
      <c r="F56" s="20" t="s">
        <v>29</v>
      </c>
      <c r="G56" s="22">
        <v>149633.46</v>
      </c>
      <c r="H56" s="22">
        <v>4114.32</v>
      </c>
      <c r="I56" s="22">
        <v>0</v>
      </c>
      <c r="J56" s="22">
        <f t="shared" si="3"/>
        <v>145519.13999999998</v>
      </c>
      <c r="K56" s="131"/>
      <c r="L56" s="24"/>
      <c r="O56" s="104"/>
      <c r="P56" s="24"/>
      <c r="Q56" s="24"/>
      <c r="R56" s="24"/>
    </row>
    <row r="57" spans="1:155" ht="14.4" thickBot="1" x14ac:dyDescent="0.35">
      <c r="C57" s="25" t="s">
        <v>44</v>
      </c>
      <c r="D57" s="26" t="s">
        <v>50</v>
      </c>
      <c r="E57" s="27">
        <v>46058</v>
      </c>
      <c r="F57" s="26" t="s">
        <v>39</v>
      </c>
      <c r="G57" s="28">
        <v>10734835.68</v>
      </c>
      <c r="H57" s="28">
        <v>0</v>
      </c>
      <c r="I57" s="28">
        <v>881272.12</v>
      </c>
      <c r="J57" s="128">
        <f t="shared" si="3"/>
        <v>9853563.5600000005</v>
      </c>
      <c r="K57" s="132">
        <f>SUM(J52:J57)</f>
        <v>11849513.460000001</v>
      </c>
      <c r="L57" s="134">
        <f>K57</f>
        <v>11849513.460000001</v>
      </c>
      <c r="O57" s="105"/>
      <c r="P57" s="30"/>
      <c r="Q57" s="30"/>
      <c r="R57" s="30"/>
    </row>
    <row r="60" spans="1:155" x14ac:dyDescent="0.25">
      <c r="M60" s="107"/>
    </row>
    <row r="63" spans="1:155" ht="13.8" thickBot="1" x14ac:dyDescent="0.3"/>
    <row r="64" spans="1:155" ht="14.4" thickBot="1" x14ac:dyDescent="0.35">
      <c r="D64" s="2" t="s">
        <v>0</v>
      </c>
      <c r="E64" s="3" t="s">
        <v>1</v>
      </c>
      <c r="F64" s="3" t="s">
        <v>2</v>
      </c>
      <c r="G64" s="4" t="s">
        <v>3</v>
      </c>
      <c r="H64" s="3" t="s">
        <v>4</v>
      </c>
      <c r="I64" s="5" t="s">
        <v>5</v>
      </c>
      <c r="J64" s="5" t="s">
        <v>6</v>
      </c>
      <c r="K64" s="5" t="s">
        <v>7</v>
      </c>
      <c r="L64" s="6" t="s">
        <v>8</v>
      </c>
      <c r="M64" s="7" t="s">
        <v>289</v>
      </c>
      <c r="N64" s="9">
        <v>46173</v>
      </c>
      <c r="O64" s="9">
        <v>46203</v>
      </c>
      <c r="P64" s="9">
        <v>46234</v>
      </c>
      <c r="S64" s="10">
        <v>46265</v>
      </c>
    </row>
    <row r="65" spans="4:19" ht="13.8" x14ac:dyDescent="0.3">
      <c r="D65" s="12" t="s">
        <v>227</v>
      </c>
      <c r="E65" s="13">
        <v>30637580961</v>
      </c>
      <c r="F65" s="13" t="s">
        <v>228</v>
      </c>
      <c r="G65" s="14">
        <v>46062</v>
      </c>
      <c r="H65" s="13" t="s">
        <v>229</v>
      </c>
      <c r="I65" s="15">
        <v>4757625.5999999996</v>
      </c>
      <c r="J65" s="15">
        <v>0</v>
      </c>
      <c r="K65" s="15">
        <v>0</v>
      </c>
      <c r="L65" s="15">
        <f t="shared" ref="L65:L67" si="4">I65-J65-K65</f>
        <v>4757625.5999999996</v>
      </c>
      <c r="M65" s="16"/>
      <c r="N65" s="17"/>
      <c r="O65" s="17"/>
      <c r="P65" s="17"/>
    </row>
    <row r="66" spans="4:19" ht="13.8" x14ac:dyDescent="0.3">
      <c r="D66" s="19" t="s">
        <v>227</v>
      </c>
      <c r="E66" s="20">
        <v>30637580961</v>
      </c>
      <c r="F66" s="20" t="s">
        <v>230</v>
      </c>
      <c r="G66" s="21">
        <v>46062</v>
      </c>
      <c r="H66" s="20" t="s">
        <v>29</v>
      </c>
      <c r="I66" s="22">
        <v>168405.02</v>
      </c>
      <c r="J66" s="22">
        <v>0</v>
      </c>
      <c r="K66" s="22">
        <v>0</v>
      </c>
      <c r="L66" s="22">
        <f t="shared" si="4"/>
        <v>168405.02</v>
      </c>
      <c r="M66" s="23"/>
      <c r="N66" s="24"/>
      <c r="O66" s="24"/>
      <c r="P66" s="24"/>
    </row>
    <row r="67" spans="4:19" ht="14.4" thickBot="1" x14ac:dyDescent="0.35">
      <c r="D67" s="25" t="s">
        <v>227</v>
      </c>
      <c r="E67" s="26">
        <v>30637580961</v>
      </c>
      <c r="F67" s="26" t="s">
        <v>231</v>
      </c>
      <c r="G67" s="27">
        <v>46062</v>
      </c>
      <c r="H67" s="26" t="s">
        <v>39</v>
      </c>
      <c r="I67" s="28">
        <v>13681712.85</v>
      </c>
      <c r="J67" s="28">
        <v>130485.67</v>
      </c>
      <c r="K67" s="28">
        <v>747534.64</v>
      </c>
      <c r="L67" s="28">
        <f t="shared" si="4"/>
        <v>12803692.539999999</v>
      </c>
      <c r="M67" s="29">
        <f>SUM(L65:L67)</f>
        <v>17729723.159999996</v>
      </c>
      <c r="N67" s="31">
        <f>M67/3</f>
        <v>5909907.7199999988</v>
      </c>
      <c r="O67" s="31">
        <f>M67/3</f>
        <v>5909907.7199999988</v>
      </c>
      <c r="P67" s="31">
        <f>M67/3</f>
        <v>5909907.7199999988</v>
      </c>
    </row>
    <row r="69" spans="4:19" ht="13.8" thickBot="1" x14ac:dyDescent="0.3"/>
    <row r="70" spans="4:19" ht="14.4" thickBot="1" x14ac:dyDescent="0.35">
      <c r="D70" s="2" t="s">
        <v>0</v>
      </c>
      <c r="E70" s="3" t="s">
        <v>1</v>
      </c>
      <c r="F70" s="3" t="s">
        <v>2</v>
      </c>
      <c r="G70" s="4" t="s">
        <v>3</v>
      </c>
      <c r="H70" s="3" t="s">
        <v>4</v>
      </c>
      <c r="I70" s="5" t="s">
        <v>5</v>
      </c>
      <c r="J70" s="5" t="s">
        <v>6</v>
      </c>
      <c r="K70" s="5" t="s">
        <v>7</v>
      </c>
      <c r="L70" s="6" t="s">
        <v>8</v>
      </c>
      <c r="M70" s="7" t="s">
        <v>289</v>
      </c>
      <c r="N70" s="9">
        <v>46203</v>
      </c>
      <c r="O70" s="9">
        <v>46234</v>
      </c>
      <c r="S70">
        <v>46265</v>
      </c>
    </row>
    <row r="71" spans="4:19" ht="13.8" x14ac:dyDescent="0.3">
      <c r="D71" s="12" t="s">
        <v>171</v>
      </c>
      <c r="E71" s="13">
        <v>30680565224</v>
      </c>
      <c r="F71" s="13" t="s">
        <v>172</v>
      </c>
      <c r="G71" s="14">
        <v>46058</v>
      </c>
      <c r="H71" s="13" t="s">
        <v>29</v>
      </c>
      <c r="I71" s="15">
        <v>24436.3</v>
      </c>
      <c r="J71" s="15">
        <v>0</v>
      </c>
      <c r="K71" s="15">
        <v>0</v>
      </c>
      <c r="L71" s="15">
        <f t="shared" ref="L71:L73" si="5">I71-J71-K71</f>
        <v>24436.3</v>
      </c>
      <c r="M71" s="16"/>
      <c r="N71" s="17"/>
      <c r="O71" s="17"/>
    </row>
    <row r="72" spans="4:19" ht="13.8" x14ac:dyDescent="0.3">
      <c r="D72" s="19" t="s">
        <v>171</v>
      </c>
      <c r="E72" s="20">
        <v>30680565224</v>
      </c>
      <c r="F72" s="20" t="s">
        <v>173</v>
      </c>
      <c r="G72" s="21">
        <v>46059</v>
      </c>
      <c r="H72" s="20" t="s">
        <v>29</v>
      </c>
      <c r="I72" s="22">
        <v>395123.35</v>
      </c>
      <c r="J72" s="22">
        <v>0</v>
      </c>
      <c r="K72" s="22">
        <v>0</v>
      </c>
      <c r="L72" s="22">
        <f t="shared" si="5"/>
        <v>395123.35</v>
      </c>
      <c r="M72" s="23"/>
      <c r="N72" s="24"/>
      <c r="O72" s="24"/>
    </row>
    <row r="73" spans="4:19" ht="14.4" thickBot="1" x14ac:dyDescent="0.35">
      <c r="D73" s="25" t="s">
        <v>171</v>
      </c>
      <c r="E73" s="26">
        <v>30680565224</v>
      </c>
      <c r="F73" s="26" t="s">
        <v>174</v>
      </c>
      <c r="G73" s="27">
        <v>46063</v>
      </c>
      <c r="H73" s="26" t="s">
        <v>39</v>
      </c>
      <c r="I73" s="28">
        <v>3656092.28</v>
      </c>
      <c r="J73" s="28">
        <v>0</v>
      </c>
      <c r="K73" s="28">
        <v>0</v>
      </c>
      <c r="L73" s="28">
        <f t="shared" si="5"/>
        <v>3656092.28</v>
      </c>
      <c r="M73" s="29">
        <f>SUM(L71:L73)</f>
        <v>4075651.9299999997</v>
      </c>
      <c r="N73" s="31">
        <f>M73/2</f>
        <v>2037825.9649999999</v>
      </c>
      <c r="O73" s="31">
        <f>M73/2</f>
        <v>2037825.9649999999</v>
      </c>
    </row>
    <row r="75" spans="4:19" ht="13.8" thickBot="1" x14ac:dyDescent="0.3"/>
    <row r="76" spans="4:19" ht="14.4" thickBot="1" x14ac:dyDescent="0.35">
      <c r="D76" s="2" t="s">
        <v>0</v>
      </c>
      <c r="E76" s="3" t="s">
        <v>1</v>
      </c>
      <c r="F76" s="3" t="s">
        <v>2</v>
      </c>
      <c r="G76" s="4" t="s">
        <v>3</v>
      </c>
      <c r="H76" s="3" t="s">
        <v>4</v>
      </c>
      <c r="I76" s="5" t="s">
        <v>5</v>
      </c>
      <c r="J76" s="5" t="s">
        <v>6</v>
      </c>
      <c r="K76" s="5" t="s">
        <v>7</v>
      </c>
      <c r="L76" s="6" t="s">
        <v>8</v>
      </c>
      <c r="M76" s="7" t="s">
        <v>289</v>
      </c>
      <c r="N76" s="9">
        <v>46173</v>
      </c>
      <c r="O76" s="9">
        <v>46203</v>
      </c>
    </row>
    <row r="77" spans="4:19" ht="13.8" x14ac:dyDescent="0.3">
      <c r="D77" s="12" t="s">
        <v>107</v>
      </c>
      <c r="E77" s="13">
        <v>30589770842</v>
      </c>
      <c r="F77" s="13" t="s">
        <v>108</v>
      </c>
      <c r="G77" s="14">
        <v>46053</v>
      </c>
      <c r="H77" s="13" t="s">
        <v>25</v>
      </c>
      <c r="I77" s="15">
        <v>304297.64</v>
      </c>
      <c r="J77" s="15">
        <v>26780</v>
      </c>
      <c r="K77" s="15">
        <v>0</v>
      </c>
      <c r="L77" s="15">
        <f t="shared" ref="L77:L98" si="6">I77-J77-K77</f>
        <v>277517.64</v>
      </c>
      <c r="M77" s="16"/>
      <c r="N77" s="17"/>
      <c r="O77" s="17"/>
    </row>
    <row r="78" spans="4:19" ht="13.8" x14ac:dyDescent="0.3">
      <c r="D78" s="19" t="s">
        <v>107</v>
      </c>
      <c r="E78" s="20">
        <v>30589770842</v>
      </c>
      <c r="F78" s="20" t="s">
        <v>109</v>
      </c>
      <c r="G78" s="21">
        <v>46053</v>
      </c>
      <c r="H78" s="20" t="s">
        <v>23</v>
      </c>
      <c r="I78" s="22">
        <v>353428.96</v>
      </c>
      <c r="J78" s="22">
        <v>25245</v>
      </c>
      <c r="K78" s="22">
        <v>0</v>
      </c>
      <c r="L78" s="22">
        <f t="shared" si="6"/>
        <v>328183.96000000002</v>
      </c>
      <c r="M78" s="23"/>
      <c r="N78" s="24"/>
      <c r="O78" s="24"/>
    </row>
    <row r="79" spans="4:19" ht="13.8" x14ac:dyDescent="0.3">
      <c r="D79" s="19" t="s">
        <v>107</v>
      </c>
      <c r="E79" s="20">
        <v>30589770842</v>
      </c>
      <c r="F79" s="20" t="s">
        <v>110</v>
      </c>
      <c r="G79" s="21">
        <v>46053</v>
      </c>
      <c r="H79" s="20" t="s">
        <v>27</v>
      </c>
      <c r="I79" s="22">
        <v>202374.71</v>
      </c>
      <c r="J79" s="22">
        <v>0</v>
      </c>
      <c r="K79" s="22">
        <v>0</v>
      </c>
      <c r="L79" s="22">
        <f t="shared" si="6"/>
        <v>202374.71</v>
      </c>
      <c r="M79" s="23"/>
      <c r="N79" s="24"/>
      <c r="O79" s="24"/>
    </row>
    <row r="80" spans="4:19" ht="13.8" x14ac:dyDescent="0.3">
      <c r="D80" s="19" t="s">
        <v>107</v>
      </c>
      <c r="E80" s="20">
        <v>30589770842</v>
      </c>
      <c r="F80" s="20" t="s">
        <v>111</v>
      </c>
      <c r="G80" s="21">
        <v>46053</v>
      </c>
      <c r="H80" s="20" t="s">
        <v>29</v>
      </c>
      <c r="I80" s="22">
        <v>154323.04999999999</v>
      </c>
      <c r="J80" s="22">
        <v>0</v>
      </c>
      <c r="K80" s="22">
        <v>0</v>
      </c>
      <c r="L80" s="22">
        <f t="shared" si="6"/>
        <v>154323.04999999999</v>
      </c>
      <c r="M80" s="23"/>
      <c r="N80" s="24"/>
      <c r="O80" s="24"/>
    </row>
    <row r="81" spans="4:15" ht="13.8" x14ac:dyDescent="0.3">
      <c r="D81" s="19" t="s">
        <v>107</v>
      </c>
      <c r="E81" s="20">
        <v>30589770842</v>
      </c>
      <c r="F81" s="20" t="s">
        <v>112</v>
      </c>
      <c r="G81" s="21">
        <v>46053</v>
      </c>
      <c r="H81" s="20" t="s">
        <v>25</v>
      </c>
      <c r="I81" s="22">
        <v>26780</v>
      </c>
      <c r="J81" s="22">
        <v>0</v>
      </c>
      <c r="K81" s="22">
        <v>0</v>
      </c>
      <c r="L81" s="22">
        <f t="shared" si="6"/>
        <v>26780</v>
      </c>
      <c r="M81" s="23"/>
      <c r="N81" s="24"/>
      <c r="O81" s="24"/>
    </row>
    <row r="82" spans="4:15" ht="13.8" x14ac:dyDescent="0.3">
      <c r="D82" s="19" t="s">
        <v>107</v>
      </c>
      <c r="E82" s="20">
        <v>30589770842</v>
      </c>
      <c r="F82" s="20" t="s">
        <v>113</v>
      </c>
      <c r="G82" s="21">
        <v>46053</v>
      </c>
      <c r="H82" s="20" t="s">
        <v>29</v>
      </c>
      <c r="I82" s="22">
        <v>365669.5</v>
      </c>
      <c r="J82" s="22">
        <v>0</v>
      </c>
      <c r="K82" s="22">
        <v>0</v>
      </c>
      <c r="L82" s="22">
        <f t="shared" si="6"/>
        <v>365669.5</v>
      </c>
      <c r="M82" s="23"/>
      <c r="N82" s="24"/>
      <c r="O82" s="24"/>
    </row>
    <row r="83" spans="4:15" ht="13.8" x14ac:dyDescent="0.3">
      <c r="D83" s="19" t="s">
        <v>107</v>
      </c>
      <c r="E83" s="20">
        <v>30589770842</v>
      </c>
      <c r="F83" s="20" t="s">
        <v>114</v>
      </c>
      <c r="G83" s="21">
        <v>46053</v>
      </c>
      <c r="H83" s="20" t="s">
        <v>29</v>
      </c>
      <c r="I83" s="22">
        <v>1243510.22</v>
      </c>
      <c r="J83" s="22">
        <v>0</v>
      </c>
      <c r="K83" s="22">
        <v>0</v>
      </c>
      <c r="L83" s="22">
        <f t="shared" si="6"/>
        <v>1243510.22</v>
      </c>
      <c r="M83" s="23"/>
      <c r="N83" s="24"/>
      <c r="O83" s="24"/>
    </row>
    <row r="84" spans="4:15" ht="13.8" x14ac:dyDescent="0.3">
      <c r="D84" s="19" t="s">
        <v>107</v>
      </c>
      <c r="E84" s="20">
        <v>30589770842</v>
      </c>
      <c r="F84" s="20" t="s">
        <v>115</v>
      </c>
      <c r="G84" s="21">
        <v>46053</v>
      </c>
      <c r="H84" s="20" t="s">
        <v>25</v>
      </c>
      <c r="I84" s="22">
        <v>59163.46</v>
      </c>
      <c r="J84" s="22">
        <v>0</v>
      </c>
      <c r="K84" s="22">
        <v>0</v>
      </c>
      <c r="L84" s="22">
        <f t="shared" si="6"/>
        <v>59163.46</v>
      </c>
      <c r="M84" s="23"/>
      <c r="N84" s="24"/>
      <c r="O84" s="24"/>
    </row>
    <row r="85" spans="4:15" ht="13.8" x14ac:dyDescent="0.3">
      <c r="D85" s="19" t="s">
        <v>107</v>
      </c>
      <c r="E85" s="20">
        <v>30589770842</v>
      </c>
      <c r="F85" s="20" t="s">
        <v>116</v>
      </c>
      <c r="G85" s="21">
        <v>46053</v>
      </c>
      <c r="H85" s="20" t="s">
        <v>25</v>
      </c>
      <c r="I85" s="22">
        <v>2105118.9300000002</v>
      </c>
      <c r="J85" s="22">
        <v>0</v>
      </c>
      <c r="K85" s="22">
        <v>0</v>
      </c>
      <c r="L85" s="22">
        <f t="shared" si="6"/>
        <v>2105118.9300000002</v>
      </c>
      <c r="M85" s="23"/>
      <c r="N85" s="24"/>
      <c r="O85" s="24"/>
    </row>
    <row r="86" spans="4:15" ht="13.8" x14ac:dyDescent="0.3">
      <c r="D86" s="19" t="s">
        <v>107</v>
      </c>
      <c r="E86" s="20">
        <v>30589770842</v>
      </c>
      <c r="F86" s="20" t="s">
        <v>117</v>
      </c>
      <c r="G86" s="21">
        <v>46053</v>
      </c>
      <c r="H86" s="20" t="s">
        <v>23</v>
      </c>
      <c r="I86" s="22">
        <v>187083.26</v>
      </c>
      <c r="J86" s="22">
        <v>21730</v>
      </c>
      <c r="K86" s="22">
        <v>0</v>
      </c>
      <c r="L86" s="22">
        <f t="shared" si="6"/>
        <v>165353.26</v>
      </c>
      <c r="M86" s="23"/>
      <c r="N86" s="24"/>
      <c r="O86" s="24"/>
    </row>
    <row r="87" spans="4:15" ht="13.8" x14ac:dyDescent="0.3">
      <c r="D87" s="19" t="s">
        <v>107</v>
      </c>
      <c r="E87" s="20">
        <v>30589770842</v>
      </c>
      <c r="F87" s="20" t="s">
        <v>118</v>
      </c>
      <c r="G87" s="21">
        <v>46053</v>
      </c>
      <c r="H87" s="20" t="s">
        <v>23</v>
      </c>
      <c r="I87" s="22">
        <v>11394.36</v>
      </c>
      <c r="J87" s="22">
        <v>0</v>
      </c>
      <c r="K87" s="22">
        <v>0</v>
      </c>
      <c r="L87" s="22">
        <f t="shared" si="6"/>
        <v>11394.36</v>
      </c>
      <c r="M87" s="23"/>
      <c r="N87" s="24"/>
      <c r="O87" s="24"/>
    </row>
    <row r="88" spans="4:15" ht="13.8" x14ac:dyDescent="0.3">
      <c r="D88" s="19" t="s">
        <v>107</v>
      </c>
      <c r="E88" s="20">
        <v>30589770842</v>
      </c>
      <c r="F88" s="20" t="s">
        <v>119</v>
      </c>
      <c r="G88" s="21">
        <v>46053</v>
      </c>
      <c r="H88" s="20" t="s">
        <v>29</v>
      </c>
      <c r="I88" s="22">
        <v>385556.3</v>
      </c>
      <c r="J88" s="22">
        <v>0</v>
      </c>
      <c r="K88" s="22">
        <v>0</v>
      </c>
      <c r="L88" s="22">
        <f t="shared" si="6"/>
        <v>385556.3</v>
      </c>
      <c r="M88" s="23"/>
      <c r="N88" s="24"/>
      <c r="O88" s="24"/>
    </row>
    <row r="89" spans="4:15" ht="13.8" x14ac:dyDescent="0.3">
      <c r="D89" s="19" t="s">
        <v>107</v>
      </c>
      <c r="E89" s="20">
        <v>30589770842</v>
      </c>
      <c r="F89" s="20" t="s">
        <v>120</v>
      </c>
      <c r="G89" s="21">
        <v>46053</v>
      </c>
      <c r="H89" s="20" t="s">
        <v>23</v>
      </c>
      <c r="I89" s="22">
        <v>412559.2</v>
      </c>
      <c r="J89" s="22">
        <v>5600</v>
      </c>
      <c r="K89" s="22">
        <v>0</v>
      </c>
      <c r="L89" s="22">
        <f t="shared" si="6"/>
        <v>406959.2</v>
      </c>
      <c r="M89" s="23"/>
      <c r="N89" s="24"/>
      <c r="O89" s="24"/>
    </row>
    <row r="90" spans="4:15" ht="13.8" x14ac:dyDescent="0.3">
      <c r="D90" s="19" t="s">
        <v>107</v>
      </c>
      <c r="E90" s="20">
        <v>30589770842</v>
      </c>
      <c r="F90" s="20" t="s">
        <v>121</v>
      </c>
      <c r="G90" s="21">
        <v>46053</v>
      </c>
      <c r="H90" s="20" t="s">
        <v>29</v>
      </c>
      <c r="I90" s="22">
        <v>1325550.8899999999</v>
      </c>
      <c r="J90" s="22">
        <v>0</v>
      </c>
      <c r="K90" s="22">
        <v>0</v>
      </c>
      <c r="L90" s="22">
        <f t="shared" si="6"/>
        <v>1325550.8899999999</v>
      </c>
      <c r="M90" s="23"/>
      <c r="N90" s="24"/>
      <c r="O90" s="24"/>
    </row>
    <row r="91" spans="4:15" ht="13.8" x14ac:dyDescent="0.3">
      <c r="D91" s="19" t="s">
        <v>107</v>
      </c>
      <c r="E91" s="20">
        <v>30589770842</v>
      </c>
      <c r="F91" s="20" t="s">
        <v>122</v>
      </c>
      <c r="G91" s="21">
        <v>46053</v>
      </c>
      <c r="H91" s="20" t="s">
        <v>29</v>
      </c>
      <c r="I91" s="22">
        <v>1101721.71</v>
      </c>
      <c r="J91" s="22">
        <v>0</v>
      </c>
      <c r="K91" s="22">
        <v>0</v>
      </c>
      <c r="L91" s="22">
        <f t="shared" si="6"/>
        <v>1101721.71</v>
      </c>
      <c r="M91" s="23"/>
      <c r="N91" s="24"/>
      <c r="O91" s="24"/>
    </row>
    <row r="92" spans="4:15" ht="13.8" x14ac:dyDescent="0.3">
      <c r="D92" s="19" t="s">
        <v>107</v>
      </c>
      <c r="E92" s="20">
        <v>30589770842</v>
      </c>
      <c r="F92" s="20" t="s">
        <v>123</v>
      </c>
      <c r="G92" s="21">
        <v>46053</v>
      </c>
      <c r="H92" s="20" t="s">
        <v>27</v>
      </c>
      <c r="I92" s="22">
        <v>172926.31</v>
      </c>
      <c r="J92" s="22">
        <v>0</v>
      </c>
      <c r="K92" s="22">
        <v>0</v>
      </c>
      <c r="L92" s="22">
        <f t="shared" si="6"/>
        <v>172926.31</v>
      </c>
      <c r="M92" s="23"/>
      <c r="N92" s="24"/>
      <c r="O92" s="24"/>
    </row>
    <row r="93" spans="4:15" ht="13.8" x14ac:dyDescent="0.3">
      <c r="D93" s="19" t="s">
        <v>107</v>
      </c>
      <c r="E93" s="20">
        <v>30589770842</v>
      </c>
      <c r="F93" s="20" t="s">
        <v>124</v>
      </c>
      <c r="G93" s="21">
        <v>46053</v>
      </c>
      <c r="H93" s="20" t="s">
        <v>25</v>
      </c>
      <c r="I93" s="22">
        <v>234200.99</v>
      </c>
      <c r="J93" s="22">
        <v>0</v>
      </c>
      <c r="K93" s="22">
        <v>0</v>
      </c>
      <c r="L93" s="22">
        <f t="shared" si="6"/>
        <v>234200.99</v>
      </c>
      <c r="M93" s="23"/>
      <c r="N93" s="24"/>
      <c r="O93" s="24"/>
    </row>
    <row r="94" spans="4:15" ht="13.8" x14ac:dyDescent="0.3">
      <c r="D94" s="19" t="s">
        <v>107</v>
      </c>
      <c r="E94" s="20">
        <v>30589770842</v>
      </c>
      <c r="F94" s="20" t="s">
        <v>125</v>
      </c>
      <c r="G94" s="21">
        <v>46053</v>
      </c>
      <c r="H94" s="20" t="s">
        <v>25</v>
      </c>
      <c r="I94" s="22">
        <v>24277.919999999998</v>
      </c>
      <c r="J94" s="22">
        <v>0</v>
      </c>
      <c r="K94" s="22">
        <v>0</v>
      </c>
      <c r="L94" s="22">
        <f t="shared" si="6"/>
        <v>24277.919999999998</v>
      </c>
      <c r="M94" s="23"/>
      <c r="N94" s="24"/>
      <c r="O94" s="24"/>
    </row>
    <row r="95" spans="4:15" ht="13.8" x14ac:dyDescent="0.3">
      <c r="D95" s="19" t="s">
        <v>107</v>
      </c>
      <c r="E95" s="20">
        <v>30589770842</v>
      </c>
      <c r="F95" s="20" t="s">
        <v>126</v>
      </c>
      <c r="G95" s="21">
        <v>46053</v>
      </c>
      <c r="H95" s="20" t="s">
        <v>23</v>
      </c>
      <c r="I95" s="22">
        <v>1661124.65</v>
      </c>
      <c r="J95" s="22">
        <v>0</v>
      </c>
      <c r="K95" s="22">
        <v>0</v>
      </c>
      <c r="L95" s="22">
        <f t="shared" si="6"/>
        <v>1661124.65</v>
      </c>
      <c r="M95" s="23"/>
      <c r="N95" s="24"/>
      <c r="O95" s="24"/>
    </row>
    <row r="96" spans="4:15" ht="13.8" x14ac:dyDescent="0.3">
      <c r="D96" s="19" t="s">
        <v>107</v>
      </c>
      <c r="E96" s="20">
        <v>30589770842</v>
      </c>
      <c r="F96" s="20" t="s">
        <v>127</v>
      </c>
      <c r="G96" s="21">
        <v>46053</v>
      </c>
      <c r="H96" s="20" t="s">
        <v>27</v>
      </c>
      <c r="I96" s="22">
        <v>205189.02</v>
      </c>
      <c r="J96" s="22">
        <v>0</v>
      </c>
      <c r="K96" s="22">
        <v>0</v>
      </c>
      <c r="L96" s="22">
        <f t="shared" si="6"/>
        <v>205189.02</v>
      </c>
      <c r="M96" s="23"/>
      <c r="N96" s="24"/>
      <c r="O96" s="24"/>
    </row>
    <row r="97" spans="4:16" ht="13.8" x14ac:dyDescent="0.3">
      <c r="D97" s="19" t="s">
        <v>107</v>
      </c>
      <c r="E97" s="20">
        <v>30589770842</v>
      </c>
      <c r="F97" s="20" t="s">
        <v>128</v>
      </c>
      <c r="G97" s="21">
        <v>46053</v>
      </c>
      <c r="H97" s="20" t="s">
        <v>25</v>
      </c>
      <c r="I97" s="22">
        <v>458790.03</v>
      </c>
      <c r="J97" s="22">
        <v>0</v>
      </c>
      <c r="K97" s="22">
        <v>0</v>
      </c>
      <c r="L97" s="22">
        <f t="shared" si="6"/>
        <v>458790.03</v>
      </c>
      <c r="M97" s="23"/>
      <c r="N97" s="24"/>
      <c r="O97" s="24"/>
    </row>
    <row r="98" spans="4:16" ht="14.4" thickBot="1" x14ac:dyDescent="0.35">
      <c r="D98" s="25" t="s">
        <v>107</v>
      </c>
      <c r="E98" s="26">
        <v>30589770842</v>
      </c>
      <c r="F98" s="26" t="s">
        <v>129</v>
      </c>
      <c r="G98" s="27">
        <v>46053</v>
      </c>
      <c r="H98" s="26" t="s">
        <v>23</v>
      </c>
      <c r="I98" s="28">
        <v>301081.62</v>
      </c>
      <c r="J98" s="28">
        <v>2690</v>
      </c>
      <c r="K98" s="28">
        <v>0</v>
      </c>
      <c r="L98" s="28">
        <f t="shared" si="6"/>
        <v>298391.62</v>
      </c>
      <c r="M98" s="29">
        <f>SUM(L77:L98)</f>
        <v>11214077.729999999</v>
      </c>
      <c r="N98" s="31">
        <f>M98/2</f>
        <v>5607038.8649999993</v>
      </c>
      <c r="O98" s="31">
        <f>M98/2</f>
        <v>5607038.8649999993</v>
      </c>
    </row>
    <row r="101" spans="4:16" ht="13.8" thickBot="1" x14ac:dyDescent="0.3"/>
    <row r="102" spans="4:16" ht="14.4" thickBot="1" x14ac:dyDescent="0.35">
      <c r="D102" s="2" t="s">
        <v>0</v>
      </c>
      <c r="E102" s="3" t="s">
        <v>1</v>
      </c>
      <c r="F102" s="3" t="s">
        <v>2</v>
      </c>
      <c r="G102" s="4" t="s">
        <v>3</v>
      </c>
      <c r="H102" s="3" t="s">
        <v>4</v>
      </c>
      <c r="I102" s="5" t="s">
        <v>5</v>
      </c>
      <c r="J102" s="5" t="s">
        <v>6</v>
      </c>
      <c r="K102" s="5" t="s">
        <v>7</v>
      </c>
      <c r="L102" s="6" t="s">
        <v>8</v>
      </c>
      <c r="M102" s="7" t="s">
        <v>289</v>
      </c>
      <c r="N102" s="9">
        <v>46173</v>
      </c>
      <c r="O102" s="9">
        <v>46203</v>
      </c>
      <c r="P102" s="9">
        <v>46234</v>
      </c>
    </row>
    <row r="103" spans="4:16" ht="13.8" x14ac:dyDescent="0.3">
      <c r="D103" s="12" t="s">
        <v>36</v>
      </c>
      <c r="E103" s="13">
        <v>30545894528</v>
      </c>
      <c r="F103" s="13" t="s">
        <v>37</v>
      </c>
      <c r="G103" s="14">
        <v>46058</v>
      </c>
      <c r="H103" s="13" t="s">
        <v>23</v>
      </c>
      <c r="I103" s="15">
        <v>31504.14</v>
      </c>
      <c r="J103" s="15">
        <v>0</v>
      </c>
      <c r="K103" s="15">
        <v>0</v>
      </c>
      <c r="L103" s="15">
        <f t="shared" ref="L103:L107" si="7">I103-J103-K103</f>
        <v>31504.14</v>
      </c>
      <c r="M103" s="16"/>
      <c r="N103" s="108"/>
      <c r="O103" s="108"/>
      <c r="P103" s="108"/>
    </row>
    <row r="104" spans="4:16" ht="13.8" x14ac:dyDescent="0.3">
      <c r="D104" s="19" t="s">
        <v>36</v>
      </c>
      <c r="E104" s="20">
        <v>30545894528</v>
      </c>
      <c r="F104" s="20" t="s">
        <v>38</v>
      </c>
      <c r="G104" s="21">
        <v>46058</v>
      </c>
      <c r="H104" s="20" t="s">
        <v>39</v>
      </c>
      <c r="I104" s="22">
        <v>486451.82</v>
      </c>
      <c r="J104" s="22">
        <v>0</v>
      </c>
      <c r="K104" s="22">
        <v>122836.35</v>
      </c>
      <c r="L104" s="22">
        <f t="shared" si="7"/>
        <v>363615.47</v>
      </c>
      <c r="M104" s="23"/>
      <c r="N104" s="109"/>
      <c r="O104" s="109"/>
      <c r="P104" s="109"/>
    </row>
    <row r="105" spans="4:16" ht="13.8" x14ac:dyDescent="0.3">
      <c r="D105" s="19" t="s">
        <v>36</v>
      </c>
      <c r="E105" s="20">
        <v>30545894528</v>
      </c>
      <c r="F105" s="20" t="s">
        <v>40</v>
      </c>
      <c r="G105" s="21">
        <v>46058</v>
      </c>
      <c r="H105" s="20" t="s">
        <v>39</v>
      </c>
      <c r="I105" s="22">
        <v>1384309.14</v>
      </c>
      <c r="J105" s="22">
        <v>0</v>
      </c>
      <c r="K105" s="22">
        <v>79421.38</v>
      </c>
      <c r="L105" s="22">
        <f t="shared" si="7"/>
        <v>1304887.7599999998</v>
      </c>
      <c r="M105" s="23"/>
      <c r="N105" s="110"/>
      <c r="O105" s="110"/>
      <c r="P105" s="110"/>
    </row>
    <row r="106" spans="4:16" ht="13.8" x14ac:dyDescent="0.3">
      <c r="D106" s="19" t="s">
        <v>36</v>
      </c>
      <c r="E106" s="20">
        <v>30545894528</v>
      </c>
      <c r="F106" s="20" t="s">
        <v>41</v>
      </c>
      <c r="G106" s="21">
        <v>46058</v>
      </c>
      <c r="H106" s="20" t="s">
        <v>42</v>
      </c>
      <c r="I106" s="22">
        <v>6394140</v>
      </c>
      <c r="J106" s="22">
        <v>0</v>
      </c>
      <c r="K106" s="22">
        <v>0</v>
      </c>
      <c r="L106" s="22">
        <f t="shared" si="7"/>
        <v>6394140</v>
      </c>
      <c r="M106" s="23"/>
      <c r="N106" s="24"/>
      <c r="O106" s="24"/>
      <c r="P106" s="24"/>
    </row>
    <row r="107" spans="4:16" ht="13.8" x14ac:dyDescent="0.3">
      <c r="D107" s="19" t="s">
        <v>36</v>
      </c>
      <c r="E107" s="20">
        <v>30545894528</v>
      </c>
      <c r="F107" s="20" t="s">
        <v>43</v>
      </c>
      <c r="G107" s="21">
        <v>46058</v>
      </c>
      <c r="H107" s="20" t="s">
        <v>25</v>
      </c>
      <c r="I107" s="22">
        <v>596063.43999999994</v>
      </c>
      <c r="J107" s="22">
        <v>36221.980000000003</v>
      </c>
      <c r="K107" s="22">
        <v>0</v>
      </c>
      <c r="L107" s="22">
        <f t="shared" si="7"/>
        <v>559841.46</v>
      </c>
      <c r="M107" s="23">
        <f>SUM(L103:L107)</f>
        <v>8653988.8299999982</v>
      </c>
      <c r="N107" s="106">
        <f>M107/3</f>
        <v>2884662.9433333329</v>
      </c>
      <c r="O107" s="106">
        <f>M107/3</f>
        <v>2884662.9433333329</v>
      </c>
      <c r="P107" s="106">
        <f>M107/3</f>
        <v>2884662.9433333329</v>
      </c>
    </row>
  </sheetData>
  <mergeCells count="3">
    <mergeCell ref="A44:B44"/>
    <mergeCell ref="A31:B31"/>
    <mergeCell ref="A51:B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PLANILLA PARA FACTURISTAS PERIO</vt:lpstr>
      <vt:lpstr>POR TRANSFERENCIA</vt:lpstr>
      <vt:lpstr>PROPUESTAS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Toledo</dc:creator>
  <cp:lastModifiedBy>Usuario</cp:lastModifiedBy>
  <dcterms:created xsi:type="dcterms:W3CDTF">2026-03-19T20:06:36Z</dcterms:created>
  <dcterms:modified xsi:type="dcterms:W3CDTF">2026-05-06T18:16:28Z</dcterms:modified>
</cp:coreProperties>
</file>