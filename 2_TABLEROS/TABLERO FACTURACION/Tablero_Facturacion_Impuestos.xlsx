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icio" sheetId="1" state="visible" r:id="rId1"/>
    <sheet name="Reglas" sheetId="2" state="visible" r:id="rId2"/>
    <sheet name="Facturacion" sheetId="3" state="visible" r:id="rId3"/>
    <sheet name="Checklist" sheetId="4" state="visible" r:id="rId4"/>
    <sheet name="Cobranzas" sheetId="5" state="visible" r:id="rId5"/>
    <sheet name="Impuestos" sheetId="6" state="visible" r:id="rId6"/>
    <sheet name="Detalle IVA" sheetId="7" state="visible" r:id="rId7"/>
    <sheet name="Detalle Tasa Cba" sheetId="8" state="visible" r:id="rId8"/>
    <sheet name="Detalle IIBB CABA" sheetId="9" state="visible" r:id="rId9"/>
    <sheet name="Detalle IIBB Cba" sheetId="10" state="visible" r:id="rId10"/>
    <sheet name="Resumen" sheetId="11" state="visible" r:id="rId11"/>
  </sheets>
  <definedNames>
    <definedName name="Alic_651_CABA" hidden="0" function="0" vbProcedure="0">Reglas!$D$21</definedName>
    <definedName name="Alic_651_Cba" hidden="0" function="0" vbProcedure="0">Reglas!$E$21</definedName>
    <definedName name="Alic_702_CABA" hidden="0" function="0" vbProcedure="0">Reglas!$D$20</definedName>
    <definedName name="Alic_702_Cba" hidden="0" function="0" vbProcedure="0">Reglas!$E$20</definedName>
    <definedName name="Coef_CABA" hidden="0" function="0" vbProcedure="0">Reglas!$D$14</definedName>
    <definedName name="Coef_Cba" hidden="0" function="0" vbProcedure="0">Reglas!$D$15</definedName>
    <definedName name="Fac_Actividad" hidden="0" function="0" vbProcedure="0">Facturacion!$H$2:$H$501</definedName>
    <definedName name="Fac_Anio" hidden="0" function="0" vbProcedure="0">Facturacion!$P$2:$P$501</definedName>
    <definedName name="Fac_Cliente" hidden="0" function="0" vbProcedure="0">Facturacion!$E$2:$E$501</definedName>
    <definedName name="Fac_Concepto" hidden="0" function="0" vbProcedure="0">Facturacion!$G$2:$G$501</definedName>
    <definedName name="Fac_EstadoAFIP" hidden="0" function="0" vbProcedure="0">Facturacion!$R$2:$R$501</definedName>
    <definedName name="Fac_Fecha" hidden="0" function="0" vbProcedure="0">Facturacion!$A$2:$A$501</definedName>
    <definedName name="Fac_IVA105" hidden="0" function="0" vbProcedure="0">Facturacion!$AB$2:$AB$501</definedName>
    <definedName name="Fac_IVA21" hidden="0" function="0" vbProcedure="0">Facturacion!$AA$2:$AA$501</definedName>
    <definedName name="Fac_Mes" hidden="0" function="0" vbProcedure="0">Facturacion!$Q$2:$Q$501</definedName>
    <definedName name="Fac_Neto" hidden="0" function="0" vbProcedure="0">Facturacion!$Y$2:$Y$501</definedName>
    <definedName name="Fac_NoGrav" hidden="0" function="0" vbProcedure="0">Facturacion!$Z$2:$Z$501</definedName>
    <definedName name="Fac_Periodo" hidden="0" function="0" vbProcedure="0">Facturacion!$O$2:$O$501</definedName>
    <definedName name="Fac_Tipo" hidden="0" function="0" vbProcedure="0">Facturacion!$B$2:$B$501</definedName>
    <definedName name="Fac_Total" hidden="0" function="0" vbProcedure="0">Facturacion!$AC$2:$AC$501</definedName>
    <definedName name="IVA_general" hidden="0" function="0" vbProcedure="0">Reglas!$C$7</definedName>
    <definedName name="IVA_reducida" hidden="0" function="0" vbProcedure="0">Reglas!$C$8</definedName>
    <definedName name="Pct_credito" hidden="0" function="0" vbProcedure="0">Reglas!$C$10</definedName>
    <definedName name="Tasa_2025" hidden="0" function="0" vbProcedure="0">Reglas!$C$25</definedName>
    <definedName name="Tasa_2026" hidden="0" function="0" vbProcedure="0">Reglas!$C$26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0%;\(0.00%\);\-"/>
    <numFmt numFmtId="165" formatCode="0.0000"/>
    <numFmt numFmtId="166" formatCode="0.0000%;\(0.0000%\);\-"/>
    <numFmt numFmtId="167" formatCode="dd/mm/yyyy"/>
    <numFmt numFmtId="168" formatCode="\$#,##0.00;&quot;($&quot;#,##0.00\);\-"/>
    <numFmt numFmtId="169" formatCode="0;\-0;;"/>
    <numFmt numFmtId="170" formatCode="\$#,##0;&quot;($&quot;#,##0\);\-"/>
    <numFmt numFmtId="171" formatCode="0.0%;\(0.0%\);\-"/>
    <numFmt numFmtId="172" formatCode="#,##0;\(#,##0\);\-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5A"/>
      <sz val="24"/>
    </font>
    <font>
      <name val="Calibri"/>
      <charset val="1"/>
      <family val="0"/>
      <b val="1"/>
      <color rgb="FF404040"/>
      <sz val="14"/>
    </font>
    <font>
      <name val="Calibri"/>
      <charset val="1"/>
      <family val="0"/>
      <i val="1"/>
      <color rgb="FF606060"/>
      <sz val="11"/>
    </font>
    <font>
      <name val="Calibri"/>
      <charset val="1"/>
      <family val="0"/>
      <b val="1"/>
      <color rgb="FF1F4E5A"/>
      <sz val="12"/>
    </font>
    <font>
      <name val="Calibri"/>
      <charset val="1"/>
      <family val="0"/>
      <b val="1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b val="1"/>
      <color rgb="FF008000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C00000"/>
      <sz val="11"/>
    </font>
    <font>
      <name val="Calibri"/>
      <charset val="1"/>
      <family val="0"/>
      <i val="1"/>
      <sz val="10"/>
    </font>
    <font>
      <name val="Calibri"/>
      <charset val="1"/>
      <family val="0"/>
      <b val="1"/>
      <color rgb="FF1F4E5A"/>
      <sz val="16"/>
    </font>
    <font>
      <name val="Calibri"/>
      <charset val="1"/>
      <family val="0"/>
      <i val="1"/>
      <color rgb="FF60606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0"/>
    </font>
    <font>
      <name val="Calibri"/>
      <charset val="1"/>
      <family val="0"/>
      <i val="1"/>
      <sz val="9"/>
    </font>
    <font>
      <name val="Calibri"/>
      <charset val="1"/>
      <family val="0"/>
      <i val="1"/>
      <color rgb="FFC00000"/>
      <sz val="9"/>
    </font>
    <font>
      <name val="Calibri"/>
      <charset val="1"/>
      <family val="0"/>
      <i val="1"/>
      <color rgb="FF606060"/>
      <sz val="9"/>
    </font>
    <font>
      <name val="Calibri"/>
      <charset val="1"/>
      <family val="0"/>
      <b val="1"/>
      <color rgb="FF1F4E5A"/>
      <sz val="14"/>
    </font>
    <font>
      <name val="Calibri"/>
      <charset val="1"/>
      <family val="0"/>
      <i val="1"/>
      <color rgb="FF0000FF"/>
      <sz val="10"/>
    </font>
    <font>
      <name val="Calibri"/>
      <charset val="1"/>
      <family val="0"/>
      <color rgb="FF008000"/>
      <sz val="10"/>
    </font>
    <font>
      <name val="Calibri"/>
      <charset val="1"/>
      <family val="0"/>
      <b val="1"/>
      <color rgb="FF1F4E5A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404040"/>
      <sz val="12"/>
    </font>
    <font>
      <name val="Calibri"/>
      <charset val="1"/>
      <family val="0"/>
      <b val="1"/>
      <color rgb="FF1F4E5A"/>
      <sz val="18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A"/>
        <bgColor rgb="FF404040"/>
      </patternFill>
    </fill>
    <fill>
      <patternFill patternType="solid">
        <fgColor rgb="FFD9D9D9"/>
        <bgColor rgb="FFB7DEE8"/>
      </patternFill>
    </fill>
    <fill>
      <patternFill patternType="solid">
        <fgColor rgb="FFB7DEE8"/>
        <bgColor rgb="FFC6EFCE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B7DEE8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164" fontId="12" fillId="2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5" fontId="12" fillId="2" borderId="1" applyAlignment="1" pivotButton="0" quotePrefix="0" xfId="0">
      <alignment horizontal="general" vertical="bottom"/>
    </xf>
    <xf numFmtId="165" fontId="13" fillId="4" borderId="1" applyAlignment="1" pivotButton="0" quotePrefix="0" xfId="0">
      <alignment horizontal="general" vertical="bottom"/>
    </xf>
    <xf numFmtId="166" fontId="12" fillId="2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" fontId="19" fillId="0" borderId="1" applyAlignment="1" pivotButton="0" quotePrefix="0" xfId="0">
      <alignment horizontal="center" vertical="bottom"/>
    </xf>
    <xf numFmtId="168" fontId="9" fillId="0" borderId="1" applyAlignment="1" pivotButton="0" quotePrefix="0" xfId="0">
      <alignment horizontal="general" vertical="bottom"/>
    </xf>
    <xf numFmtId="168" fontId="19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169" fontId="19" fillId="0" borderId="1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170" fontId="25" fillId="0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71" fontId="11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70" fontId="1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7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168" fontId="25" fillId="0" borderId="1" applyAlignment="1" pivotButton="0" quotePrefix="0" xfId="0">
      <alignment horizontal="general" vertical="bottom"/>
    </xf>
    <xf numFmtId="1" fontId="25" fillId="0" borderId="1" applyAlignment="1" pivotButton="0" quotePrefix="0" xfId="0">
      <alignment horizontal="general" vertical="bottom"/>
    </xf>
    <xf numFmtId="164" fontId="19" fillId="0" borderId="1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general" vertical="bottom"/>
    </xf>
    <xf numFmtId="168" fontId="13" fillId="4" borderId="1" applyAlignment="1" pivotButton="0" quotePrefix="0" xfId="0">
      <alignment horizontal="general" vertical="bottom"/>
    </xf>
    <xf numFmtId="167" fontId="19" fillId="0" borderId="1" applyAlignment="1" pivotButton="0" quotePrefix="0" xfId="0">
      <alignment horizontal="general" vertical="bottom"/>
    </xf>
    <xf numFmtId="0" fontId="18" fillId="3" borderId="1" applyAlignment="1" pivotButton="0" quotePrefix="0" xfId="0">
      <alignment horizontal="left" vertical="center" indent="1"/>
    </xf>
    <xf numFmtId="168" fontId="27" fillId="3" borderId="1" applyAlignment="1" pivotButton="0" quotePrefix="0" xfId="0">
      <alignment horizontal="general" vertical="bottom"/>
    </xf>
    <xf numFmtId="164" fontId="13" fillId="4" borderId="1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/>
    </xf>
    <xf numFmtId="164" fontId="25" fillId="6" borderId="1" applyAlignment="1" pivotButton="0" quotePrefix="0" xfId="0">
      <alignment horizontal="general" vertical="bottom"/>
    </xf>
    <xf numFmtId="168" fontId="13" fillId="7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3" fillId="5" borderId="1" applyAlignment="1" pivotButton="0" quotePrefix="0" xfId="0">
      <alignment horizontal="left" vertical="center" indent="1"/>
    </xf>
    <xf numFmtId="165" fontId="25" fillId="6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indent="2"/>
    </xf>
    <xf numFmtId="170" fontId="22" fillId="0" borderId="1" applyAlignment="1" pivotButton="0" quotePrefix="0" xfId="0">
      <alignment horizontal="general" vertical="bottom"/>
    </xf>
    <xf numFmtId="166" fontId="25" fillId="6" borderId="1" applyAlignment="1" pivotButton="0" quotePrefix="0" xfId="0">
      <alignment horizontal="general" vertical="bottom"/>
    </xf>
    <xf numFmtId="0" fontId="29" fillId="0" borderId="0" applyAlignment="1" pivotButton="0" quotePrefix="0" xfId="0">
      <alignment horizontal="center" vertical="bottom"/>
    </xf>
    <xf numFmtId="172" fontId="25" fillId="0" borderId="1" applyAlignment="1" pivotButton="0" quotePrefix="0" xfId="0">
      <alignment horizontal="general" vertical="bottom"/>
    </xf>
    <xf numFmtId="164" fontId="25" fillId="0" borderId="1" applyAlignment="1" pivotButton="0" quotePrefix="0" xfId="0">
      <alignment horizontal="general" vertical="bottom"/>
    </xf>
    <xf numFmtId="168" fontId="26" fillId="2" borderId="1" applyAlignment="1" pivotButton="0" quotePrefix="0" xfId="0">
      <alignment horizontal="general" vertical="bottom"/>
    </xf>
    <xf numFmtId="170" fontId="13" fillId="4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164" fontId="12" fillId="2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5" fontId="12" fillId="2" borderId="1" applyAlignment="1" pivotButton="0" quotePrefix="0" xfId="0">
      <alignment horizontal="general" vertical="bottom"/>
    </xf>
    <xf numFmtId="165" fontId="13" fillId="4" borderId="1" applyAlignment="1" pivotButton="0" quotePrefix="0" xfId="0">
      <alignment horizontal="general" vertical="bottom"/>
    </xf>
    <xf numFmtId="166" fontId="12" fillId="2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0" borderId="1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" fontId="19" fillId="0" borderId="1" applyAlignment="1" pivotButton="0" quotePrefix="0" xfId="0">
      <alignment horizontal="center" vertical="bottom"/>
    </xf>
    <xf numFmtId="168" fontId="9" fillId="0" borderId="1" applyAlignment="1" pivotButton="0" quotePrefix="0" xfId="0">
      <alignment horizontal="general" vertical="bottom"/>
    </xf>
    <xf numFmtId="168" fontId="19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169" fontId="19" fillId="0" borderId="1" applyAlignment="1" pivotButton="0" quotePrefix="0" xfId="0">
      <alignment horizontal="center" vertical="bottom"/>
    </xf>
    <xf numFmtId="167" fontId="30" fillId="0" borderId="7" applyAlignment="1" pivotButton="0" quotePrefix="0" xfId="0">
      <alignment horizontal="general" vertical="bottom"/>
    </xf>
    <xf numFmtId="0" fontId="30" fillId="0" borderId="7" applyAlignment="1" pivotButton="0" quotePrefix="0" xfId="0">
      <alignment horizontal="general" vertical="bottom"/>
    </xf>
    <xf numFmtId="168" fontId="30" fillId="0" borderId="7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170" fontId="25" fillId="0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71" fontId="11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70" fontId="11" fillId="0" borderId="1" applyAlignment="1" pivotButton="0" quotePrefix="0" xfId="0">
      <alignment horizontal="general" vertical="bottom"/>
    </xf>
    <xf numFmtId="167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168" fontId="25" fillId="0" borderId="1" applyAlignment="1" pivotButton="0" quotePrefix="0" xfId="0">
      <alignment horizontal="general" vertical="bottom"/>
    </xf>
    <xf numFmtId="1" fontId="25" fillId="0" borderId="1" applyAlignment="1" pivotButton="0" quotePrefix="0" xfId="0">
      <alignment horizontal="general" vertical="bottom"/>
    </xf>
    <xf numFmtId="164" fontId="19" fillId="0" borderId="1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general" vertical="bottom"/>
    </xf>
    <xf numFmtId="168" fontId="13" fillId="4" borderId="1" applyAlignment="1" pivotButton="0" quotePrefix="0" xfId="0">
      <alignment horizontal="general" vertical="bottom"/>
    </xf>
    <xf numFmtId="167" fontId="19" fillId="0" borderId="1" applyAlignment="1" pivotButton="0" quotePrefix="0" xfId="0">
      <alignment horizontal="general" vertical="bottom"/>
    </xf>
    <xf numFmtId="0" fontId="18" fillId="3" borderId="1" applyAlignment="1" pivotButton="0" quotePrefix="0" xfId="0">
      <alignment horizontal="left" vertical="center" indent="1"/>
    </xf>
    <xf numFmtId="168" fontId="27" fillId="3" borderId="1" applyAlignment="1" pivotButton="0" quotePrefix="0" xfId="0">
      <alignment horizontal="general" vertical="bottom"/>
    </xf>
    <xf numFmtId="164" fontId="13" fillId="4" borderId="1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/>
    </xf>
    <xf numFmtId="164" fontId="25" fillId="6" borderId="1" applyAlignment="1" pivotButton="0" quotePrefix="0" xfId="0">
      <alignment horizontal="general" vertical="bottom"/>
    </xf>
    <xf numFmtId="168" fontId="13" fillId="7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3" fillId="5" borderId="1" applyAlignment="1" pivotButton="0" quotePrefix="0" xfId="0">
      <alignment horizontal="left" vertical="center" indent="1"/>
    </xf>
    <xf numFmtId="165" fontId="25" fillId="6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indent="2"/>
    </xf>
    <xf numFmtId="170" fontId="22" fillId="0" borderId="1" applyAlignment="1" pivotButton="0" quotePrefix="0" xfId="0">
      <alignment horizontal="general" vertical="bottom"/>
    </xf>
    <xf numFmtId="166" fontId="25" fillId="6" borderId="1" applyAlignment="1" pivotButton="0" quotePrefix="0" xfId="0">
      <alignment horizontal="general" vertical="bottom"/>
    </xf>
    <xf numFmtId="0" fontId="29" fillId="0" borderId="0" applyAlignment="1" pivotButton="0" quotePrefix="0" xfId="0">
      <alignment horizontal="center" vertical="bottom"/>
    </xf>
    <xf numFmtId="172" fontId="25" fillId="0" borderId="1" applyAlignment="1" pivotButton="0" quotePrefix="0" xfId="0">
      <alignment horizontal="general" vertical="bottom"/>
    </xf>
    <xf numFmtId="164" fontId="25" fillId="0" borderId="1" applyAlignment="1" pivotButton="0" quotePrefix="0" xfId="0">
      <alignment horizontal="general" vertical="bottom"/>
    </xf>
    <xf numFmtId="168" fontId="26" fillId="2" borderId="1" applyAlignment="1" pivotButton="0" quotePrefix="0" xfId="0">
      <alignment horizontal="general" vertical="bottom"/>
    </xf>
    <xf numFmtId="170" fontId="13" fillId="4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B7DEE8"/>
        </patternFill>
      </fill>
    </dxf>
    <dxf>
      <font>
        <name val="Calibri"/>
        <charset val="1"/>
        <family val="0"/>
        <b val="1"/>
        <color rgb="FFC00000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4E5A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2" min="1" max="1"/>
    <col width="30" customWidth="1" style="82" min="2" max="2"/>
    <col width="70" customWidth="1" style="82" min="3" max="3"/>
  </cols>
  <sheetData>
    <row r="2" ht="28.5" customHeight="1" s="83">
      <c r="B2" s="84" t="inlineStr">
        <is>
          <t>GRIFF SALUD SA</t>
        </is>
      </c>
    </row>
    <row r="3" ht="17.25" customHeight="1" s="83">
      <c r="B3" s="85" t="inlineStr">
        <is>
          <t>Tablero de Facturación e Impuestos</t>
        </is>
      </c>
    </row>
    <row r="4" ht="15" customHeight="1" s="83">
      <c r="B4" s="86" t="inlineStr">
        <is>
          <t>Período: 2026</t>
        </is>
      </c>
    </row>
    <row r="6" ht="15" customHeight="1" s="83">
      <c r="B6" s="87" t="inlineStr">
        <is>
          <t>Datos de la empresa</t>
        </is>
      </c>
    </row>
    <row r="7" ht="15" customHeight="1" s="83">
      <c r="B7" s="88" t="inlineStr">
        <is>
          <t>Razón Social:</t>
        </is>
      </c>
      <c r="C7" s="89" t="inlineStr">
        <is>
          <t>GRIFF SALUD SA</t>
        </is>
      </c>
    </row>
    <row r="8" ht="15" customHeight="1" s="83">
      <c r="B8" s="88" t="inlineStr">
        <is>
          <t>CUIT:</t>
        </is>
      </c>
      <c r="C8" s="89" t="inlineStr">
        <is>
          <t>30-71713418-0</t>
        </is>
      </c>
    </row>
    <row r="9" ht="15" customHeight="1" s="83">
      <c r="B9" s="88" t="inlineStr">
        <is>
          <t>Forma Jurídica:</t>
        </is>
      </c>
      <c r="C9" s="89" t="inlineStr">
        <is>
          <t>Sociedad Anónima</t>
        </is>
      </c>
    </row>
    <row r="10" ht="15" customHeight="1" s="83">
      <c r="B10" s="88" t="inlineStr">
        <is>
          <t>Domicilio Fiscal:</t>
        </is>
      </c>
      <c r="C10" s="89" t="inlineStr">
        <is>
          <t>Loreto Virrey 1710, Piso 10 Dpto E - CABA</t>
        </is>
      </c>
    </row>
    <row r="11" ht="15" customHeight="1" s="83">
      <c r="B11" s="88" t="inlineStr">
        <is>
          <t>Condición AFIP:</t>
        </is>
      </c>
      <c r="C11" s="89" t="inlineStr">
        <is>
          <t>Responsable Inscripto</t>
        </is>
      </c>
    </row>
    <row r="12" ht="15" customHeight="1" s="83">
      <c r="B12" s="88" t="inlineStr">
        <is>
          <t>Inicio actividades:</t>
        </is>
      </c>
      <c r="C12" s="89" t="inlineStr">
        <is>
          <t>10/2025</t>
        </is>
      </c>
    </row>
    <row r="13" ht="15" customHeight="1" s="83">
      <c r="B13" s="88" t="inlineStr">
        <is>
          <t>Cierre ejercicio:</t>
        </is>
      </c>
      <c r="C13" s="89" t="inlineStr">
        <is>
          <t>Diciembre</t>
        </is>
      </c>
    </row>
    <row r="14" ht="15" customHeight="1" s="83">
      <c r="B14" s="88" t="inlineStr">
        <is>
          <t>Actividad principal:</t>
        </is>
      </c>
      <c r="C14" s="89" t="inlineStr">
        <is>
          <t>869090 - Servicios relacionados con la salud humana NCP</t>
        </is>
      </c>
    </row>
    <row r="15" ht="15" customHeight="1" s="83">
      <c r="B15" s="88" t="inlineStr">
        <is>
          <t>Actividad secundaria:</t>
        </is>
      </c>
      <c r="C15" s="89" t="inlineStr">
        <is>
          <t>702010 - Servicios de gerenciamiento de instituciones de salud</t>
        </is>
      </c>
    </row>
    <row r="16" ht="15" customHeight="1" s="83">
      <c r="B16" s="88" t="inlineStr">
        <is>
          <t>Actividades IIBB:</t>
        </is>
      </c>
      <c r="C16" s="89" t="inlineStr">
        <is>
          <t>702010 - Gerenciamiento  /  651110 - Servicios de seguros</t>
        </is>
      </c>
    </row>
    <row r="17" ht="15" customHeight="1" s="83">
      <c r="B17" s="88" t="inlineStr">
        <is>
          <t>Jurisdicciones IIBB:</t>
        </is>
      </c>
      <c r="C17" s="89" t="inlineStr">
        <is>
          <t>Convenio Multilateral - CABA (901) + Córdoba (904)</t>
        </is>
      </c>
    </row>
    <row r="18" ht="15" customHeight="1" s="83">
      <c r="B18" s="88" t="inlineStr">
        <is>
          <t>Tasa Municipal:</t>
        </is>
      </c>
      <c r="C18" s="89" t="inlineStr">
        <is>
          <t>Comercio e Industria - Córdoba</t>
        </is>
      </c>
    </row>
    <row r="20" ht="15" customHeight="1" s="83">
      <c r="B20" s="87" t="inlineStr">
        <is>
          <t>Estructura del libro</t>
        </is>
      </c>
    </row>
    <row r="21" ht="15" customHeight="1" s="83">
      <c r="B21" s="90" t="inlineStr">
        <is>
          <t>Reglas</t>
        </is>
      </c>
      <c r="C21" s="91" t="inlineStr">
        <is>
          <t>Alícuotas, coeficientes y parámetros editables. ⚠️ Modificar acá los valores fiscales.</t>
        </is>
      </c>
    </row>
    <row r="22" ht="15" customHeight="1" s="83">
      <c r="B22" s="90" t="inlineStr">
        <is>
          <t>Facturacion</t>
        </is>
      </c>
      <c r="C22" s="91" t="inlineStr">
        <is>
          <t>Registro maestro: una fila por factura emitida. Base de todos los cálculos.</t>
        </is>
      </c>
    </row>
    <row r="23" ht="15" customHeight="1" s="83">
      <c r="B23" s="90" t="inlineStr">
        <is>
          <t>Checklist</t>
        </is>
      </c>
      <c r="C23" s="91" t="inlineStr">
        <is>
          <t>Control mensual de facturas a emitir por cliente fijo. Verde = emitida, Rojo = falta.</t>
        </is>
      </c>
    </row>
    <row r="24" ht="15" customHeight="1" s="83">
      <c r="B24" s="90" t="inlineStr">
        <is>
          <t>Cobranzas</t>
        </is>
      </c>
      <c r="C24" s="91" t="inlineStr">
        <is>
          <t>Estado de cobro de cada factura. Por ahora manual.</t>
        </is>
      </c>
    </row>
    <row r="25" ht="15" customHeight="1" s="83">
      <c r="B25" s="90" t="inlineStr">
        <is>
          <t>Impuestos</t>
        </is>
      </c>
      <c r="C25" s="91" t="inlineStr">
        <is>
          <t>Cálculo automático mensual: IVA, IIBB CABA, IIBB Córdoba, Tasa Comercio.</t>
        </is>
      </c>
    </row>
    <row r="26" ht="15" customHeight="1" s="83">
      <c r="B26" s="90" t="inlineStr">
        <is>
          <t>Resumen</t>
        </is>
      </c>
      <c r="C26" s="91" t="inlineStr">
        <is>
          <t>Vista ejecutiva: totales del año, próximos vencimientos, alertas.</t>
        </is>
      </c>
    </row>
    <row r="28" ht="15" customHeight="1" s="83">
      <c r="B28" s="87" t="inlineStr">
        <is>
          <t>Convenciones de color</t>
        </is>
      </c>
    </row>
    <row r="29" ht="15" customHeight="1" s="83">
      <c r="B29" s="92" t="inlineStr">
        <is>
          <t>Texto azul</t>
        </is>
      </c>
      <c r="C29" s="93" t="inlineStr">
        <is>
          <t>Datos cargados manualmente (editables)</t>
        </is>
      </c>
    </row>
    <row r="30" ht="15" customHeight="1" s="83">
      <c r="B30" s="94" t="inlineStr">
        <is>
          <t>Texto negro</t>
        </is>
      </c>
      <c r="C30" s="93" t="inlineStr">
        <is>
          <t>Fórmulas calculadas automáticamente (no editar)</t>
        </is>
      </c>
    </row>
    <row r="31" ht="15" customHeight="1" s="83">
      <c r="B31" s="90" t="inlineStr">
        <is>
          <t>Texto verde</t>
        </is>
      </c>
      <c r="C31" s="93" t="inlineStr">
        <is>
          <t>Referencia a otra hoja del libro</t>
        </is>
      </c>
    </row>
    <row r="32" ht="15" customHeight="1" s="83">
      <c r="B32" s="95" t="inlineStr">
        <is>
          <t>Fondo amarillo</t>
        </is>
      </c>
      <c r="C32" s="93" t="inlineStr">
        <is>
          <t>Parámetro clave - revisar y ajustar</t>
        </is>
      </c>
    </row>
    <row r="34" ht="15" customHeight="1" s="83">
      <c r="B34" s="96" t="inlineStr">
        <is>
          <t>ℹ️ Importante</t>
        </is>
      </c>
    </row>
    <row r="35" ht="60" customHeight="1" s="83">
      <c r="B35" s="97" t="inlineStr">
        <is>
          <t>Todos los cálculos de impuestos son APROXIMADOS. No reemplazan la liquidación profesional. El crédito fiscal de IVA es estimado por prorrateo (parametrizable en hoja Reglas). Las retenciones, percepciones y pagos a cuenta deben cargarse en hoja Impuestos al recibir los certificados. NOTAS DE CRÉDITO: cargar Tipo como 'NCA', 'NCB', 'NCC' o 'NCE'. Los montos se ingresan en POSITIVO; el sistema invierte el signo automáticamente y resta del IVA, IIBB y demás impuestos del período.</t>
        </is>
      </c>
    </row>
    <row r="36" ht="15" customHeight="1" s="83"/>
    <row r="37" ht="15" customHeight="1" s="83"/>
  </sheetData>
  <mergeCells count="8">
    <mergeCell ref="B35:C37"/>
    <mergeCell ref="B6:C6"/>
    <mergeCell ref="B2:C2"/>
    <mergeCell ref="B3:C3"/>
    <mergeCell ref="B20:C20"/>
    <mergeCell ref="B34:C34"/>
    <mergeCell ref="B28:C28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82" min="1" max="1"/>
    <col width="38" customWidth="1" style="82" min="2" max="2"/>
    <col width="18" customWidth="1" style="82" min="3" max="5"/>
    <col width="40" customWidth="1" style="82" min="6" max="6"/>
  </cols>
  <sheetData>
    <row r="2" ht="19.5" customHeight="1" s="83">
      <c r="B2" s="98" t="inlineStr">
        <is>
          <t>REGLAS Y PARÁMETROS FISCALES</t>
        </is>
      </c>
    </row>
    <row r="3" ht="15" customHeight="1" s="83">
      <c r="B3" s="99" t="inlineStr">
        <is>
          <t>Modifique los valores en azul / fondo amarillo. Las fórmulas del resto del libro los toman automáticamente.</t>
        </is>
      </c>
    </row>
    <row r="5" ht="15" customHeight="1" s="83">
      <c r="B5" s="87" t="inlineStr">
        <is>
          <t>1. IVA</t>
        </is>
      </c>
    </row>
    <row r="6" ht="15" customHeight="1" s="83">
      <c r="B6" s="100" t="inlineStr">
        <is>
          <t>Concepto</t>
        </is>
      </c>
      <c r="C6" s="100" t="inlineStr">
        <is>
          <t>Valor</t>
        </is>
      </c>
      <c r="F6" s="100" t="inlineStr">
        <is>
          <t>Notas</t>
        </is>
      </c>
    </row>
    <row r="7" ht="15" customHeight="1" s="83">
      <c r="B7" s="101" t="inlineStr">
        <is>
          <t>Alícuota IVA general</t>
        </is>
      </c>
      <c r="C7" s="102" t="n">
        <v>0.21</v>
      </c>
      <c r="F7" s="103" t="inlineStr">
        <is>
          <t>21% - alícuota general para servicios</t>
        </is>
      </c>
    </row>
    <row r="8" ht="15" customHeight="1" s="83">
      <c r="B8" s="101" t="inlineStr">
        <is>
          <t>Alícuota IVA reducida</t>
        </is>
      </c>
      <c r="C8" s="102" t="n">
        <v>0.105</v>
      </c>
      <c r="F8" s="103" t="inlineStr">
        <is>
          <t>10,5% - servicios de salud, intereses, etc.</t>
        </is>
      </c>
    </row>
    <row r="9" ht="15" customHeight="1" s="83">
      <c r="B9" s="101" t="inlineStr">
        <is>
          <t>Crédito fiscal - método</t>
        </is>
      </c>
      <c r="C9" s="104" t="inlineStr">
        <is>
          <t>Prorrateo</t>
        </is>
      </c>
      <c r="F9" s="103" t="inlineStr">
        <is>
          <t>Prorrateo aproximado: IVA crédito = % débito mensual</t>
        </is>
      </c>
    </row>
    <row r="10" ht="15" customHeight="1" s="83">
      <c r="B10" s="101" t="inlineStr">
        <is>
          <t>% Crédito fiscal estimado (sobre débito)</t>
        </is>
      </c>
      <c r="C10" s="105" t="n">
        <v>0.3</v>
      </c>
      <c r="F10" s="106" t="inlineStr">
        <is>
          <t>⚠️ AJUSTAR según realidad: % de IVA crédito como proporción del débito</t>
        </is>
      </c>
    </row>
    <row r="12" ht="15" customHeight="1" s="83">
      <c r="B12" s="87" t="inlineStr">
        <is>
          <t>2. IIBB - Convenio Multilateral</t>
        </is>
      </c>
    </row>
    <row r="13" ht="15" customHeight="1" s="83">
      <c r="B13" s="100" t="inlineStr">
        <is>
          <t>Jurisdicción</t>
        </is>
      </c>
      <c r="C13" s="100" t="inlineStr">
        <is>
          <t>Código</t>
        </is>
      </c>
      <c r="D13" s="100" t="inlineStr">
        <is>
          <t>Coef. Unificado</t>
        </is>
      </c>
      <c r="F13" s="100" t="inlineStr">
        <is>
          <t>Notas</t>
        </is>
      </c>
    </row>
    <row r="14" ht="15" customHeight="1" s="83">
      <c r="B14" s="107" t="inlineStr">
        <is>
          <t>CABA</t>
        </is>
      </c>
      <c r="C14" s="108" t="n">
        <v>901</v>
      </c>
      <c r="D14" s="109" t="n">
        <v>0.0433</v>
      </c>
      <c r="F14" s="103" t="inlineStr">
        <is>
          <t>Coeficiente unificado Convenio Multilateral 2026</t>
        </is>
      </c>
    </row>
    <row r="15" ht="15" customHeight="1" s="83">
      <c r="B15" s="107" t="inlineStr">
        <is>
          <t>Córdoba</t>
        </is>
      </c>
      <c r="C15" s="108" t="n">
        <v>904</v>
      </c>
      <c r="D15" s="109" t="n">
        <v>0.9567</v>
      </c>
      <c r="F15" s="103" t="inlineStr">
        <is>
          <t>Coeficiente unificado Convenio Multilateral 2026</t>
        </is>
      </c>
    </row>
    <row r="16" ht="15" customHeight="1" s="83">
      <c r="B16" s="101" t="inlineStr">
        <is>
          <t>Suma coeficientes (debe ser 1,0000)</t>
        </is>
      </c>
      <c r="D16" s="110">
        <f>Reglas!$D$14+Reglas!$D$15</f>
        <v/>
      </c>
    </row>
    <row r="18" ht="15" customHeight="1" s="83">
      <c r="B18" s="87" t="inlineStr">
        <is>
          <t>3. IIBB - Alícuotas por actividad y jurisdicción</t>
        </is>
      </c>
    </row>
    <row r="19" ht="15" customHeight="1" s="83">
      <c r="B19" s="100" t="inlineStr">
        <is>
          <t>Código actividad</t>
        </is>
      </c>
      <c r="C19" s="100" t="inlineStr">
        <is>
          <t>Descripción</t>
        </is>
      </c>
      <c r="D19" s="100" t="inlineStr">
        <is>
          <t>Alícuota CABA</t>
        </is>
      </c>
      <c r="E19" s="100" t="inlineStr">
        <is>
          <t>Alícuota Córdoba</t>
        </is>
      </c>
      <c r="F19" s="100" t="inlineStr">
        <is>
          <t>Notas</t>
        </is>
      </c>
    </row>
    <row r="20" ht="15" customHeight="1" s="83">
      <c r="B20" s="107" t="inlineStr">
        <is>
          <t>702010</t>
        </is>
      </c>
      <c r="C20" s="101" t="inlineStr">
        <is>
          <t>Servicios de gerenciamiento de instituciones de salud</t>
        </is>
      </c>
      <c r="D20" s="111" t="n">
        <v>0.03</v>
      </c>
      <c r="E20" s="111" t="n">
        <v>0.055</v>
      </c>
      <c r="F20" s="103" t="inlineStr">
        <is>
          <t>Honorarios, administración, gerenciamiento</t>
        </is>
      </c>
    </row>
    <row r="21" ht="15" customHeight="1" s="83">
      <c r="B21" s="107" t="inlineStr">
        <is>
          <t>651110</t>
        </is>
      </c>
      <c r="C21" s="101" t="inlineStr">
        <is>
          <t>Servicios de seguros de salud</t>
        </is>
      </c>
      <c r="D21" s="111" t="n">
        <v>0.055</v>
      </c>
      <c r="E21" s="111" t="n">
        <v>0.03</v>
      </c>
      <c r="F21" s="103" t="inlineStr">
        <is>
          <t>Capitas, refuerzos de cápita, vacunación, enfermería</t>
        </is>
      </c>
    </row>
    <row r="23" ht="15" customHeight="1" s="83">
      <c r="B23" s="87" t="inlineStr">
        <is>
          <t>4. Tasa Comercio e Industria - Municipalidad de Córdoba</t>
        </is>
      </c>
    </row>
    <row r="24" ht="15" customHeight="1" s="83">
      <c r="B24" s="100" t="inlineStr">
        <is>
          <t>Año</t>
        </is>
      </c>
      <c r="C24" s="100" t="inlineStr">
        <is>
          <t>Alícuota</t>
        </is>
      </c>
      <c r="F24" s="100" t="inlineStr">
        <is>
          <t>Notas</t>
        </is>
      </c>
    </row>
    <row r="25" ht="15" customHeight="1" s="83">
      <c r="B25" s="107" t="n">
        <v>2025</v>
      </c>
      <c r="C25" s="105" t="n">
        <v>0.05</v>
      </c>
      <c r="F25" s="103" t="inlineStr">
        <is>
          <t>Alícuota vigente 2025</t>
        </is>
      </c>
    </row>
    <row r="26" ht="15" customHeight="1" s="83">
      <c r="B26" s="107" t="n">
        <v>2026</v>
      </c>
      <c r="C26" s="105" t="n">
        <v>0.049</v>
      </c>
      <c r="F26" s="103" t="inlineStr">
        <is>
          <t>Alícuota vigente 2026</t>
        </is>
      </c>
    </row>
    <row r="27" ht="15" customHeight="1" s="83">
      <c r="B27" s="112" t="inlineStr">
        <is>
          <t>Aplica solo a actividad en Córdoba (Cba en CM)</t>
        </is>
      </c>
    </row>
    <row r="29" ht="15" customHeight="1" s="83">
      <c r="B29" s="87" t="inlineStr">
        <is>
          <t>5. Mapeo de Concepto → Actividad IIBB</t>
        </is>
      </c>
    </row>
    <row r="30" ht="20.25" customHeight="1" s="83">
      <c r="B30" s="113" t="inlineStr">
        <is>
          <t>Texto en el concepto (en mayúsculas o minúsculas)</t>
        </is>
      </c>
      <c r="C30" s="113" t="inlineStr">
        <is>
          <t>Actividad</t>
        </is>
      </c>
      <c r="D30" s="113" t="inlineStr">
        <is>
          <t>Notas</t>
        </is>
      </c>
      <c r="E30" s="114" t="n"/>
      <c r="F30" s="115" t="n"/>
    </row>
    <row r="31" ht="15" customHeight="1" s="83">
      <c r="B31" s="116" t="inlineStr">
        <is>
          <t>CAPITA</t>
        </is>
      </c>
      <c r="C31" s="108" t="n">
        <v>651110</v>
      </c>
      <c r="D31" s="117" t="inlineStr">
        <is>
          <t>Capitas - servicio de seguro</t>
        </is>
      </c>
      <c r="E31" s="114" t="n"/>
      <c r="F31" s="114" t="n"/>
    </row>
    <row r="32" ht="15" customHeight="1" s="83">
      <c r="B32" s="116" t="inlineStr">
        <is>
          <t>REFUERZO</t>
        </is>
      </c>
      <c r="C32" s="108" t="n">
        <v>651110</v>
      </c>
      <c r="D32" s="117" t="inlineStr">
        <is>
          <t>Refuerzo de cápita</t>
        </is>
      </c>
      <c r="E32" s="114" t="n"/>
      <c r="F32" s="114" t="n"/>
    </row>
    <row r="33" ht="15" customHeight="1" s="83">
      <c r="B33" s="116" t="inlineStr">
        <is>
          <t>VACUNACION</t>
        </is>
      </c>
      <c r="C33" s="108" t="n">
        <v>651110</v>
      </c>
      <c r="D33" s="117" t="inlineStr">
        <is>
          <t>Convenio de vacunación</t>
        </is>
      </c>
      <c r="E33" s="114" t="n"/>
      <c r="F33" s="114" t="n"/>
    </row>
    <row r="34" ht="15" customHeight="1" s="83">
      <c r="B34" s="116" t="inlineStr">
        <is>
          <t>ENFERMERIA</t>
        </is>
      </c>
      <c r="C34" s="108" t="n">
        <v>651110</v>
      </c>
      <c r="D34" s="117" t="inlineStr">
        <is>
          <t>Convenio de enfermería</t>
        </is>
      </c>
      <c r="E34" s="114" t="n"/>
      <c r="F34" s="114" t="n"/>
    </row>
    <row r="35" ht="15" customHeight="1" s="83">
      <c r="B35" s="116" t="inlineStr">
        <is>
          <t>APORTES</t>
        </is>
      </c>
      <c r="C35" s="108" t="n">
        <v>651110</v>
      </c>
      <c r="D35" s="117" t="inlineStr">
        <is>
          <t>Aportes MMRC u otros</t>
        </is>
      </c>
      <c r="E35" s="114" t="n"/>
      <c r="F35" s="114" t="n"/>
    </row>
    <row r="36" ht="15" customHeight="1" s="83">
      <c r="B36" s="116" t="inlineStr">
        <is>
          <t>HONORARIOS</t>
        </is>
      </c>
      <c r="C36" s="108" t="n">
        <v>702010</v>
      </c>
      <c r="D36" s="117" t="inlineStr">
        <is>
          <t>Honorarios prestacionales/administrativos</t>
        </is>
      </c>
      <c r="E36" s="114" t="n"/>
      <c r="F36" s="114" t="n"/>
    </row>
    <row r="37" ht="15" customHeight="1" s="83">
      <c r="B37" s="116" t="inlineStr">
        <is>
          <t>ADMINISTRACION</t>
        </is>
      </c>
      <c r="C37" s="108" t="n">
        <v>702010</v>
      </c>
      <c r="D37" s="117" t="inlineStr">
        <is>
          <t>Honorarios de administración</t>
        </is>
      </c>
      <c r="E37" s="114" t="n"/>
      <c r="F37" s="114" t="n"/>
    </row>
    <row r="38" ht="15" customHeight="1" s="83">
      <c r="B38" s="116" t="inlineStr">
        <is>
          <t>GERENCIAMIENTO</t>
        </is>
      </c>
      <c r="C38" s="108" t="n">
        <v>702010</v>
      </c>
      <c r="D38" s="117" t="inlineStr">
        <is>
          <t>Servicios de gerenciamiento</t>
        </is>
      </c>
      <c r="E38" s="114" t="n"/>
      <c r="F38" s="114" t="n"/>
    </row>
    <row r="39" ht="15" customHeight="1" s="83">
      <c r="B39" s="116" t="inlineStr">
        <is>
          <t>ALQUILER</t>
        </is>
      </c>
      <c r="C39" s="108" t="n">
        <v>702010</v>
      </c>
      <c r="D39" s="117" t="inlineStr">
        <is>
          <t>Alquiler ecógrafo / equipos</t>
        </is>
      </c>
      <c r="E39" s="114" t="n"/>
      <c r="F39" s="114" t="n"/>
    </row>
    <row r="40" ht="15" customHeight="1" s="83">
      <c r="B40" s="116" t="inlineStr">
        <is>
          <t>AUDITORIA</t>
        </is>
      </c>
      <c r="C40" s="108" t="n">
        <v>702010</v>
      </c>
      <c r="D40" s="117" t="inlineStr">
        <is>
          <t>Servicios de auditoría</t>
        </is>
      </c>
      <c r="E40" s="114" t="n"/>
      <c r="F40" s="114" t="n"/>
    </row>
    <row r="41" ht="15" customHeight="1" s="83">
      <c r="B41" s="116" t="inlineStr">
        <is>
          <t>PRESTACIONAL</t>
        </is>
      </c>
      <c r="C41" s="108" t="n">
        <v>702010</v>
      </c>
      <c r="D41" s="117" t="inlineStr">
        <is>
          <t>Servicios prestacionales generales</t>
        </is>
      </c>
      <c r="E41" s="114" t="n"/>
      <c r="F41" s="114" t="n"/>
    </row>
    <row r="42" ht="15" customHeight="1" s="83">
      <c r="B42" s="116" t="inlineStr">
        <is>
          <t>OTROS</t>
        </is>
      </c>
      <c r="C42" s="108" t="n">
        <v>702010</v>
      </c>
      <c r="D42" s="117" t="inlineStr">
        <is>
          <t>Cualquier otro concepto - default</t>
        </is>
      </c>
      <c r="E42" s="114" t="n"/>
      <c r="F42" s="114" t="n"/>
    </row>
    <row r="44" ht="15" customHeight="1" s="83">
      <c r="B44" s="87" t="inlineStr">
        <is>
          <t>6. Distribución de facturación por actividad (auto - lectura desde hoja Facturación)</t>
        </is>
      </c>
    </row>
    <row r="45" ht="30" customHeight="1" s="83">
      <c r="B45" s="118" t="inlineStr">
        <is>
          <t>Cada factura se asigna a una actividad según el mapeo del punto 5. La distribución por jurisdicción se hace con los coeficientes del punto 2.</t>
        </is>
      </c>
    </row>
    <row r="47" ht="15" customHeight="1" s="83">
      <c r="B47" s="87" t="inlineStr">
        <is>
          <t>7. Vencimientos (informativo)</t>
        </is>
      </c>
    </row>
    <row r="48" ht="15" customHeight="1" s="83">
      <c r="B48" s="100" t="inlineStr">
        <is>
          <t>Impuesto</t>
        </is>
      </c>
      <c r="C48" s="100" t="inlineStr">
        <is>
          <t>Día vencimiento</t>
        </is>
      </c>
      <c r="F48" s="100" t="inlineStr">
        <is>
          <t>Notas</t>
        </is>
      </c>
    </row>
    <row r="49" ht="15" customHeight="1" s="83">
      <c r="B49" s="107" t="inlineStr">
        <is>
          <t>IVA</t>
        </is>
      </c>
      <c r="C49" s="108" t="n">
        <v>20</v>
      </c>
      <c r="F49" s="103" t="inlineStr">
        <is>
          <t>Mes siguiente al período fiscal (entre 18-22 según CUIT)</t>
        </is>
      </c>
    </row>
    <row r="50" ht="15" customHeight="1" s="83">
      <c r="B50" s="107" t="inlineStr">
        <is>
          <t>IIBB CM</t>
        </is>
      </c>
      <c r="C50" s="108" t="n">
        <v>18</v>
      </c>
      <c r="F50" s="103" t="inlineStr">
        <is>
          <t>Mes siguiente al período (cronograma CM)</t>
        </is>
      </c>
    </row>
    <row r="51" ht="15" customHeight="1" s="83">
      <c r="B51" s="107" t="inlineStr">
        <is>
          <t>Tasa Comercio Cba</t>
        </is>
      </c>
      <c r="C51" s="108" t="n">
        <v>15</v>
      </c>
      <c r="F51" s="103" t="inlineStr">
        <is>
          <t>Mes siguiente al período</t>
        </is>
      </c>
    </row>
    <row r="52" ht="15" customHeight="1" s="83">
      <c r="B52" s="107" t="inlineStr">
        <is>
          <t>Ganancias - Anticipos</t>
        </is>
      </c>
      <c r="C52" s="108" t="n">
        <v>15</v>
      </c>
      <c r="F52" s="103" t="inlineStr">
        <is>
          <t>Bimestral según cronograma AFIP</t>
        </is>
      </c>
    </row>
    <row r="54" ht="15" customHeight="1" s="83">
      <c r="B54" s="87" t="inlineStr">
        <is>
          <t>8. Clientes fijos mensuales (para Checklist)</t>
        </is>
      </c>
    </row>
    <row r="55" ht="15" customHeight="1" s="83">
      <c r="B55" s="100" t="inlineStr">
        <is>
          <t>Cliente</t>
        </is>
      </c>
      <c r="C55" s="100" t="inlineStr">
        <is>
          <t>Concepto</t>
        </is>
      </c>
      <c r="D55" s="100" t="inlineStr">
        <is>
          <t>Actividad IIBB</t>
        </is>
      </c>
      <c r="E55" s="100" t="inlineStr">
        <is>
          <t>% Honorarios</t>
        </is>
      </c>
      <c r="F55" s="100" t="inlineStr">
        <is>
          <t>Detalle</t>
        </is>
      </c>
    </row>
    <row r="56" ht="15" customHeight="1" s="83">
      <c r="B56" s="116" t="inlineStr">
        <is>
          <t>OSPLYF</t>
        </is>
      </c>
      <c r="C56" s="116" t="inlineStr">
        <is>
          <t>Capita</t>
        </is>
      </c>
      <c r="D56" s="108" t="n">
        <v>651110</v>
      </c>
      <c r="E56" s="116" t="n"/>
      <c r="F56" s="119" t="inlineStr">
        <is>
          <t>Capitas por precio unitario</t>
        </is>
      </c>
    </row>
    <row r="57" ht="15" customHeight="1" s="83">
      <c r="B57" s="116" t="inlineStr">
        <is>
          <t>OSPLYF</t>
        </is>
      </c>
      <c r="C57" s="116" t="inlineStr">
        <is>
          <t>Honorarios Supervisa Salud</t>
        </is>
      </c>
      <c r="D57" s="108" t="n">
        <v>702010</v>
      </c>
      <c r="E57" s="102" t="n">
        <v>0.2</v>
      </c>
      <c r="F57" s="119" t="inlineStr">
        <is>
          <t>% sobre Fc Pascolo Silvina - auditoria</t>
        </is>
      </c>
    </row>
    <row r="58" ht="15" customHeight="1" s="83">
      <c r="B58" s="116" t="inlineStr">
        <is>
          <t>OSSURRBAC</t>
        </is>
      </c>
      <c r="C58" s="116" t="inlineStr">
        <is>
          <t>Capita</t>
        </is>
      </c>
      <c r="D58" s="108" t="n">
        <v>651110</v>
      </c>
      <c r="E58" s="116" t="n"/>
      <c r="F58" s="119" t="inlineStr">
        <is>
          <t>Capitas por precio unitario</t>
        </is>
      </c>
    </row>
    <row r="59" ht="15" customHeight="1" s="83">
      <c r="B59" s="116" t="inlineStr">
        <is>
          <t>OSSURRBAC</t>
        </is>
      </c>
      <c r="C59" s="116" t="inlineStr">
        <is>
          <t>Alquiler Ecografo</t>
        </is>
      </c>
      <c r="D59" s="108" t="n">
        <v>702010</v>
      </c>
      <c r="E59" s="102" t="n">
        <v>0.15</v>
      </c>
      <c r="F59" s="119" t="inlineStr">
        <is>
          <t>Servicios prestacionales ecografo</t>
        </is>
      </c>
    </row>
    <row r="60" ht="15" customHeight="1" s="83">
      <c r="B60" s="116" t="inlineStr">
        <is>
          <t>OSSURRBAC</t>
        </is>
      </c>
      <c r="C60" s="116" t="inlineStr">
        <is>
          <t>Honorarios Administracion</t>
        </is>
      </c>
      <c r="D60" s="108" t="n">
        <v>702010</v>
      </c>
      <c r="E60" s="102" t="n">
        <v>0.2</v>
      </c>
      <c r="F60" s="119" t="inlineStr">
        <is>
          <t>Servicios prestacionales</t>
        </is>
      </c>
    </row>
    <row r="61" ht="15" customHeight="1" s="83">
      <c r="B61" s="116" t="inlineStr">
        <is>
          <t>AMSURRBAC</t>
        </is>
      </c>
      <c r="C61" s="116" t="inlineStr">
        <is>
          <t>Capita Vacunacion</t>
        </is>
      </c>
      <c r="D61" s="108" t="n">
        <v>651110</v>
      </c>
      <c r="E61" s="116" t="n"/>
      <c r="F61" s="119" t="inlineStr">
        <is>
          <t>Convenio de vacunacion</t>
        </is>
      </c>
    </row>
    <row r="62" ht="15" customHeight="1" s="83">
      <c r="B62" s="116" t="inlineStr">
        <is>
          <t>AMSURRBAC</t>
        </is>
      </c>
      <c r="C62" s="116" t="inlineStr">
        <is>
          <t>Capita Enfermeria</t>
        </is>
      </c>
      <c r="D62" s="108" t="n">
        <v>651110</v>
      </c>
      <c r="E62" s="116" t="n"/>
      <c r="F62" s="119" t="inlineStr">
        <is>
          <t>Convenio de enfermeria</t>
        </is>
      </c>
    </row>
    <row r="63" ht="15" customHeight="1" s="83">
      <c r="B63" s="116" t="inlineStr">
        <is>
          <t>OSPEVIC</t>
        </is>
      </c>
      <c r="C63" s="116" t="inlineStr">
        <is>
          <t>Capita</t>
        </is>
      </c>
      <c r="D63" s="108" t="n">
        <v>651110</v>
      </c>
      <c r="E63" s="116" t="n"/>
      <c r="F63" s="119" t="inlineStr">
        <is>
          <t>Capitas por precio unitario</t>
        </is>
      </c>
    </row>
    <row r="64" ht="15" customHeight="1" s="83">
      <c r="B64" s="116" t="inlineStr">
        <is>
          <t>OSPEVIC</t>
        </is>
      </c>
      <c r="C64" s="116" t="inlineStr">
        <is>
          <t>Refuerzo Capita 1-2</t>
        </is>
      </c>
      <c r="D64" s="108" t="n">
        <v>651110</v>
      </c>
      <c r="E64" s="116" t="n"/>
      <c r="F64" s="119" t="inlineStr">
        <is>
          <t>Precio fijo - 6 MM</t>
        </is>
      </c>
    </row>
    <row r="65" ht="15" customHeight="1" s="83">
      <c r="B65" s="116" t="inlineStr">
        <is>
          <t>OSPEVIC</t>
        </is>
      </c>
      <c r="C65" s="116" t="inlineStr">
        <is>
          <t>Refuerzo Capita 2-2</t>
        </is>
      </c>
      <c r="D65" s="108" t="n">
        <v>651110</v>
      </c>
      <c r="E65" s="116" t="n"/>
      <c r="F65" s="119" t="inlineStr">
        <is>
          <t>Precio fijo - 6 MM</t>
        </is>
      </c>
    </row>
    <row r="66" ht="15" customHeight="1" s="83">
      <c r="B66" s="116" t="inlineStr">
        <is>
          <t>MOSAISTAS</t>
        </is>
      </c>
      <c r="C66" s="116" t="inlineStr">
        <is>
          <t>Honorarios</t>
        </is>
      </c>
      <c r="D66" s="108" t="n">
        <v>702010</v>
      </c>
      <c r="E66" s="102" t="n">
        <v>0.08</v>
      </c>
      <c r="F66" s="119" t="inlineStr">
        <is>
          <t>8% + $3.500.000 fijo</t>
        </is>
      </c>
    </row>
    <row r="67" ht="15" customHeight="1" s="83">
      <c r="B67" s="116" t="inlineStr">
        <is>
          <t>UOM</t>
        </is>
      </c>
      <c r="C67" s="116" t="inlineStr">
        <is>
          <t>Honorarios</t>
        </is>
      </c>
      <c r="D67" s="108" t="n">
        <v>702010</v>
      </c>
      <c r="E67" s="102" t="n">
        <v>0.05</v>
      </c>
      <c r="F67" s="119" t="inlineStr">
        <is>
          <t>Monto fijo + aumento Convenio UOM</t>
        </is>
      </c>
    </row>
    <row r="68" ht="15" customHeight="1" s="83">
      <c r="B68" s="116" t="inlineStr">
        <is>
          <t>OSPIF</t>
        </is>
      </c>
      <c r="C68" s="116" t="inlineStr">
        <is>
          <t>Capita</t>
        </is>
      </c>
      <c r="D68" s="108" t="n">
        <v>651110</v>
      </c>
      <c r="E68" s="116" t="n"/>
      <c r="F68" s="119" t="inlineStr">
        <is>
          <t>Capitas por precio unitario</t>
        </is>
      </c>
    </row>
    <row r="69" ht="15" customHeight="1" s="83">
      <c r="B69" s="116" t="inlineStr">
        <is>
          <t>OSPIF</t>
        </is>
      </c>
      <c r="C69" s="116" t="inlineStr">
        <is>
          <t>Honorarios</t>
        </is>
      </c>
      <c r="D69" s="108" t="n">
        <v>702010</v>
      </c>
      <c r="E69" s="116" t="n"/>
      <c r="F69" s="119" t="inlineStr">
        <is>
          <t>Monto fijo $5.600.000</t>
        </is>
      </c>
    </row>
    <row r="70" ht="15" customHeight="1" s="83">
      <c r="B70" s="116" t="inlineStr">
        <is>
          <t>OSPIF</t>
        </is>
      </c>
      <c r="C70" s="116" t="inlineStr">
        <is>
          <t>Honorarios x caso</t>
        </is>
      </c>
      <c r="D70" s="108" t="n">
        <v>702010</v>
      </c>
      <c r="E70" s="116" t="n"/>
      <c r="F70" s="119" t="inlineStr">
        <is>
          <t>DIAZ Juan B / MIRANDA Joaquin - $8.977.000</t>
        </is>
      </c>
    </row>
    <row r="71" ht="15" customHeight="1" s="83">
      <c r="B71" s="116" t="inlineStr">
        <is>
          <t>OSPIF</t>
        </is>
      </c>
      <c r="C71" s="116" t="inlineStr">
        <is>
          <t>Aportes MMRC</t>
        </is>
      </c>
      <c r="D71" s="108" t="n">
        <v>651110</v>
      </c>
      <c r="E71" s="102" t="n">
        <v>0.95</v>
      </c>
      <c r="F71" s="119" t="inlineStr">
        <is>
          <t>Padron aportes - comision 95%</t>
        </is>
      </c>
    </row>
    <row r="72" ht="15" customHeight="1" s="83">
      <c r="B72" s="116" t="inlineStr">
        <is>
          <t>FUNDACION BIENESTAR SIRELYF</t>
        </is>
      </c>
      <c r="C72" s="116" t="inlineStr">
        <is>
          <t>Servicios Prestacionales</t>
        </is>
      </c>
      <c r="D72" s="108" t="n">
        <v>702010</v>
      </c>
      <c r="E72" s="116" t="n"/>
      <c r="F72" s="119" t="inlineStr">
        <is>
          <t>A definir</t>
        </is>
      </c>
    </row>
    <row r="73" ht="15" customHeight="1" s="83">
      <c r="B73" s="116" t="inlineStr">
        <is>
          <t>CFC</t>
        </is>
      </c>
      <c r="C73" s="116" t="inlineStr">
        <is>
          <t>Servicios Prestacionales</t>
        </is>
      </c>
      <c r="D73" s="108" t="n">
        <v>702010</v>
      </c>
      <c r="E73" s="102" t="n">
        <v>0.15</v>
      </c>
      <c r="F73" s="119" t="inlineStr">
        <is>
          <t>Porcentaje prestacional</t>
        </is>
      </c>
    </row>
  </sheetData>
  <mergeCells count="25">
    <mergeCell ref="B47:F47"/>
    <mergeCell ref="B54:F54"/>
    <mergeCell ref="D41:F41"/>
    <mergeCell ref="D32:F32"/>
    <mergeCell ref="B3:F3"/>
    <mergeCell ref="B18:F18"/>
    <mergeCell ref="B27:F27"/>
    <mergeCell ref="B12:F12"/>
    <mergeCell ref="B2:F2"/>
    <mergeCell ref="D37:F37"/>
    <mergeCell ref="B23:F23"/>
    <mergeCell ref="D30:F30"/>
    <mergeCell ref="D39:F39"/>
    <mergeCell ref="D33:F33"/>
    <mergeCell ref="D42:F42"/>
    <mergeCell ref="B44:F44"/>
    <mergeCell ref="D38:F38"/>
    <mergeCell ref="B29:F29"/>
    <mergeCell ref="D35:F35"/>
    <mergeCell ref="D34:F34"/>
    <mergeCell ref="D31:F31"/>
    <mergeCell ref="B5:F5"/>
    <mergeCell ref="D40:F40"/>
    <mergeCell ref="D36:F36"/>
    <mergeCell ref="B45:F45"/>
  </mergeCells>
  <conditionalFormatting sqref="D16">
    <cfRule type="cellIs" rank="0" priority="2" equalAverage="0" operator="notEqual" aboveAverage="0" dxfId="0" text="" percent="0" bottom="0">
      <formula>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C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2" min="1" max="1"/>
    <col width="7" customWidth="1" style="82" min="2" max="2"/>
    <col width="8" customWidth="1" style="82" min="3" max="3"/>
    <col width="12" customWidth="1" style="82" min="4" max="4"/>
    <col width="28" customWidth="1" style="82" min="5" max="5"/>
    <col width="14" customWidth="1" style="82" min="6" max="6"/>
    <col width="35" customWidth="1" style="82" min="7" max="7"/>
    <col width="12" customWidth="1" style="82" min="8" max="8"/>
    <col width="14" customWidth="1" style="82" min="9" max="10"/>
    <col width="13" customWidth="1" style="82" min="11" max="13"/>
    <col width="14" customWidth="1" style="82" min="14" max="14"/>
    <col width="10" customWidth="1" style="82" min="15" max="15"/>
    <col width="6" customWidth="1" style="82" min="16" max="16"/>
    <col width="5" customWidth="1" style="82" min="17" max="17"/>
    <col width="12" customWidth="1" style="82" min="18" max="18"/>
    <col width="13" customWidth="1" style="82" min="19" max="19"/>
    <col width="12" customWidth="1" style="82" min="20" max="20"/>
    <col width="14" customWidth="1" style="82" min="21" max="24"/>
    <col width="13" customWidth="1" style="82" min="25" max="26"/>
    <col width="14" customWidth="1" style="82" min="27" max="27"/>
  </cols>
  <sheetData>
    <row r="1" ht="34.5" customHeight="1" s="83">
      <c r="A1" s="100" t="inlineStr">
        <is>
          <t>Fecha</t>
        </is>
      </c>
      <c r="B1" s="100" t="inlineStr">
        <is>
          <t>Tipo</t>
        </is>
      </c>
      <c r="C1" s="100" t="inlineStr">
        <is>
          <t>Pto Vta</t>
        </is>
      </c>
      <c r="D1" s="100" t="inlineStr">
        <is>
          <t>Número</t>
        </is>
      </c>
      <c r="E1" s="100" t="inlineStr">
        <is>
          <t>Cliente</t>
        </is>
      </c>
      <c r="F1" s="100" t="inlineStr">
        <is>
          <t>CUIT</t>
        </is>
      </c>
      <c r="G1" s="100" t="inlineStr">
        <is>
          <t>Concepto</t>
        </is>
      </c>
      <c r="H1" s="100" t="inlineStr">
        <is>
          <t>Actividad IIBB</t>
        </is>
      </c>
      <c r="I1" s="100" t="inlineStr">
        <is>
          <t>Neto Gravado</t>
        </is>
      </c>
      <c r="J1" s="100" t="inlineStr">
        <is>
          <t>No Grav. / Exento</t>
        </is>
      </c>
      <c r="K1" s="100" t="inlineStr">
        <is>
          <t>IVA 21%</t>
        </is>
      </c>
      <c r="L1" s="100" t="inlineStr">
        <is>
          <t>IVA 10,5%</t>
        </is>
      </c>
      <c r="M1" s="100" t="inlineStr">
        <is>
          <t>Percepciones</t>
        </is>
      </c>
      <c r="N1" s="100" t="inlineStr">
        <is>
          <t>Total</t>
        </is>
      </c>
      <c r="O1" s="100" t="inlineStr">
        <is>
          <t>Período</t>
        </is>
      </c>
      <c r="P1" s="100" t="inlineStr">
        <is>
          <t>Año</t>
        </is>
      </c>
      <c r="Q1" s="100" t="inlineStr">
        <is>
          <t>Mes</t>
        </is>
      </c>
      <c r="R1" s="100" t="inlineStr">
        <is>
          <t>Estado AFIP</t>
        </is>
      </c>
      <c r="S1" s="100" t="inlineStr">
        <is>
          <t>Estado Cobro</t>
        </is>
      </c>
      <c r="T1" s="100" t="inlineStr">
        <is>
          <t>Fecha Cobro</t>
        </is>
      </c>
      <c r="U1" s="100" t="inlineStr">
        <is>
          <t>Monto Cobrado</t>
        </is>
      </c>
      <c r="V1" s="100" t="inlineStr">
        <is>
          <t>Saldo Pendiente</t>
        </is>
      </c>
      <c r="W1" s="100" t="inlineStr">
        <is>
          <t>Observaciones</t>
        </is>
      </c>
      <c r="X1" s="100" t="inlineStr">
        <is>
          <t>Signo</t>
        </is>
      </c>
      <c r="Y1" s="100" t="inlineStr">
        <is>
          <t>Neto Efectivo</t>
        </is>
      </c>
      <c r="Z1" s="100" t="inlineStr">
        <is>
          <t>NoGrav Efectivo</t>
        </is>
      </c>
      <c r="AA1" s="100" t="inlineStr">
        <is>
          <t>IVA21 Efectivo</t>
        </is>
      </c>
      <c r="AB1" s="100" t="inlineStr">
        <is>
          <t>IVA105 Efectivo</t>
        </is>
      </c>
      <c r="AC1" s="100" t="inlineStr">
        <is>
          <t>Total Efectivo</t>
        </is>
      </c>
    </row>
    <row r="2" ht="15" customHeight="1" s="83">
      <c r="A2" s="120" t="n">
        <v>46143</v>
      </c>
      <c r="B2" s="116" t="inlineStr">
        <is>
          <t>NCB</t>
        </is>
      </c>
      <c r="C2" s="116" t="n">
        <v>1</v>
      </c>
      <c r="D2" s="116" t="n">
        <v>55</v>
      </c>
      <c r="E2" s="116" t="inlineStr">
        <is>
          <t>OSSURRBAC</t>
        </is>
      </c>
      <c r="F2" s="116" t="inlineStr">
        <is>
          <t>30714341746</t>
        </is>
      </c>
      <c r="G2" s="116" t="inlineStr">
        <is>
          <t>Error Monto - Servicios prestacionales</t>
        </is>
      </c>
      <c r="H2" s="121">
        <f>IF(G2="","",IF(ISNUMBER(SEARCH("CAPITA",UPPER(G2))),651110,IF(ISNUMBER(SEARCH("REFUERZO",UPPER(G2))),651110,IF(ISNUMBER(SEARCH("VACUNACION",UPPER(G2))),651110,IF(ISNUMBER(SEARCH("ENFERMERIA",UPPER(G2))),651110,IF(ISNUMBER(SEARCH("APORTES",UPPER(G2))),651110,IF(ISNUMBER(SEARCH("HONORARIOS",UPPER(G2))),702010,IF(ISNUMBER(SEARCH("ADMINISTRACION",UPPER(G2))),702010,IF(ISNUMBER(SEARCH("GERENCIAMIENTO",UPPER(G2))),702010,IF(ISNUMBER(SEARCH("ALQUILER",UPPER(G2))),702010,IF(ISNUMBER(SEARCH("AUDITORIA",UPPER(G2))),702010,IF(ISNUMBER(SEARCH("PRESTACIONAL",UPPER(G2))),702010,702010))))))))))))</f>
        <v/>
      </c>
      <c r="I2" s="122" t="n">
        <v>0</v>
      </c>
      <c r="J2" s="122" t="n">
        <v>1320000</v>
      </c>
      <c r="K2" s="123">
        <f>IF(N(I2)&gt;0,ROUND(N(I2)*IVA_general,2),0)</f>
        <v/>
      </c>
      <c r="L2" s="122" t="n">
        <v>0</v>
      </c>
      <c r="M2" s="122" t="n">
        <v>0</v>
      </c>
      <c r="N2" s="123">
        <f>IF(SUM(I2:M2)=0,"",SUM(I2:M2))</f>
        <v/>
      </c>
      <c r="O2" s="124">
        <f>IF(A2="","",TEXT(A2,"yyyy-mm"))</f>
        <v/>
      </c>
      <c r="P2" s="121">
        <f>IF(A2="","",YEAR(A2))</f>
        <v/>
      </c>
      <c r="Q2" s="121">
        <f>IF(A2="","",MONTH(A2))</f>
        <v/>
      </c>
      <c r="R2" s="116" t="inlineStr">
        <is>
          <t>Emitida</t>
        </is>
      </c>
      <c r="S2" s="116" t="inlineStr">
        <is>
          <t>Pendiente</t>
        </is>
      </c>
      <c r="T2" s="120" t="n"/>
      <c r="U2" s="122" t="n">
        <v>0</v>
      </c>
      <c r="V2" s="123">
        <f>IF(B2="","",N2-U2)</f>
        <v/>
      </c>
      <c r="W2" s="116" t="inlineStr">
        <is>
          <t>Auto: 30717134180_008_00001_00000055 (1).pdf | OBRA SOCIAL DEL SINDICATO UNICO DE RECOLECTORES DE RESIDUOS</t>
        </is>
      </c>
      <c r="X2" s="125">
        <f>IF(B2="","",IF(LEFT(B2,2)="NC",-1,1))</f>
        <v/>
      </c>
      <c r="Y2" s="123">
        <f>IF(B2="",0,N(I2)*X2)</f>
        <v/>
      </c>
      <c r="Z2" s="123">
        <f>IF(B2="",0,N(J2)*X2)</f>
        <v/>
      </c>
      <c r="AA2" s="123">
        <f>IF(B2="",0,N(K2)*X2)</f>
        <v/>
      </c>
      <c r="AB2" s="123">
        <f>IF(B2="",0,N(L2)*X2)</f>
        <v/>
      </c>
      <c r="AC2" s="123">
        <f>IF(B2="",0,N(N2)*X2)</f>
        <v/>
      </c>
    </row>
    <row r="3" ht="15" customHeight="1" s="83">
      <c r="A3" s="120" t="n">
        <v>46143</v>
      </c>
      <c r="B3" s="116" t="inlineStr">
        <is>
          <t>B</t>
        </is>
      </c>
      <c r="C3" s="116" t="n">
        <v>1</v>
      </c>
      <c r="D3" s="116" t="n">
        <v>612</v>
      </c>
      <c r="E3" s="116" t="inlineStr">
        <is>
          <t>AMSURRBAC</t>
        </is>
      </c>
      <c r="F3" s="116" t="inlineStr">
        <is>
          <t>30710660995</t>
        </is>
      </c>
      <c r="G3" s="116" t="inlineStr">
        <is>
          <t>Capita correspondiente al mes de</t>
        </is>
      </c>
      <c r="H3" s="121">
        <f>IF(G3="","",IF(ISNUMBER(SEARCH("CAPITA",UPPER(G3))),651110,IF(ISNUMBER(SEARCH("REFUERZO",UPPER(G3))),651110,IF(ISNUMBER(SEARCH("VACUNACION",UPPER(G3))),651110,IF(ISNUMBER(SEARCH("ENFERMERIA",UPPER(G3))),651110,IF(ISNUMBER(SEARCH("APORTES",UPPER(G3))),651110,IF(ISNUMBER(SEARCH("HONORARIOS",UPPER(G3))),702010,IF(ISNUMBER(SEARCH("ADMINISTRACION",UPPER(G3))),702010,IF(ISNUMBER(SEARCH("GERENCIAMIENTO",UPPER(G3))),702010,IF(ISNUMBER(SEARCH("ALQUILER",UPPER(G3))),702010,IF(ISNUMBER(SEARCH("AUDITORIA",UPPER(G3))),702010,IF(ISNUMBER(SEARCH("PRESTACIONAL",UPPER(G3))),702010,702010))))))))))))</f>
        <v/>
      </c>
      <c r="I3" s="122" t="n">
        <v>0</v>
      </c>
      <c r="J3" s="122" t="n">
        <v>2827915.2</v>
      </c>
      <c r="K3" s="123">
        <f>IF(N(I3)&gt;0,ROUND(N(I3)*IVA_general,2),0)</f>
        <v/>
      </c>
      <c r="L3" s="122" t="n">
        <v>0</v>
      </c>
      <c r="M3" s="122" t="n">
        <v>0</v>
      </c>
      <c r="N3" s="123">
        <f>IF(SUM(I3:M3)=0,"",SUM(I3:M3))</f>
        <v/>
      </c>
      <c r="O3" s="124">
        <f>IF(A3="","",TEXT(A3,"yyyy-mm"))</f>
        <v/>
      </c>
      <c r="P3" s="121">
        <f>IF(A3="","",YEAR(A3))</f>
        <v/>
      </c>
      <c r="Q3" s="121">
        <f>IF(A3="","",MONTH(A3))</f>
        <v/>
      </c>
      <c r="R3" s="116" t="inlineStr">
        <is>
          <t>Emitida</t>
        </is>
      </c>
      <c r="S3" s="116" t="inlineStr">
        <is>
          <t>Pendiente</t>
        </is>
      </c>
      <c r="T3" s="120" t="n"/>
      <c r="U3" s="122" t="n">
        <v>0</v>
      </c>
      <c r="V3" s="123">
        <f>IF(B3="","",N3-U3)</f>
        <v/>
      </c>
      <c r="W3" s="116" t="inlineStr">
        <is>
          <t>Auto: 30717134180_006_00001_00000612 (1).pdf | MUTUAL ASOCIACION MUTUAL DEL SINDICATO UNICO DE RECOLECTORES</t>
        </is>
      </c>
      <c r="X3" s="125">
        <f>IF(B3="","",IF(LEFT(B3,2)="NC",-1,1))</f>
        <v/>
      </c>
      <c r="Y3" s="123">
        <f>IF(B3="",0,N(I3)*X3)</f>
        <v/>
      </c>
      <c r="Z3" s="123">
        <f>IF(B3="",0,N(J3)*X3)</f>
        <v/>
      </c>
      <c r="AA3" s="123">
        <f>IF(B3="",0,N(K3)*X3)</f>
        <v/>
      </c>
      <c r="AB3" s="123">
        <f>IF(B3="",0,N(L3)*X3)</f>
        <v/>
      </c>
      <c r="AC3" s="123">
        <f>IF(B3="",0,N(N3)*X3)</f>
        <v/>
      </c>
    </row>
    <row r="4" ht="15" customHeight="1" s="83">
      <c r="A4" s="120" t="n">
        <v>46143</v>
      </c>
      <c r="B4" s="116" t="inlineStr">
        <is>
          <t>B</t>
        </is>
      </c>
      <c r="C4" s="116" t="n">
        <v>1</v>
      </c>
      <c r="D4" s="116" t="n">
        <v>613</v>
      </c>
      <c r="E4" s="116" t="inlineStr">
        <is>
          <t>AMSURRBAC</t>
        </is>
      </c>
      <c r="F4" s="116" t="inlineStr">
        <is>
          <t>30710660995</t>
        </is>
      </c>
      <c r="G4" s="116" t="inlineStr">
        <is>
          <t>Capita correspondiente al mes de</t>
        </is>
      </c>
      <c r="H4" s="121">
        <f>IF(G4="","",IF(ISNUMBER(SEARCH("CAPITA",UPPER(G4))),651110,IF(ISNUMBER(SEARCH("REFUERZO",UPPER(G4))),651110,IF(ISNUMBER(SEARCH("VACUNACION",UPPER(G4))),651110,IF(ISNUMBER(SEARCH("ENFERMERIA",UPPER(G4))),651110,IF(ISNUMBER(SEARCH("APORTES",UPPER(G4))),651110,IF(ISNUMBER(SEARCH("HONORARIOS",UPPER(G4))),702010,IF(ISNUMBER(SEARCH("ADMINISTRACION",UPPER(G4))),702010,IF(ISNUMBER(SEARCH("GERENCIAMIENTO",UPPER(G4))),702010,IF(ISNUMBER(SEARCH("ALQUILER",UPPER(G4))),702010,IF(ISNUMBER(SEARCH("AUDITORIA",UPPER(G4))),702010,IF(ISNUMBER(SEARCH("PRESTACIONAL",UPPER(G4))),702010,702010))))))))))))</f>
        <v/>
      </c>
      <c r="I4" s="122" t="n">
        <v>0</v>
      </c>
      <c r="J4" s="122" t="n">
        <v>2965651.92</v>
      </c>
      <c r="K4" s="123">
        <f>IF(N(I4)&gt;0,ROUND(N(I4)*IVA_general,2),0)</f>
        <v/>
      </c>
      <c r="L4" s="122" t="n">
        <v>0</v>
      </c>
      <c r="M4" s="122" t="n">
        <v>0</v>
      </c>
      <c r="N4" s="123">
        <f>IF(SUM(I4:M4)=0,"",SUM(I4:M4))</f>
        <v/>
      </c>
      <c r="O4" s="124">
        <f>IF(A4="","",TEXT(A4,"yyyy-mm"))</f>
        <v/>
      </c>
      <c r="P4" s="121">
        <f>IF(A4="","",YEAR(A4))</f>
        <v/>
      </c>
      <c r="Q4" s="121">
        <f>IF(A4="","",MONTH(A4))</f>
        <v/>
      </c>
      <c r="R4" s="116" t="inlineStr">
        <is>
          <t>Emitida</t>
        </is>
      </c>
      <c r="S4" s="116" t="inlineStr">
        <is>
          <t>Pendiente</t>
        </is>
      </c>
      <c r="T4" s="120" t="n"/>
      <c r="U4" s="122" t="n">
        <v>0</v>
      </c>
      <c r="V4" s="123">
        <f>IF(B4="","",N4-U4)</f>
        <v/>
      </c>
      <c r="W4" s="116" t="inlineStr">
        <is>
          <t>Auto: 30717134180_006_00001_00000613 (1).pdf | MUTUAL ASOCIACION MUTUAL DEL SINDICATO UNICO DE RECOLECTORES</t>
        </is>
      </c>
      <c r="X4" s="125">
        <f>IF(B4="","",IF(LEFT(B4,2)="NC",-1,1))</f>
        <v/>
      </c>
      <c r="Y4" s="123">
        <f>IF(B4="",0,N(I4)*X4)</f>
        <v/>
      </c>
      <c r="Z4" s="123">
        <f>IF(B4="",0,N(J4)*X4)</f>
        <v/>
      </c>
      <c r="AA4" s="123">
        <f>IF(B4="",0,N(K4)*X4)</f>
        <v/>
      </c>
      <c r="AB4" s="123">
        <f>IF(B4="",0,N(L4)*X4)</f>
        <v/>
      </c>
      <c r="AC4" s="123">
        <f>IF(B4="",0,N(N4)*X4)</f>
        <v/>
      </c>
    </row>
    <row r="5" ht="15" customHeight="1" s="83">
      <c r="A5" s="120" t="n">
        <v>46143</v>
      </c>
      <c r="B5" s="116" t="inlineStr">
        <is>
          <t>B</t>
        </is>
      </c>
      <c r="C5" s="116" t="n">
        <v>1</v>
      </c>
      <c r="D5" s="116" t="n">
        <v>614</v>
      </c>
      <c r="E5" s="116" t="inlineStr">
        <is>
          <t>OSPEVIC</t>
        </is>
      </c>
      <c r="F5" s="116" t="inlineStr">
        <is>
          <t>30606579906</t>
        </is>
      </c>
      <c r="G5" s="116" t="inlineStr">
        <is>
          <t>Capitas mensuales periodo Abril 2026</t>
        </is>
      </c>
      <c r="H5" s="121">
        <f>IF(G5="","",IF(ISNUMBER(SEARCH("CAPITA",UPPER(G5))),651110,IF(ISNUMBER(SEARCH("REFUERZO",UPPER(G5))),651110,IF(ISNUMBER(SEARCH("VACUNACION",UPPER(G5))),651110,IF(ISNUMBER(SEARCH("ENFERMERIA",UPPER(G5))),651110,IF(ISNUMBER(SEARCH("APORTES",UPPER(G5))),651110,IF(ISNUMBER(SEARCH("HONORARIOS",UPPER(G5))),702010,IF(ISNUMBER(SEARCH("ADMINISTRACION",UPPER(G5))),702010,IF(ISNUMBER(SEARCH("GERENCIAMIENTO",UPPER(G5))),702010,IF(ISNUMBER(SEARCH("ALQUILER",UPPER(G5))),702010,IF(ISNUMBER(SEARCH("AUDITORIA",UPPER(G5))),702010,IF(ISNUMBER(SEARCH("PRESTACIONAL",UPPER(G5))),702010,702010))))))))))))</f>
        <v/>
      </c>
      <c r="I5" s="122" t="n">
        <v>0</v>
      </c>
      <c r="J5" s="122" t="n">
        <v>198672293.4</v>
      </c>
      <c r="K5" s="123">
        <f>IF(N(I5)&gt;0,ROUND(N(I5)*IVA_general,2),0)</f>
        <v/>
      </c>
      <c r="L5" s="122" t="n">
        <v>0</v>
      </c>
      <c r="M5" s="122" t="n">
        <v>0</v>
      </c>
      <c r="N5" s="123">
        <f>IF(SUM(I5:M5)=0,"",SUM(I5:M5))</f>
        <v/>
      </c>
      <c r="O5" s="124">
        <f>IF(A5="","",TEXT(A5,"yyyy-mm"))</f>
        <v/>
      </c>
      <c r="P5" s="121">
        <f>IF(A5="","",YEAR(A5))</f>
        <v/>
      </c>
      <c r="Q5" s="121">
        <f>IF(A5="","",MONTH(A5))</f>
        <v/>
      </c>
      <c r="R5" s="116" t="inlineStr">
        <is>
          <t>Emitida</t>
        </is>
      </c>
      <c r="S5" s="116" t="inlineStr">
        <is>
          <t>Cobrada</t>
        </is>
      </c>
      <c r="T5" s="120" t="n"/>
      <c r="U5" s="122" t="n">
        <v>198672293.4</v>
      </c>
      <c r="V5" s="123">
        <f>IF(B5="","",N5-U5)</f>
        <v/>
      </c>
      <c r="W5" s="116" t="inlineStr">
        <is>
          <t>Auto: 30717134180_006_00001_00000614 (1).pdf | OBRA SOCIAL DEL PERSONAL DE VIGILANCIA Y SEGURIDAD COMERCIAL</t>
        </is>
      </c>
      <c r="X5" s="125">
        <f>IF(B5="","",IF(LEFT(B5,2)="NC",-1,1))</f>
        <v/>
      </c>
      <c r="Y5" s="123">
        <f>IF(B5="",0,N(I5)*X5)</f>
        <v/>
      </c>
      <c r="Z5" s="123">
        <f>IF(B5="",0,N(J5)*X5)</f>
        <v/>
      </c>
      <c r="AA5" s="123">
        <f>IF(B5="",0,N(K5)*X5)</f>
        <v/>
      </c>
      <c r="AB5" s="123">
        <f>IF(B5="",0,N(L5)*X5)</f>
        <v/>
      </c>
      <c r="AC5" s="123">
        <f>IF(B5="",0,N(N5)*X5)</f>
        <v/>
      </c>
    </row>
    <row r="6" ht="15" customHeight="1" s="83">
      <c r="A6" s="120" t="n">
        <v>46143</v>
      </c>
      <c r="B6" s="116" t="inlineStr">
        <is>
          <t>B</t>
        </is>
      </c>
      <c r="C6" s="116" t="n">
        <v>1</v>
      </c>
      <c r="D6" s="116" t="n">
        <v>615</v>
      </c>
      <c r="E6" s="116" t="inlineStr">
        <is>
          <t>OSSURRBAC</t>
        </is>
      </c>
      <c r="F6" s="116" t="inlineStr">
        <is>
          <t>30714341746</t>
        </is>
      </c>
      <c r="G6" s="116" t="inlineStr">
        <is>
          <t>Servicios prestacionales ecografo Abril</t>
        </is>
      </c>
      <c r="H6" s="121">
        <f>IF(G6="","",IF(ISNUMBER(SEARCH("CAPITA",UPPER(G6))),651110,IF(ISNUMBER(SEARCH("REFUERZO",UPPER(G6))),651110,IF(ISNUMBER(SEARCH("VACUNACION",UPPER(G6))),651110,IF(ISNUMBER(SEARCH("ENFERMERIA",UPPER(G6))),651110,IF(ISNUMBER(SEARCH("APORTES",UPPER(G6))),651110,IF(ISNUMBER(SEARCH("HONORARIOS",UPPER(G6))),702010,IF(ISNUMBER(SEARCH("ADMINISTRACION",UPPER(G6))),702010,IF(ISNUMBER(SEARCH("GERENCIAMIENTO",UPPER(G6))),702010,IF(ISNUMBER(SEARCH("ALQUILER",UPPER(G6))),702010,IF(ISNUMBER(SEARCH("AUDITORIA",UPPER(G6))),702010,IF(ISNUMBER(SEARCH("PRESTACIONAL",UPPER(G6))),702010,702010))))))))))))</f>
        <v/>
      </c>
      <c r="I6" s="122" t="n">
        <v>3713132.94</v>
      </c>
      <c r="J6" s="122" t="n">
        <v>0</v>
      </c>
      <c r="K6" s="123">
        <f>IF(N(I6)&gt;0,ROUND(N(I6)*IVA_general,2),0)</f>
        <v/>
      </c>
      <c r="L6" s="122" t="n">
        <v>0</v>
      </c>
      <c r="M6" s="122" t="n">
        <v>0</v>
      </c>
      <c r="N6" s="123">
        <f>IF(SUM(I6:M6)=0,"",SUM(I6:M6))</f>
        <v/>
      </c>
      <c r="O6" s="124">
        <f>IF(A6="","",TEXT(A6,"yyyy-mm"))</f>
        <v/>
      </c>
      <c r="P6" s="121">
        <f>IF(A6="","",YEAR(A6))</f>
        <v/>
      </c>
      <c r="Q6" s="121">
        <f>IF(A6="","",MONTH(A6))</f>
        <v/>
      </c>
      <c r="R6" s="116" t="inlineStr">
        <is>
          <t>Emitida</t>
        </is>
      </c>
      <c r="S6" s="116" t="inlineStr">
        <is>
          <t>Pendiente</t>
        </is>
      </c>
      <c r="T6" s="120" t="n"/>
      <c r="U6" s="122" t="n">
        <v>0</v>
      </c>
      <c r="V6" s="123">
        <f>IF(B6="","",N6-U6)</f>
        <v/>
      </c>
      <c r="W6" s="116" t="inlineStr">
        <is>
          <t>Auto: 30717134180_006_00001_00000615 (1).pdf | OBRA SOCIAL DEL SINDICATO UNICO DE RECOLECTORES DE RESIDUOS</t>
        </is>
      </c>
      <c r="X6" s="125">
        <f>IF(B6="","",IF(LEFT(B6,2)="NC",-1,1))</f>
        <v/>
      </c>
      <c r="Y6" s="123">
        <f>IF(B6="",0,N(I6)*X6)</f>
        <v/>
      </c>
      <c r="Z6" s="123">
        <f>IF(B6="",0,N(J6)*X6)</f>
        <v/>
      </c>
      <c r="AA6" s="123">
        <f>IF(B6="",0,N(K6)*X6)</f>
        <v/>
      </c>
      <c r="AB6" s="123">
        <f>IF(B6="",0,N(L6)*X6)</f>
        <v/>
      </c>
      <c r="AC6" s="123">
        <f>IF(B6="",0,N(N6)*X6)</f>
        <v/>
      </c>
    </row>
    <row r="7" ht="15" customHeight="1" s="83">
      <c r="A7" s="120" t="n">
        <v>46143</v>
      </c>
      <c r="B7" s="116" t="inlineStr">
        <is>
          <t>B</t>
        </is>
      </c>
      <c r="C7" s="116" t="n">
        <v>1</v>
      </c>
      <c r="D7" s="116" t="n">
        <v>616</v>
      </c>
      <c r="E7" s="116" t="inlineStr">
        <is>
          <t>OSSURRBAC</t>
        </is>
      </c>
      <c r="F7" s="116" t="inlineStr">
        <is>
          <t>30714341746</t>
        </is>
      </c>
      <c r="G7" s="116" t="inlineStr">
        <is>
          <t>Capita correspondiente al mes de Abril</t>
        </is>
      </c>
      <c r="H7" s="121">
        <f>IF(G7="","",IF(ISNUMBER(SEARCH("CAPITA",UPPER(G7))),651110,IF(ISNUMBER(SEARCH("REFUERZO",UPPER(G7))),651110,IF(ISNUMBER(SEARCH("VACUNACION",UPPER(G7))),651110,IF(ISNUMBER(SEARCH("ENFERMERIA",UPPER(G7))),651110,IF(ISNUMBER(SEARCH("APORTES",UPPER(G7))),651110,IF(ISNUMBER(SEARCH("HONORARIOS",UPPER(G7))),702010,IF(ISNUMBER(SEARCH("ADMINISTRACION",UPPER(G7))),702010,IF(ISNUMBER(SEARCH("GERENCIAMIENTO",UPPER(G7))),702010,IF(ISNUMBER(SEARCH("ALQUILER",UPPER(G7))),702010,IF(ISNUMBER(SEARCH("AUDITORIA",UPPER(G7))),702010,IF(ISNUMBER(SEARCH("PRESTACIONAL",UPPER(G7))),702010,702010))))))))))))</f>
        <v/>
      </c>
      <c r="I7" s="122" t="n">
        <v>0</v>
      </c>
      <c r="J7" s="122" t="n">
        <v>7893768.06</v>
      </c>
      <c r="K7" s="123">
        <f>IF(N(I7)&gt;0,ROUND(N(I7)*IVA_general,2),0)</f>
        <v/>
      </c>
      <c r="L7" s="122" t="n">
        <v>0</v>
      </c>
      <c r="M7" s="122" t="n">
        <v>0</v>
      </c>
      <c r="N7" s="123">
        <f>IF(SUM(I7:M7)=0,"",SUM(I7:M7))</f>
        <v/>
      </c>
      <c r="O7" s="124">
        <f>IF(A7="","",TEXT(A7,"yyyy-mm"))</f>
        <v/>
      </c>
      <c r="P7" s="121">
        <f>IF(A7="","",YEAR(A7))</f>
        <v/>
      </c>
      <c r="Q7" s="121">
        <f>IF(A7="","",MONTH(A7))</f>
        <v/>
      </c>
      <c r="R7" s="116" t="inlineStr">
        <is>
          <t>Emitida</t>
        </is>
      </c>
      <c r="S7" s="116" t="inlineStr">
        <is>
          <t>Pendiente</t>
        </is>
      </c>
      <c r="T7" s="120" t="n"/>
      <c r="U7" s="122" t="n">
        <v>0</v>
      </c>
      <c r="V7" s="123">
        <f>IF(B7="","",N7-U7)</f>
        <v/>
      </c>
      <c r="W7" s="116" t="inlineStr">
        <is>
          <t>Auto: 30717134180_006_00001_00000616 (1).pdf | OBRA SOCIAL DEL SINDICATO UNICO DE RECOLECTORES DE RESIDUOS</t>
        </is>
      </c>
      <c r="X7" s="125">
        <f>IF(B7="","",IF(LEFT(B7,2)="NC",-1,1))</f>
        <v/>
      </c>
      <c r="Y7" s="123">
        <f>IF(B7="",0,N(I7)*X7)</f>
        <v/>
      </c>
      <c r="Z7" s="123">
        <f>IF(B7="",0,N(J7)*X7)</f>
        <v/>
      </c>
      <c r="AA7" s="123">
        <f>IF(B7="",0,N(K7)*X7)</f>
        <v/>
      </c>
      <c r="AB7" s="123">
        <f>IF(B7="",0,N(L7)*X7)</f>
        <v/>
      </c>
      <c r="AC7" s="123">
        <f>IF(B7="",0,N(N7)*X7)</f>
        <v/>
      </c>
    </row>
    <row r="8" ht="15" customHeight="1" s="83">
      <c r="A8" s="120" t="n">
        <v>46143</v>
      </c>
      <c r="B8" s="116" t="inlineStr">
        <is>
          <t>B</t>
        </is>
      </c>
      <c r="C8" s="116" t="n">
        <v>1</v>
      </c>
      <c r="D8" s="116" t="n">
        <v>617</v>
      </c>
      <c r="E8" s="116" t="inlineStr">
        <is>
          <t>OSPLYF</t>
        </is>
      </c>
      <c r="F8" s="116" t="inlineStr">
        <is>
          <t>30565846538</t>
        </is>
      </c>
      <c r="G8" s="116" t="inlineStr">
        <is>
          <t>Capita correspondiente al mes de Abril</t>
        </is>
      </c>
      <c r="H8" s="121">
        <f>IF(G8="","",IF(ISNUMBER(SEARCH("CAPITA",UPPER(G8))),651110,IF(ISNUMBER(SEARCH("REFUERZO",UPPER(G8))),651110,IF(ISNUMBER(SEARCH("VACUNACION",UPPER(G8))),651110,IF(ISNUMBER(SEARCH("ENFERMERIA",UPPER(G8))),651110,IF(ISNUMBER(SEARCH("APORTES",UPPER(G8))),651110,IF(ISNUMBER(SEARCH("HONORARIOS",UPPER(G8))),702010,IF(ISNUMBER(SEARCH("ADMINISTRACION",UPPER(G8))),702010,IF(ISNUMBER(SEARCH("GERENCIAMIENTO",UPPER(G8))),702010,IF(ISNUMBER(SEARCH("ALQUILER",UPPER(G8))),702010,IF(ISNUMBER(SEARCH("AUDITORIA",UPPER(G8))),702010,IF(ISNUMBER(SEARCH("PRESTACIONAL",UPPER(G8))),702010,702010))))))))))))</f>
        <v/>
      </c>
      <c r="I8" s="122" t="n">
        <v>0</v>
      </c>
      <c r="J8" s="122" t="n">
        <v>18001763.01</v>
      </c>
      <c r="K8" s="123">
        <f>IF(N(I8)&gt;0,ROUND(N(I8)*IVA_general,2),0)</f>
        <v/>
      </c>
      <c r="L8" s="122" t="n">
        <v>0</v>
      </c>
      <c r="M8" s="122" t="n">
        <v>0</v>
      </c>
      <c r="N8" s="123">
        <f>IF(SUM(I8:M8)=0,"",SUM(I8:M8))</f>
        <v/>
      </c>
      <c r="O8" s="124">
        <f>IF(A8="","",TEXT(A8,"yyyy-mm"))</f>
        <v/>
      </c>
      <c r="P8" s="121">
        <f>IF(A8="","",YEAR(A8))</f>
        <v/>
      </c>
      <c r="Q8" s="121">
        <f>IF(A8="","",MONTH(A8))</f>
        <v/>
      </c>
      <c r="R8" s="116" t="inlineStr">
        <is>
          <t>Emitida</t>
        </is>
      </c>
      <c r="S8" s="116" t="inlineStr">
        <is>
          <t>Pendiente</t>
        </is>
      </c>
      <c r="T8" s="120" t="n"/>
      <c r="U8" s="122" t="n">
        <v>0</v>
      </c>
      <c r="V8" s="123">
        <f>IF(B8="","",N8-U8)</f>
        <v/>
      </c>
      <c r="W8" s="116" t="inlineStr">
        <is>
          <t>Auto: 30717134180_006_00001_00000617 (1).pdf | OBRA SOCIAL DEL PERSONAL DE LUZ Y FUERZA DE CORDOBA</t>
        </is>
      </c>
      <c r="X8" s="125">
        <f>IF(B8="","",IF(LEFT(B8,2)="NC",-1,1))</f>
        <v/>
      </c>
      <c r="Y8" s="123">
        <f>IF(B8="",0,N(I8)*X8)</f>
        <v/>
      </c>
      <c r="Z8" s="123">
        <f>IF(B8="",0,N(J8)*X8)</f>
        <v/>
      </c>
      <c r="AA8" s="123">
        <f>IF(B8="",0,N(K8)*X8)</f>
        <v/>
      </c>
      <c r="AB8" s="123">
        <f>IF(B8="",0,N(L8)*X8)</f>
        <v/>
      </c>
      <c r="AC8" s="123">
        <f>IF(B8="",0,N(N8)*X8)</f>
        <v/>
      </c>
    </row>
    <row r="9" ht="15" customHeight="1" s="83">
      <c r="A9" s="120" t="n">
        <v>46143</v>
      </c>
      <c r="B9" s="116" t="inlineStr">
        <is>
          <t>B</t>
        </is>
      </c>
      <c r="C9" s="116" t="n">
        <v>1</v>
      </c>
      <c r="D9" s="116" t="n">
        <v>618</v>
      </c>
      <c r="E9" s="116" t="inlineStr">
        <is>
          <t>OSPLYF</t>
        </is>
      </c>
      <c r="F9" s="116" t="inlineStr">
        <is>
          <t>30565846538</t>
        </is>
      </c>
      <c r="G9" s="116" t="inlineStr">
        <is>
          <t>Capita correspondiente al mes de Abril</t>
        </is>
      </c>
      <c r="H9" s="121">
        <f>IF(G9="","",IF(ISNUMBER(SEARCH("CAPITA",UPPER(G9))),651110,IF(ISNUMBER(SEARCH("REFUERZO",UPPER(G9))),651110,IF(ISNUMBER(SEARCH("VACUNACION",UPPER(G9))),651110,IF(ISNUMBER(SEARCH("ENFERMERIA",UPPER(G9))),651110,IF(ISNUMBER(SEARCH("APORTES",UPPER(G9))),651110,IF(ISNUMBER(SEARCH("HONORARIOS",UPPER(G9))),702010,IF(ISNUMBER(SEARCH("ADMINISTRACION",UPPER(G9))),702010,IF(ISNUMBER(SEARCH("GERENCIAMIENTO",UPPER(G9))),702010,IF(ISNUMBER(SEARCH("ALQUILER",UPPER(G9))),702010,IF(ISNUMBER(SEARCH("AUDITORIA",UPPER(G9))),702010,IF(ISNUMBER(SEARCH("PRESTACIONAL",UPPER(G9))),702010,702010))))))))))))</f>
        <v/>
      </c>
      <c r="I9" s="122" t="n">
        <v>0</v>
      </c>
      <c r="J9" s="122" t="n">
        <v>468049.54</v>
      </c>
      <c r="K9" s="123">
        <f>IF(N(I9)&gt;0,ROUND(N(I9)*IVA_general,2),0)</f>
        <v/>
      </c>
      <c r="L9" s="122" t="n">
        <v>0</v>
      </c>
      <c r="M9" s="122" t="n">
        <v>0</v>
      </c>
      <c r="N9" s="123">
        <f>IF(SUM(I9:M9)=0,"",SUM(I9:M9))</f>
        <v/>
      </c>
      <c r="O9" s="124">
        <f>IF(A9="","",TEXT(A9,"yyyy-mm"))</f>
        <v/>
      </c>
      <c r="P9" s="121">
        <f>IF(A9="","",YEAR(A9))</f>
        <v/>
      </c>
      <c r="Q9" s="121">
        <f>IF(A9="","",MONTH(A9))</f>
        <v/>
      </c>
      <c r="R9" s="116" t="inlineStr">
        <is>
          <t>Emitida</t>
        </is>
      </c>
      <c r="S9" s="116" t="inlineStr">
        <is>
          <t>Pendiente</t>
        </is>
      </c>
      <c r="T9" s="120" t="n"/>
      <c r="U9" s="122" t="n">
        <v>0</v>
      </c>
      <c r="V9" s="123">
        <f>IF(B9="","",N9-U9)</f>
        <v/>
      </c>
      <c r="W9" s="116" t="inlineStr">
        <is>
          <t>Auto: 30717134180_006_00001_00000618 (1).pdf | OBRA SOCIAL DEL PERSONAL DE LUZ Y FUERZA DE CORDOBA</t>
        </is>
      </c>
      <c r="X9" s="125">
        <f>IF(B9="","",IF(LEFT(B9,2)="NC",-1,1))</f>
        <v/>
      </c>
      <c r="Y9" s="123">
        <f>IF(B9="",0,N(I9)*X9)</f>
        <v/>
      </c>
      <c r="Z9" s="123">
        <f>IF(B9="",0,N(J9)*X9)</f>
        <v/>
      </c>
      <c r="AA9" s="123">
        <f>IF(B9="",0,N(K9)*X9)</f>
        <v/>
      </c>
      <c r="AB9" s="123">
        <f>IF(B9="",0,N(L9)*X9)</f>
        <v/>
      </c>
      <c r="AC9" s="123">
        <f>IF(B9="",0,N(N9)*X9)</f>
        <v/>
      </c>
    </row>
    <row r="10" ht="15" customHeight="1" s="83">
      <c r="A10" s="120" t="n">
        <v>46143</v>
      </c>
      <c r="B10" s="116" t="inlineStr">
        <is>
          <t>B</t>
        </is>
      </c>
      <c r="C10" s="116" t="n">
        <v>1</v>
      </c>
      <c r="D10" s="116" t="n">
        <v>619</v>
      </c>
      <c r="E10" s="116" t="inlineStr">
        <is>
          <t>UOM</t>
        </is>
      </c>
      <c r="F10" s="116" t="inlineStr">
        <is>
          <t>30585207760</t>
        </is>
      </c>
      <c r="G10" s="116" t="inlineStr">
        <is>
          <t>Servicios medico prestacionales</t>
        </is>
      </c>
      <c r="H10" s="121">
        <f>IF(G10="","",IF(ISNUMBER(SEARCH("CAPITA",UPPER(G10))),651110,IF(ISNUMBER(SEARCH("REFUERZO",UPPER(G10))),651110,IF(ISNUMBER(SEARCH("VACUNACION",UPPER(G10))),651110,IF(ISNUMBER(SEARCH("ENFERMERIA",UPPER(G10))),651110,IF(ISNUMBER(SEARCH("APORTES",UPPER(G10))),651110,IF(ISNUMBER(SEARCH("HONORARIOS",UPPER(G10))),702010,IF(ISNUMBER(SEARCH("ADMINISTRACION",UPPER(G10))),702010,IF(ISNUMBER(SEARCH("GERENCIAMIENTO",UPPER(G10))),702010,IF(ISNUMBER(SEARCH("ALQUILER",UPPER(G10))),702010,IF(ISNUMBER(SEARCH("AUDITORIA",UPPER(G10))),702010,IF(ISNUMBER(SEARCH("PRESTACIONAL",UPPER(G10))),702010,702010))))))))))))</f>
        <v/>
      </c>
      <c r="I10" s="122" t="n">
        <v>0</v>
      </c>
      <c r="J10" s="122" t="n">
        <v>7374506.62</v>
      </c>
      <c r="K10" s="123">
        <f>IF(N(I10)&gt;0,ROUND(N(I10)*IVA_general,2),0)</f>
        <v/>
      </c>
      <c r="L10" s="122" t="n">
        <v>0</v>
      </c>
      <c r="M10" s="122" t="n">
        <v>0</v>
      </c>
      <c r="N10" s="123">
        <f>IF(SUM(I10:M10)=0,"",SUM(I10:M10))</f>
        <v/>
      </c>
      <c r="O10" s="124">
        <f>IF(A10="","",TEXT(A10,"yyyy-mm"))</f>
        <v/>
      </c>
      <c r="P10" s="121">
        <f>IF(A10="","",YEAR(A10))</f>
        <v/>
      </c>
      <c r="Q10" s="121">
        <f>IF(A10="","",MONTH(A10))</f>
        <v/>
      </c>
      <c r="R10" s="116" t="inlineStr">
        <is>
          <t>Emitida</t>
        </is>
      </c>
      <c r="S10" s="116" t="inlineStr">
        <is>
          <t>Pendiente</t>
        </is>
      </c>
      <c r="T10" s="120" t="n"/>
      <c r="U10" s="122" t="n">
        <v>0</v>
      </c>
      <c r="V10" s="123">
        <f>IF(B10="","",N10-U10)</f>
        <v/>
      </c>
      <c r="W10" s="116" t="inlineStr">
        <is>
          <t>Auto: 30717134180_006_00001_00000619 (1).pdf | OBRA SOCIAL DE LA UNION OBRERA METALURGICA DE LA REPUBLICA A</t>
        </is>
      </c>
      <c r="X10" s="125">
        <f>IF(B10="","",IF(LEFT(B10,2)="NC",-1,1))</f>
        <v/>
      </c>
      <c r="Y10" s="123">
        <f>IF(B10="",0,N(I10)*X10)</f>
        <v/>
      </c>
      <c r="Z10" s="123">
        <f>IF(B10="",0,N(J10)*X10)</f>
        <v/>
      </c>
      <c r="AA10" s="123">
        <f>IF(B10="",0,N(K10)*X10)</f>
        <v/>
      </c>
      <c r="AB10" s="123">
        <f>IF(B10="",0,N(L10)*X10)</f>
        <v/>
      </c>
      <c r="AC10" s="123">
        <f>IF(B10="",0,N(N10)*X10)</f>
        <v/>
      </c>
    </row>
    <row r="11" ht="15" customHeight="1" s="83">
      <c r="A11" s="120" t="n">
        <v>46143</v>
      </c>
      <c r="B11" s="116" t="inlineStr">
        <is>
          <t>B</t>
        </is>
      </c>
      <c r="C11" s="116" t="n">
        <v>1</v>
      </c>
      <c r="D11" s="116" t="n">
        <v>620</v>
      </c>
      <c r="E11" s="116" t="inlineStr">
        <is>
          <t>OSSURRBAC</t>
        </is>
      </c>
      <c r="F11" s="116" t="inlineStr">
        <is>
          <t>30714341746</t>
        </is>
      </c>
      <c r="G11" s="116" t="inlineStr">
        <is>
          <t>Servicios prestacionales</t>
        </is>
      </c>
      <c r="H11" s="121">
        <f>IF(G11="","",IF(ISNUMBER(SEARCH("CAPITA",UPPER(G11))),651110,IF(ISNUMBER(SEARCH("REFUERZO",UPPER(G11))),651110,IF(ISNUMBER(SEARCH("VACUNACION",UPPER(G11))),651110,IF(ISNUMBER(SEARCH("ENFERMERIA",UPPER(G11))),651110,IF(ISNUMBER(SEARCH("APORTES",UPPER(G11))),651110,IF(ISNUMBER(SEARCH("HONORARIOS",UPPER(G11))),702010,IF(ISNUMBER(SEARCH("ADMINISTRACION",UPPER(G11))),702010,IF(ISNUMBER(SEARCH("GERENCIAMIENTO",UPPER(G11))),702010,IF(ISNUMBER(SEARCH("ALQUILER",UPPER(G11))),702010,IF(ISNUMBER(SEARCH("AUDITORIA",UPPER(G11))),702010,IF(ISNUMBER(SEARCH("PRESTACIONAL",UPPER(G11))),702010,702010))))))))))))</f>
        <v/>
      </c>
      <c r="I11" s="122" t="n">
        <v>0</v>
      </c>
      <c r="J11" s="122" t="n">
        <v>1320000</v>
      </c>
      <c r="K11" s="123">
        <f>IF(N(I11)&gt;0,ROUND(N(I11)*IVA_general,2),0)</f>
        <v/>
      </c>
      <c r="L11" s="122" t="n">
        <v>0</v>
      </c>
      <c r="M11" s="122" t="n">
        <v>0</v>
      </c>
      <c r="N11" s="123">
        <f>IF(SUM(I11:M11)=0,"",SUM(I11:M11))</f>
        <v/>
      </c>
      <c r="O11" s="124">
        <f>IF(A11="","",TEXT(A11,"yyyy-mm"))</f>
        <v/>
      </c>
      <c r="P11" s="121">
        <f>IF(A11="","",YEAR(A11))</f>
        <v/>
      </c>
      <c r="Q11" s="121">
        <f>IF(A11="","",MONTH(A11))</f>
        <v/>
      </c>
      <c r="R11" s="116" t="inlineStr">
        <is>
          <t>Emitida</t>
        </is>
      </c>
      <c r="S11" s="116" t="inlineStr">
        <is>
          <t>Pendiente</t>
        </is>
      </c>
      <c r="T11" s="120" t="n"/>
      <c r="U11" s="122" t="n">
        <v>0</v>
      </c>
      <c r="V11" s="123">
        <f>IF(B11="","",N11-U11)</f>
        <v/>
      </c>
      <c r="W11" s="116" t="inlineStr">
        <is>
          <t>Auto: 30717134180_006_00001_00000620 (2).pdf | OBRA SOCIAL DEL SINDICATO UNICO DE RECOLECTORES DE RESIDUOS</t>
        </is>
      </c>
      <c r="X11" s="125">
        <f>IF(B11="","",IF(LEFT(B11,2)="NC",-1,1))</f>
        <v/>
      </c>
      <c r="Y11" s="123">
        <f>IF(B11="",0,N(I11)*X11)</f>
        <v/>
      </c>
      <c r="Z11" s="123">
        <f>IF(B11="",0,N(J11)*X11)</f>
        <v/>
      </c>
      <c r="AA11" s="123">
        <f>IF(B11="",0,N(K11)*X11)</f>
        <v/>
      </c>
      <c r="AB11" s="123">
        <f>IF(B11="",0,N(L11)*X11)</f>
        <v/>
      </c>
      <c r="AC11" s="123">
        <f>IF(B11="",0,N(N11)*X11)</f>
        <v/>
      </c>
    </row>
    <row r="12" ht="15" customHeight="1" s="83">
      <c r="A12" s="120" t="n">
        <v>46143</v>
      </c>
      <c r="B12" s="116" t="inlineStr">
        <is>
          <t>B</t>
        </is>
      </c>
      <c r="C12" s="116" t="n">
        <v>1</v>
      </c>
      <c r="D12" s="116" t="n">
        <v>621</v>
      </c>
      <c r="E12" s="116" t="inlineStr">
        <is>
          <t>OSSURRBAC</t>
        </is>
      </c>
      <c r="F12" s="116" t="inlineStr">
        <is>
          <t>30714341746</t>
        </is>
      </c>
      <c r="G12" s="116" t="inlineStr">
        <is>
          <t>Servicios prestacionales</t>
        </is>
      </c>
      <c r="H12" s="121">
        <f>IF(G12="","",IF(ISNUMBER(SEARCH("CAPITA",UPPER(G12))),651110,IF(ISNUMBER(SEARCH("REFUERZO",UPPER(G12))),651110,IF(ISNUMBER(SEARCH("VACUNACION",UPPER(G12))),651110,IF(ISNUMBER(SEARCH("ENFERMERIA",UPPER(G12))),651110,IF(ISNUMBER(SEARCH("APORTES",UPPER(G12))),651110,IF(ISNUMBER(SEARCH("HONORARIOS",UPPER(G12))),702010,IF(ISNUMBER(SEARCH("ADMINISTRACION",UPPER(G12))),702010,IF(ISNUMBER(SEARCH("GERENCIAMIENTO",UPPER(G12))),702010,IF(ISNUMBER(SEARCH("ALQUILER",UPPER(G12))),702010,IF(ISNUMBER(SEARCH("AUDITORIA",UPPER(G12))),702010,IF(ISNUMBER(SEARCH("PRESTACIONAL",UPPER(G12))),702010,702010))))))))))))</f>
        <v/>
      </c>
      <c r="I12" s="122" t="n">
        <v>0</v>
      </c>
      <c r="J12" s="122" t="n">
        <v>3250000</v>
      </c>
      <c r="K12" s="123">
        <f>IF(N(I12)&gt;0,ROUND(N(I12)*IVA_general,2),0)</f>
        <v/>
      </c>
      <c r="L12" s="122" t="n">
        <v>0</v>
      </c>
      <c r="M12" s="122" t="n">
        <v>0</v>
      </c>
      <c r="N12" s="123">
        <f>IF(SUM(I12:M12)=0,"",SUM(I12:M12))</f>
        <v/>
      </c>
      <c r="O12" s="124">
        <f>IF(A12="","",TEXT(A12,"yyyy-mm"))</f>
        <v/>
      </c>
      <c r="P12" s="121">
        <f>IF(A12="","",YEAR(A12))</f>
        <v/>
      </c>
      <c r="Q12" s="121">
        <f>IF(A12="","",MONTH(A12))</f>
        <v/>
      </c>
      <c r="R12" s="116" t="inlineStr">
        <is>
          <t>Emitida</t>
        </is>
      </c>
      <c r="S12" s="116" t="inlineStr">
        <is>
          <t>Pendiente</t>
        </is>
      </c>
      <c r="T12" s="120" t="n"/>
      <c r="U12" s="122" t="n">
        <v>0</v>
      </c>
      <c r="V12" s="123">
        <f>IF(B12="","",N12-U12)</f>
        <v/>
      </c>
      <c r="W12" s="116" t="inlineStr">
        <is>
          <t>Auto: 30717134180_006_00001_00000621 (1).pdf | OBRA SOCIAL DEL SINDICATO UNICO DE RECOLECTORES DE RESIDUOS</t>
        </is>
      </c>
      <c r="X12" s="125">
        <f>IF(B12="","",IF(LEFT(B12,2)="NC",-1,1))</f>
        <v/>
      </c>
      <c r="Y12" s="123">
        <f>IF(B12="",0,N(I12)*X12)</f>
        <v/>
      </c>
      <c r="Z12" s="123">
        <f>IF(B12="",0,N(J12)*X12)</f>
        <v/>
      </c>
      <c r="AA12" s="123">
        <f>IF(B12="",0,N(K12)*X12)</f>
        <v/>
      </c>
      <c r="AB12" s="123">
        <f>IF(B12="",0,N(L12)*X12)</f>
        <v/>
      </c>
      <c r="AC12" s="123">
        <f>IF(B12="",0,N(N12)*X12)</f>
        <v/>
      </c>
    </row>
    <row r="13" ht="15" customHeight="1" s="83">
      <c r="A13" s="120" t="n">
        <v>46147</v>
      </c>
      <c r="B13" s="116" t="inlineStr">
        <is>
          <t>NCB</t>
        </is>
      </c>
      <c r="C13" s="116" t="n">
        <v>1</v>
      </c>
      <c r="D13" s="116" t="n">
        <v>56</v>
      </c>
      <c r="E13" s="116" t="inlineStr">
        <is>
          <t>OSPLYF</t>
        </is>
      </c>
      <c r="F13" s="116" t="inlineStr">
        <is>
          <t>30565846538</t>
        </is>
      </c>
      <c r="G13" s="116" t="inlineStr">
        <is>
          <t>Extra Capita_ OSPLYFC Andrada</t>
        </is>
      </c>
      <c r="H13" s="121">
        <f>IF(G13="","",IF(ISNUMBER(SEARCH("CAPITA",UPPER(G13))),651110,IF(ISNUMBER(SEARCH("REFUERZO",UPPER(G13))),651110,IF(ISNUMBER(SEARCH("VACUNACION",UPPER(G13))),651110,IF(ISNUMBER(SEARCH("ENFERMERIA",UPPER(G13))),651110,IF(ISNUMBER(SEARCH("APORTES",UPPER(G13))),651110,IF(ISNUMBER(SEARCH("HONORARIOS",UPPER(G13))),702010,IF(ISNUMBER(SEARCH("ADMINISTRACION",UPPER(G13))),702010,IF(ISNUMBER(SEARCH("GERENCIAMIENTO",UPPER(G13))),702010,IF(ISNUMBER(SEARCH("ALQUILER",UPPER(G13))),702010,IF(ISNUMBER(SEARCH("AUDITORIA",UPPER(G13))),702010,IF(ISNUMBER(SEARCH("PRESTACIONAL",UPPER(G13))),702010,702010))))))))))))</f>
        <v/>
      </c>
      <c r="I13" s="122" t="n">
        <v>0</v>
      </c>
      <c r="J13" s="122" t="n">
        <v>4585560</v>
      </c>
      <c r="K13" s="123">
        <f>IF(N(I13)&gt;0,ROUND(N(I13)*IVA_general,2),0)</f>
        <v/>
      </c>
      <c r="L13" s="122" t="n">
        <v>0</v>
      </c>
      <c r="M13" s="122" t="n">
        <v>0</v>
      </c>
      <c r="N13" s="123">
        <f>IF(SUM(I13:M13)=0,"",SUM(I13:M13))</f>
        <v/>
      </c>
      <c r="O13" s="124">
        <f>IF(A13="","",TEXT(A13,"yyyy-mm"))</f>
        <v/>
      </c>
      <c r="P13" s="121">
        <f>IF(A13="","",YEAR(A13))</f>
        <v/>
      </c>
      <c r="Q13" s="121">
        <f>IF(A13="","",MONTH(A13))</f>
        <v/>
      </c>
      <c r="R13" s="116" t="inlineStr">
        <is>
          <t>Emitida</t>
        </is>
      </c>
      <c r="S13" s="116" t="inlineStr">
        <is>
          <t>Pendiente</t>
        </is>
      </c>
      <c r="T13" s="120" t="n"/>
      <c r="U13" s="122" t="n">
        <v>0</v>
      </c>
      <c r="V13" s="123">
        <f>IF(B13="","",N13-U13)</f>
        <v/>
      </c>
      <c r="W13" s="116" t="inlineStr">
        <is>
          <t>Auto: 30717134180_008_00001_00000056 (1).pdf | OBRA SOCIAL DEL PERSONAL DE LUZ Y FUERZA DE CORDOBA</t>
        </is>
      </c>
      <c r="X13" s="125">
        <f>IF(B13="","",IF(LEFT(B13,2)="NC",-1,1))</f>
        <v/>
      </c>
      <c r="Y13" s="123">
        <f>IF(B13="",0,N(I13)*X13)</f>
        <v/>
      </c>
      <c r="Z13" s="123">
        <f>IF(B13="",0,N(J13)*X13)</f>
        <v/>
      </c>
      <c r="AA13" s="123">
        <f>IF(B13="",0,N(K13)*X13)</f>
        <v/>
      </c>
      <c r="AB13" s="123">
        <f>IF(B13="",0,N(L13)*X13)</f>
        <v/>
      </c>
      <c r="AC13" s="123">
        <f>IF(B13="",0,N(N13)*X13)</f>
        <v/>
      </c>
    </row>
    <row r="14" ht="15" customHeight="1" s="83">
      <c r="A14" s="120" t="n">
        <v>46147</v>
      </c>
      <c r="B14" s="116" t="inlineStr">
        <is>
          <t>A</t>
        </is>
      </c>
      <c r="C14" s="116" t="n">
        <v>1</v>
      </c>
      <c r="D14" s="116" t="n">
        <v>78</v>
      </c>
      <c r="E14" s="116" t="inlineStr">
        <is>
          <t>OSPIF</t>
        </is>
      </c>
      <c r="F14" s="116" t="inlineStr">
        <is>
          <t>30661691707</t>
        </is>
      </c>
      <c r="G14" s="116" t="inlineStr">
        <is>
          <t>Extra Capita_OSPIF CEBALLOS Nahir</t>
        </is>
      </c>
      <c r="H14" s="121">
        <f>IF(G14="","",IF(ISNUMBER(SEARCH("CAPITA",UPPER(G14))),651110,IF(ISNUMBER(SEARCH("REFUERZO",UPPER(G14))),651110,IF(ISNUMBER(SEARCH("VACUNACION",UPPER(G14))),651110,IF(ISNUMBER(SEARCH("ENFERMERIA",UPPER(G14))),651110,IF(ISNUMBER(SEARCH("APORTES",UPPER(G14))),651110,IF(ISNUMBER(SEARCH("HONORARIOS",UPPER(G14))),702010,IF(ISNUMBER(SEARCH("ADMINISTRACION",UPPER(G14))),702010,IF(ISNUMBER(SEARCH("GERENCIAMIENTO",UPPER(G14))),702010,IF(ISNUMBER(SEARCH("ALQUILER",UPPER(G14))),702010,IF(ISNUMBER(SEARCH("AUDITORIA",UPPER(G14))),702010,IF(ISNUMBER(SEARCH("PRESTACIONAL",UPPER(G14))),702010,702010))))))))))))</f>
        <v/>
      </c>
      <c r="I14" s="122" t="n">
        <v>0</v>
      </c>
      <c r="J14" s="122" t="n">
        <v>204156</v>
      </c>
      <c r="K14" s="123">
        <f>IF(N(I14)&gt;0,ROUND(N(I14)*IVA_general,2),0)</f>
        <v/>
      </c>
      <c r="L14" s="122" t="n">
        <v>0</v>
      </c>
      <c r="M14" s="122" t="n">
        <v>0</v>
      </c>
      <c r="N14" s="123">
        <f>IF(SUM(I14:M14)=0,"",SUM(I14:M14))</f>
        <v/>
      </c>
      <c r="O14" s="124">
        <f>IF(A14="","",TEXT(A14,"yyyy-mm"))</f>
        <v/>
      </c>
      <c r="P14" s="121">
        <f>IF(A14="","",YEAR(A14))</f>
        <v/>
      </c>
      <c r="Q14" s="121">
        <f>IF(A14="","",MONTH(A14))</f>
        <v/>
      </c>
      <c r="R14" s="116" t="inlineStr">
        <is>
          <t>Emitida</t>
        </is>
      </c>
      <c r="S14" s="116" t="inlineStr">
        <is>
          <t>Pendiente</t>
        </is>
      </c>
      <c r="T14" s="120" t="n"/>
      <c r="U14" s="122" t="n">
        <v>0</v>
      </c>
      <c r="V14" s="123">
        <f>IF(B14="","",N14-U14)</f>
        <v/>
      </c>
      <c r="W14" s="116" t="inlineStr">
        <is>
          <t>Auto: 30717134180_001_00001_00000078 (1).pdf | OBRA SOCIAL PARA EL PERSONAL DE LA INDUSTRIA FIDEERA</t>
        </is>
      </c>
      <c r="X14" s="125">
        <f>IF(B14="","",IF(LEFT(B14,2)="NC",-1,1))</f>
        <v/>
      </c>
      <c r="Y14" s="123">
        <f>IF(B14="",0,N(I14)*X14)</f>
        <v/>
      </c>
      <c r="Z14" s="123">
        <f>IF(B14="",0,N(J14)*X14)</f>
        <v/>
      </c>
      <c r="AA14" s="123">
        <f>IF(B14="",0,N(K14)*X14)</f>
        <v/>
      </c>
      <c r="AB14" s="123">
        <f>IF(B14="",0,N(L14)*X14)</f>
        <v/>
      </c>
      <c r="AC14" s="123">
        <f>IF(B14="",0,N(N14)*X14)</f>
        <v/>
      </c>
    </row>
    <row r="15" ht="15" customHeight="1" s="83">
      <c r="A15" s="120" t="n">
        <v>46147</v>
      </c>
      <c r="B15" s="116" t="inlineStr">
        <is>
          <t>A</t>
        </is>
      </c>
      <c r="C15" s="116" t="n">
        <v>1</v>
      </c>
      <c r="D15" s="116" t="n">
        <v>79</v>
      </c>
      <c r="E15" s="116" t="inlineStr">
        <is>
          <t>OSPIF</t>
        </is>
      </c>
      <c r="F15" s="116" t="inlineStr">
        <is>
          <t>30661691707</t>
        </is>
      </c>
      <c r="G15" s="116" t="inlineStr">
        <is>
          <t>EXTRA CAPITA OSPIF_RODRIGUEZ ANALIA</t>
        </is>
      </c>
      <c r="H15" s="121">
        <f>IF(G15="","",IF(ISNUMBER(SEARCH("CAPITA",UPPER(G15))),651110,IF(ISNUMBER(SEARCH("REFUERZO",UPPER(G15))),651110,IF(ISNUMBER(SEARCH("VACUNACION",UPPER(G15))),651110,IF(ISNUMBER(SEARCH("ENFERMERIA",UPPER(G15))),651110,IF(ISNUMBER(SEARCH("APORTES",UPPER(G15))),651110,IF(ISNUMBER(SEARCH("HONORARIOS",UPPER(G15))),702010,IF(ISNUMBER(SEARCH("ADMINISTRACION",UPPER(G15))),702010,IF(ISNUMBER(SEARCH("GERENCIAMIENTO",UPPER(G15))),702010,IF(ISNUMBER(SEARCH("ALQUILER",UPPER(G15))),702010,IF(ISNUMBER(SEARCH("AUDITORIA",UPPER(G15))),702010,IF(ISNUMBER(SEARCH("PRESTACIONAL",UPPER(G15))),702010,702010))))))))))))</f>
        <v/>
      </c>
      <c r="I15" s="122" t="n">
        <v>0</v>
      </c>
      <c r="J15" s="122" t="n">
        <v>4240000</v>
      </c>
      <c r="K15" s="123">
        <f>IF(N(I15)&gt;0,ROUND(N(I15)*IVA_general,2),0)</f>
        <v/>
      </c>
      <c r="L15" s="122" t="n">
        <v>0</v>
      </c>
      <c r="M15" s="122" t="n">
        <v>0</v>
      </c>
      <c r="N15" s="123">
        <f>IF(SUM(I15:M15)=0,"",SUM(I15:M15))</f>
        <v/>
      </c>
      <c r="O15" s="124">
        <f>IF(A15="","",TEXT(A15,"yyyy-mm"))</f>
        <v/>
      </c>
      <c r="P15" s="121">
        <f>IF(A15="","",YEAR(A15))</f>
        <v/>
      </c>
      <c r="Q15" s="121">
        <f>IF(A15="","",MONTH(A15))</f>
        <v/>
      </c>
      <c r="R15" s="116" t="inlineStr">
        <is>
          <t>Emitida</t>
        </is>
      </c>
      <c r="S15" s="116" t="inlineStr">
        <is>
          <t>Pendiente</t>
        </is>
      </c>
      <c r="T15" s="120" t="n"/>
      <c r="U15" s="122" t="n">
        <v>0</v>
      </c>
      <c r="V15" s="123">
        <f>IF(B15="","",N15-U15)</f>
        <v/>
      </c>
      <c r="W15" s="116" t="inlineStr">
        <is>
          <t>Auto: 30717134180_001_00001_00000079 (1).pdf | OBRA SOCIAL PARA EL PERSONAL DE LA INDUSTRIA FIDEERA</t>
        </is>
      </c>
      <c r="X15" s="125">
        <f>IF(B15="","",IF(LEFT(B15,2)="NC",-1,1))</f>
        <v/>
      </c>
      <c r="Y15" s="123">
        <f>IF(B15="",0,N(I15)*X15)</f>
        <v/>
      </c>
      <c r="Z15" s="123">
        <f>IF(B15="",0,N(J15)*X15)</f>
        <v/>
      </c>
      <c r="AA15" s="123">
        <f>IF(B15="",0,N(K15)*X15)</f>
        <v/>
      </c>
      <c r="AB15" s="123">
        <f>IF(B15="",0,N(L15)*X15)</f>
        <v/>
      </c>
      <c r="AC15" s="123">
        <f>IF(B15="",0,N(N15)*X15)</f>
        <v/>
      </c>
    </row>
    <row r="16" ht="15" customHeight="1" s="83">
      <c r="A16" s="120" t="n">
        <v>46147</v>
      </c>
      <c r="B16" s="116" t="inlineStr">
        <is>
          <t>B</t>
        </is>
      </c>
      <c r="C16" s="116" t="n">
        <v>1</v>
      </c>
      <c r="D16" s="116" t="n">
        <v>622</v>
      </c>
      <c r="E16" s="116" t="inlineStr">
        <is>
          <t>OSPLYF</t>
        </is>
      </c>
      <c r="F16" s="116" t="inlineStr">
        <is>
          <t>30565846538</t>
        </is>
      </c>
      <c r="G16" s="116" t="inlineStr">
        <is>
          <t>Extra capita prestaciones</t>
        </is>
      </c>
      <c r="H16" s="121">
        <f>IF(G16="","",IF(ISNUMBER(SEARCH("CAPITA",UPPER(G16))),651110,IF(ISNUMBER(SEARCH("REFUERZO",UPPER(G16))),651110,IF(ISNUMBER(SEARCH("VACUNACION",UPPER(G16))),651110,IF(ISNUMBER(SEARCH("ENFERMERIA",UPPER(G16))),651110,IF(ISNUMBER(SEARCH("APORTES",UPPER(G16))),651110,IF(ISNUMBER(SEARCH("HONORARIOS",UPPER(G16))),702010,IF(ISNUMBER(SEARCH("ADMINISTRACION",UPPER(G16))),702010,IF(ISNUMBER(SEARCH("GERENCIAMIENTO",UPPER(G16))),702010,IF(ISNUMBER(SEARCH("ALQUILER",UPPER(G16))),702010,IF(ISNUMBER(SEARCH("AUDITORIA",UPPER(G16))),702010,IF(ISNUMBER(SEARCH("PRESTACIONAL",UPPER(G16))),702010,702010))))))))))))</f>
        <v/>
      </c>
      <c r="I16" s="122" t="n">
        <v>0</v>
      </c>
      <c r="J16" s="122" t="n">
        <v>12480000</v>
      </c>
      <c r="K16" s="123">
        <f>IF(N(I16)&gt;0,ROUND(N(I16)*IVA_general,2),0)</f>
        <v/>
      </c>
      <c r="L16" s="122" t="n">
        <v>0</v>
      </c>
      <c r="M16" s="122" t="n">
        <v>0</v>
      </c>
      <c r="N16" s="123">
        <f>IF(SUM(I16:M16)=0,"",SUM(I16:M16))</f>
        <v/>
      </c>
      <c r="O16" s="124">
        <f>IF(A16="","",TEXT(A16,"yyyy-mm"))</f>
        <v/>
      </c>
      <c r="P16" s="121">
        <f>IF(A16="","",YEAR(A16))</f>
        <v/>
      </c>
      <c r="Q16" s="121">
        <f>IF(A16="","",MONTH(A16))</f>
        <v/>
      </c>
      <c r="R16" s="116" t="inlineStr">
        <is>
          <t>Emitida</t>
        </is>
      </c>
      <c r="S16" s="116" t="inlineStr">
        <is>
          <t>Pendiente</t>
        </is>
      </c>
      <c r="T16" s="120" t="n"/>
      <c r="U16" s="122" t="n">
        <v>0</v>
      </c>
      <c r="V16" s="123">
        <f>IF(B16="","",N16-U16)</f>
        <v/>
      </c>
      <c r="W16" s="116" t="inlineStr">
        <is>
          <t>Auto: 30717134180_006_00001_00000622.pdf | OBRA SOCIAL DEL PERSONAL DE LUZ Y FUERZA DE CORDOBA</t>
        </is>
      </c>
      <c r="X16" s="125">
        <f>IF(B16="","",IF(LEFT(B16,2)="NC",-1,1))</f>
        <v/>
      </c>
      <c r="Y16" s="123">
        <f>IF(B16="",0,N(I16)*X16)</f>
        <v/>
      </c>
      <c r="Z16" s="123">
        <f>IF(B16="",0,N(J16)*X16)</f>
        <v/>
      </c>
      <c r="AA16" s="123">
        <f>IF(B16="",0,N(K16)*X16)</f>
        <v/>
      </c>
      <c r="AB16" s="123">
        <f>IF(B16="",0,N(L16)*X16)</f>
        <v/>
      </c>
      <c r="AC16" s="123">
        <f>IF(B16="",0,N(N16)*X16)</f>
        <v/>
      </c>
    </row>
    <row r="17" ht="15" customHeight="1" s="83">
      <c r="A17" s="120" t="n">
        <v>46147</v>
      </c>
      <c r="B17" s="116" t="inlineStr">
        <is>
          <t>B</t>
        </is>
      </c>
      <c r="C17" s="116" t="n">
        <v>1</v>
      </c>
      <c r="D17" s="116" t="n">
        <v>623</v>
      </c>
      <c r="E17" s="116" t="inlineStr">
        <is>
          <t>OSPEVIC</t>
        </is>
      </c>
      <c r="F17" s="116" t="inlineStr">
        <is>
          <t>30606579906</t>
        </is>
      </c>
      <c r="G17" s="116" t="inlineStr">
        <is>
          <t>Extra Capita. SEGOVIA JOSE</t>
        </is>
      </c>
      <c r="H17" s="121">
        <f>IF(G17="","",IF(ISNUMBER(SEARCH("CAPITA",UPPER(G17))),651110,IF(ISNUMBER(SEARCH("REFUERZO",UPPER(G17))),651110,IF(ISNUMBER(SEARCH("VACUNACION",UPPER(G17))),651110,IF(ISNUMBER(SEARCH("ENFERMERIA",UPPER(G17))),651110,IF(ISNUMBER(SEARCH("APORTES",UPPER(G17))),651110,IF(ISNUMBER(SEARCH("HONORARIOS",UPPER(G17))),702010,IF(ISNUMBER(SEARCH("ADMINISTRACION",UPPER(G17))),702010,IF(ISNUMBER(SEARCH("GERENCIAMIENTO",UPPER(G17))),702010,IF(ISNUMBER(SEARCH("ALQUILER",UPPER(G17))),702010,IF(ISNUMBER(SEARCH("AUDITORIA",UPPER(G17))),702010,IF(ISNUMBER(SEARCH("PRESTACIONAL",UPPER(G17))),702010,702010))))))))))))</f>
        <v/>
      </c>
      <c r="I17" s="122" t="n">
        <v>0</v>
      </c>
      <c r="J17" s="122" t="n">
        <v>1898075.75</v>
      </c>
      <c r="K17" s="123">
        <f>IF(N(I17)&gt;0,ROUND(N(I17)*IVA_general,2),0)</f>
        <v/>
      </c>
      <c r="L17" s="122" t="n">
        <v>0</v>
      </c>
      <c r="M17" s="122" t="n">
        <v>0</v>
      </c>
      <c r="N17" s="123">
        <f>IF(SUM(I17:M17)=0,"",SUM(I17:M17))</f>
        <v/>
      </c>
      <c r="O17" s="124">
        <f>IF(A17="","",TEXT(A17,"yyyy-mm"))</f>
        <v/>
      </c>
      <c r="P17" s="121">
        <f>IF(A17="","",YEAR(A17))</f>
        <v/>
      </c>
      <c r="Q17" s="121">
        <f>IF(A17="","",MONTH(A17))</f>
        <v/>
      </c>
      <c r="R17" s="116" t="inlineStr">
        <is>
          <t>Emitida</t>
        </is>
      </c>
      <c r="S17" s="116" t="inlineStr">
        <is>
          <t>Pendiente</t>
        </is>
      </c>
      <c r="T17" s="120" t="n"/>
      <c r="U17" s="122" t="n">
        <v>0</v>
      </c>
      <c r="V17" s="123">
        <f>IF(B17="","",N17-U17)</f>
        <v/>
      </c>
      <c r="W17" s="116" t="inlineStr">
        <is>
          <t>Auto: 30717134180_006_00001_00000623 (1).pdf | OBRA SOCIAL DEL PERSONAL DE VIGILANCIA Y SEGURIDAD COMERCIAL</t>
        </is>
      </c>
      <c r="X17" s="125">
        <f>IF(B17="","",IF(LEFT(B17,2)="NC",-1,1))</f>
        <v/>
      </c>
      <c r="Y17" s="123">
        <f>IF(B17="",0,N(I17)*X17)</f>
        <v/>
      </c>
      <c r="Z17" s="123">
        <f>IF(B17="",0,N(J17)*X17)</f>
        <v/>
      </c>
      <c r="AA17" s="123">
        <f>IF(B17="",0,N(K17)*X17)</f>
        <v/>
      </c>
      <c r="AB17" s="123">
        <f>IF(B17="",0,N(L17)*X17)</f>
        <v/>
      </c>
      <c r="AC17" s="123">
        <f>IF(B17="",0,N(N17)*X17)</f>
        <v/>
      </c>
    </row>
    <row r="18" ht="15" customHeight="1" s="83">
      <c r="A18" s="120" t="n">
        <v>46147</v>
      </c>
      <c r="B18" s="116" t="inlineStr">
        <is>
          <t>B</t>
        </is>
      </c>
      <c r="C18" s="116" t="n">
        <v>1</v>
      </c>
      <c r="D18" s="116" t="n">
        <v>624</v>
      </c>
      <c r="E18" s="116" t="inlineStr">
        <is>
          <t>OSPLYF</t>
        </is>
      </c>
      <c r="F18" s="116" t="inlineStr">
        <is>
          <t>30565846538</t>
        </is>
      </c>
      <c r="G18" s="116" t="inlineStr">
        <is>
          <t>Extra Capita_ OSPLYFC Andrada</t>
        </is>
      </c>
      <c r="H18" s="121">
        <f>IF(G18="","",IF(ISNUMBER(SEARCH("CAPITA",UPPER(G18))),651110,IF(ISNUMBER(SEARCH("REFUERZO",UPPER(G18))),651110,IF(ISNUMBER(SEARCH("VACUNACION",UPPER(G18))),651110,IF(ISNUMBER(SEARCH("ENFERMERIA",UPPER(G18))),651110,IF(ISNUMBER(SEARCH("APORTES",UPPER(G18))),651110,IF(ISNUMBER(SEARCH("HONORARIOS",UPPER(G18))),702010,IF(ISNUMBER(SEARCH("ADMINISTRACION",UPPER(G18))),702010,IF(ISNUMBER(SEARCH("GERENCIAMIENTO",UPPER(G18))),702010,IF(ISNUMBER(SEARCH("ALQUILER",UPPER(G18))),702010,IF(ISNUMBER(SEARCH("AUDITORIA",UPPER(G18))),702010,IF(ISNUMBER(SEARCH("PRESTACIONAL",UPPER(G18))),702010,702010))))))))))))</f>
        <v/>
      </c>
      <c r="I18" s="122" t="n">
        <v>0</v>
      </c>
      <c r="J18" s="122" t="n">
        <v>4585560</v>
      </c>
      <c r="K18" s="123">
        <f>IF(N(I18)&gt;0,ROUND(N(I18)*IVA_general,2),0)</f>
        <v/>
      </c>
      <c r="L18" s="122" t="n">
        <v>0</v>
      </c>
      <c r="M18" s="122" t="n">
        <v>0</v>
      </c>
      <c r="N18" s="123">
        <f>IF(SUM(I18:M18)=0,"",SUM(I18:M18))</f>
        <v/>
      </c>
      <c r="O18" s="124">
        <f>IF(A18="","",TEXT(A18,"yyyy-mm"))</f>
        <v/>
      </c>
      <c r="P18" s="121">
        <f>IF(A18="","",YEAR(A18))</f>
        <v/>
      </c>
      <c r="Q18" s="121">
        <f>IF(A18="","",MONTH(A18))</f>
        <v/>
      </c>
      <c r="R18" s="116" t="inlineStr">
        <is>
          <t>Emitida</t>
        </is>
      </c>
      <c r="S18" s="116" t="inlineStr">
        <is>
          <t>Pendiente</t>
        </is>
      </c>
      <c r="T18" s="120" t="n"/>
      <c r="U18" s="122" t="n">
        <v>0</v>
      </c>
      <c r="V18" s="123">
        <f>IF(B18="","",N18-U18)</f>
        <v/>
      </c>
      <c r="W18" s="116" t="inlineStr">
        <is>
          <t>Auto: 30717134180_006_00001_00000624 (2).pdf | OBRA SOCIAL DEL PERSONAL DE LUZ Y FUERZA DE CORDOBA</t>
        </is>
      </c>
      <c r="X18" s="125">
        <f>IF(B18="","",IF(LEFT(B18,2)="NC",-1,1))</f>
        <v/>
      </c>
      <c r="Y18" s="123">
        <f>IF(B18="",0,N(I18)*X18)</f>
        <v/>
      </c>
      <c r="Z18" s="123">
        <f>IF(B18="",0,N(J18)*X18)</f>
        <v/>
      </c>
      <c r="AA18" s="123">
        <f>IF(B18="",0,N(K18)*X18)</f>
        <v/>
      </c>
      <c r="AB18" s="123">
        <f>IF(B18="",0,N(L18)*X18)</f>
        <v/>
      </c>
      <c r="AC18" s="123">
        <f>IF(B18="",0,N(N18)*X18)</f>
        <v/>
      </c>
    </row>
    <row r="19" ht="15" customHeight="1" s="83">
      <c r="A19" s="120" t="n">
        <v>46147</v>
      </c>
      <c r="B19" s="116" t="inlineStr">
        <is>
          <t>B</t>
        </is>
      </c>
      <c r="C19" s="116" t="n">
        <v>1</v>
      </c>
      <c r="D19" s="116" t="n">
        <v>625</v>
      </c>
      <c r="E19" s="116" t="inlineStr">
        <is>
          <t>OSPLYF</t>
        </is>
      </c>
      <c r="F19" s="116" t="inlineStr">
        <is>
          <t>30565846538</t>
        </is>
      </c>
      <c r="G19" s="116" t="inlineStr">
        <is>
          <t>Extra Capita_ OSPLYFC Andrada</t>
        </is>
      </c>
      <c r="H19" s="121">
        <f>IF(G19="","",IF(ISNUMBER(SEARCH("CAPITA",UPPER(G19))),651110,IF(ISNUMBER(SEARCH("REFUERZO",UPPER(G19))),651110,IF(ISNUMBER(SEARCH("VACUNACION",UPPER(G19))),651110,IF(ISNUMBER(SEARCH("ENFERMERIA",UPPER(G19))),651110,IF(ISNUMBER(SEARCH("APORTES",UPPER(G19))),651110,IF(ISNUMBER(SEARCH("HONORARIOS",UPPER(G19))),702010,IF(ISNUMBER(SEARCH("ADMINISTRACION",UPPER(G19))),702010,IF(ISNUMBER(SEARCH("GERENCIAMIENTO",UPPER(G19))),702010,IF(ISNUMBER(SEARCH("ALQUILER",UPPER(G19))),702010,IF(ISNUMBER(SEARCH("AUDITORIA",UPPER(G19))),702010,IF(ISNUMBER(SEARCH("PRESTACIONAL",UPPER(G19))),702010,702010))))))))))))</f>
        <v/>
      </c>
      <c r="I19" s="122" t="n">
        <v>0</v>
      </c>
      <c r="J19" s="122" t="n">
        <v>4974900</v>
      </c>
      <c r="K19" s="123">
        <f>IF(N(I19)&gt;0,ROUND(N(I19)*IVA_general,2),0)</f>
        <v/>
      </c>
      <c r="L19" s="122" t="n">
        <v>0</v>
      </c>
      <c r="M19" s="122" t="n">
        <v>0</v>
      </c>
      <c r="N19" s="123">
        <f>IF(SUM(I19:M19)=0,"",SUM(I19:M19))</f>
        <v/>
      </c>
      <c r="O19" s="124">
        <f>IF(A19="","",TEXT(A19,"yyyy-mm"))</f>
        <v/>
      </c>
      <c r="P19" s="121">
        <f>IF(A19="","",YEAR(A19))</f>
        <v/>
      </c>
      <c r="Q19" s="121">
        <f>IF(A19="","",MONTH(A19))</f>
        <v/>
      </c>
      <c r="R19" s="116" t="inlineStr">
        <is>
          <t>Emitida</t>
        </is>
      </c>
      <c r="S19" s="116" t="inlineStr">
        <is>
          <t>Pendiente</t>
        </is>
      </c>
      <c r="T19" s="120" t="n"/>
      <c r="U19" s="122" t="n">
        <v>0</v>
      </c>
      <c r="V19" s="123">
        <f>IF(B19="","",N19-U19)</f>
        <v/>
      </c>
      <c r="W19" s="116" t="inlineStr">
        <is>
          <t>Auto: 30717134180_006_00001_00000625 (1).pdf | OBRA SOCIAL DEL PERSONAL DE LUZ Y FUERZA DE CORDOBA</t>
        </is>
      </c>
      <c r="X19" s="125">
        <f>IF(B19="","",IF(LEFT(B19,2)="NC",-1,1))</f>
        <v/>
      </c>
      <c r="Y19" s="123">
        <f>IF(B19="",0,N(I19)*X19)</f>
        <v/>
      </c>
      <c r="Z19" s="123">
        <f>IF(B19="",0,N(J19)*X19)</f>
        <v/>
      </c>
      <c r="AA19" s="123">
        <f>IF(B19="",0,N(K19)*X19)</f>
        <v/>
      </c>
      <c r="AB19" s="123">
        <f>IF(B19="",0,N(L19)*X19)</f>
        <v/>
      </c>
      <c r="AC19" s="123">
        <f>IF(B19="",0,N(N19)*X19)</f>
        <v/>
      </c>
    </row>
    <row r="20" ht="15" customHeight="1" s="83">
      <c r="A20" s="120" t="n">
        <v>46147</v>
      </c>
      <c r="B20" s="116" t="inlineStr">
        <is>
          <t>B</t>
        </is>
      </c>
      <c r="C20" s="116" t="n">
        <v>1</v>
      </c>
      <c r="D20" s="116" t="n">
        <v>626</v>
      </c>
      <c r="E20" s="116" t="inlineStr">
        <is>
          <t>OSPLYF</t>
        </is>
      </c>
      <c r="F20" s="116" t="inlineStr">
        <is>
          <t>30565846538</t>
        </is>
      </c>
      <c r="G20" s="116" t="inlineStr">
        <is>
          <t>Honorarios por servicio de auditoria de</t>
        </is>
      </c>
      <c r="H20" s="121">
        <f>IF(G20="","",IF(ISNUMBER(SEARCH("CAPITA",UPPER(G20))),651110,IF(ISNUMBER(SEARCH("REFUERZO",UPPER(G20))),651110,IF(ISNUMBER(SEARCH("VACUNACION",UPPER(G20))),651110,IF(ISNUMBER(SEARCH("ENFERMERIA",UPPER(G20))),651110,IF(ISNUMBER(SEARCH("APORTES",UPPER(G20))),651110,IF(ISNUMBER(SEARCH("HONORARIOS",UPPER(G20))),702010,IF(ISNUMBER(SEARCH("ADMINISTRACION",UPPER(G20))),702010,IF(ISNUMBER(SEARCH("GERENCIAMIENTO",UPPER(G20))),702010,IF(ISNUMBER(SEARCH("ALQUILER",UPPER(G20))),702010,IF(ISNUMBER(SEARCH("AUDITORIA",UPPER(G20))),702010,IF(ISNUMBER(SEARCH("PRESTACIONAL",UPPER(G20))),702010,702010))))))))))))</f>
        <v/>
      </c>
      <c r="I20" s="122" t="n">
        <v>0</v>
      </c>
      <c r="J20" s="122" t="n">
        <v>1973112</v>
      </c>
      <c r="K20" s="123">
        <f>IF(N(I20)&gt;0,ROUND(N(I20)*IVA_general,2),0)</f>
        <v/>
      </c>
      <c r="L20" s="122" t="n">
        <v>0</v>
      </c>
      <c r="M20" s="122" t="n">
        <v>0</v>
      </c>
      <c r="N20" s="123">
        <f>IF(SUM(I20:M20)=0,"",SUM(I20:M20))</f>
        <v/>
      </c>
      <c r="O20" s="124">
        <f>IF(A20="","",TEXT(A20,"yyyy-mm"))</f>
        <v/>
      </c>
      <c r="P20" s="121">
        <f>IF(A20="","",YEAR(A20))</f>
        <v/>
      </c>
      <c r="Q20" s="121">
        <f>IF(A20="","",MONTH(A20))</f>
        <v/>
      </c>
      <c r="R20" s="116" t="inlineStr">
        <is>
          <t>Emitida</t>
        </is>
      </c>
      <c r="S20" s="116" t="inlineStr">
        <is>
          <t>Pendiente</t>
        </is>
      </c>
      <c r="T20" s="120" t="n"/>
      <c r="U20" s="122" t="n">
        <v>0</v>
      </c>
      <c r="V20" s="123">
        <f>IF(B20="","",N20-U20)</f>
        <v/>
      </c>
      <c r="W20" s="116" t="inlineStr">
        <is>
          <t>Auto: 30717134180_006_00001_00000626 (1).pdf | OBRA SOCIAL DEL PERSONAL DE LUZ Y FUERZA DE CORDOBA</t>
        </is>
      </c>
      <c r="X20" s="125">
        <f>IF(B20="","",IF(LEFT(B20,2)="NC",-1,1))</f>
        <v/>
      </c>
      <c r="Y20" s="123">
        <f>IF(B20="",0,N(I20)*X20)</f>
        <v/>
      </c>
      <c r="Z20" s="123">
        <f>IF(B20="",0,N(J20)*X20)</f>
        <v/>
      </c>
      <c r="AA20" s="123">
        <f>IF(B20="",0,N(K20)*X20)</f>
        <v/>
      </c>
      <c r="AB20" s="123">
        <f>IF(B20="",0,N(L20)*X20)</f>
        <v/>
      </c>
      <c r="AC20" s="123">
        <f>IF(B20="",0,N(N20)*X20)</f>
        <v/>
      </c>
    </row>
    <row r="21" ht="15" customHeight="1" s="83">
      <c r="A21" s="126" t="n">
        <v>46152</v>
      </c>
      <c r="B21" s="127" t="inlineStr">
        <is>
          <t>B</t>
        </is>
      </c>
      <c r="C21" s="127" t="n">
        <v>1</v>
      </c>
      <c r="D21" s="127" t="n">
        <v>627</v>
      </c>
      <c r="E21" s="127" t="inlineStr">
        <is>
          <t>OSPEVIC</t>
        </is>
      </c>
      <c r="F21" s="127" t="inlineStr">
        <is>
          <t>30606579906</t>
        </is>
      </c>
      <c r="G21" s="127" t="inlineStr">
        <is>
          <t>Refuerzo de capita correspondiente al</t>
        </is>
      </c>
      <c r="H21" s="121">
        <f>IF(G21="","",IF(ISNUMBER(SEARCH("CAPITA",UPPER(G21))),651110,IF(ISNUMBER(SEARCH("REFUERZO",UPPER(G21))),651110,IF(ISNUMBER(SEARCH("VACUNACION",UPPER(G21))),651110,IF(ISNUMBER(SEARCH("ENFERMERIA",UPPER(G21))),651110,IF(ISNUMBER(SEARCH("APORTES",UPPER(G21))),651110,IF(ISNUMBER(SEARCH("HONORARIOS",UPPER(G21))),702010,IF(ISNUMBER(SEARCH("ADMINISTRACION",UPPER(G21))),702010,IF(ISNUMBER(SEARCH("GERENCIAMIENTO",UPPER(G21))),702010,IF(ISNUMBER(SEARCH("ALQUILER",UPPER(G21))),702010,IF(ISNUMBER(SEARCH("AUDITORIA",UPPER(G21))),702010,IF(ISNUMBER(SEARCH("PRESTACIONAL",UPPER(G21))),702010,702010))))))))))))</f>
        <v/>
      </c>
      <c r="I21" s="128" t="n">
        <v>0</v>
      </c>
      <c r="J21" s="128" t="n">
        <v>6000000</v>
      </c>
      <c r="K21" s="123">
        <f>IF(N(I21)&gt;0,ROUND(N(I21)*IVA_general,2),0)</f>
        <v/>
      </c>
      <c r="L21" s="128" t="n">
        <v>0</v>
      </c>
      <c r="M21" s="128" t="n">
        <v>0</v>
      </c>
      <c r="N21" s="123">
        <f>IF(SUM(I21:M21)=0,"",SUM(I21:M21))</f>
        <v/>
      </c>
      <c r="O21" s="124">
        <f>IF(A21="","",TEXT(A21,"yyyy-mm"))</f>
        <v/>
      </c>
      <c r="P21" s="121">
        <f>IF(A21="","",YEAR(A21))</f>
        <v/>
      </c>
      <c r="Q21" s="121">
        <f>IF(A21="","",MONTH(A21))</f>
        <v/>
      </c>
      <c r="R21" s="127" t="inlineStr">
        <is>
          <t>Emitida</t>
        </is>
      </c>
      <c r="S21" s="127" t="inlineStr">
        <is>
          <t>Pendiente</t>
        </is>
      </c>
      <c r="T21" s="120" t="n"/>
      <c r="U21" s="128" t="n">
        <v>0</v>
      </c>
      <c r="V21" s="123">
        <f>IF(B21="","",N21-U21)</f>
        <v/>
      </c>
      <c r="W21" s="116" t="inlineStr">
        <is>
          <t>Auto: 30717134180_006_00001_00000627.pdf | OBRA SOCIAL DEL PERSONAL DE VIGILANCIA Y SEGURIDAD COMERCIAL</t>
        </is>
      </c>
      <c r="X21" s="125">
        <f>IF(B21="","",IF(LEFT(B21,2)="NC",-1,1))</f>
        <v/>
      </c>
      <c r="Y21" s="123">
        <f>IF(B21="",0,N(I21)*X21)</f>
        <v/>
      </c>
      <c r="Z21" s="123">
        <f>IF(B21="",0,N(J21)*X21)</f>
        <v/>
      </c>
      <c r="AA21" s="123">
        <f>IF(B21="",0,N(K21)*X21)</f>
        <v/>
      </c>
      <c r="AB21" s="123">
        <f>IF(B21="",0,N(L21)*X21)</f>
        <v/>
      </c>
      <c r="AC21" s="123">
        <f>IF(B21="",0,N(N21)*X21)</f>
        <v/>
      </c>
    </row>
    <row r="22" ht="15" customHeight="1" s="83">
      <c r="A22" s="126" t="n">
        <v>46152</v>
      </c>
      <c r="B22" s="127" t="inlineStr">
        <is>
          <t>B</t>
        </is>
      </c>
      <c r="C22" s="127" t="n">
        <v>1</v>
      </c>
      <c r="D22" s="127" t="n">
        <v>628</v>
      </c>
      <c r="E22" s="127" t="inlineStr">
        <is>
          <t>OSPEVIC</t>
        </is>
      </c>
      <c r="F22" s="127" t="inlineStr">
        <is>
          <t>30606579906</t>
        </is>
      </c>
      <c r="G22" s="127" t="inlineStr">
        <is>
          <t>Refuerzo de capita correspondiente al</t>
        </is>
      </c>
      <c r="H22" s="121">
        <f>IF(G22="","",IF(ISNUMBER(SEARCH("CAPITA",UPPER(G22))),651110,IF(ISNUMBER(SEARCH("REFUERZO",UPPER(G22))),651110,IF(ISNUMBER(SEARCH("VACUNACION",UPPER(G22))),651110,IF(ISNUMBER(SEARCH("ENFERMERIA",UPPER(G22))),651110,IF(ISNUMBER(SEARCH("APORTES",UPPER(G22))),651110,IF(ISNUMBER(SEARCH("HONORARIOS",UPPER(G22))),702010,IF(ISNUMBER(SEARCH("ADMINISTRACION",UPPER(G22))),702010,IF(ISNUMBER(SEARCH("GERENCIAMIENTO",UPPER(G22))),702010,IF(ISNUMBER(SEARCH("ALQUILER",UPPER(G22))),702010,IF(ISNUMBER(SEARCH("AUDITORIA",UPPER(G22))),702010,IF(ISNUMBER(SEARCH("PRESTACIONAL",UPPER(G22))),702010,702010))))))))))))</f>
        <v/>
      </c>
      <c r="I22" s="128" t="n">
        <v>0</v>
      </c>
      <c r="J22" s="128" t="n">
        <v>6000000</v>
      </c>
      <c r="K22" s="123">
        <f>IF(N(I22)&gt;0,ROUND(N(I22)*IVA_general,2),0)</f>
        <v/>
      </c>
      <c r="L22" s="128" t="n">
        <v>0</v>
      </c>
      <c r="M22" s="128" t="n">
        <v>0</v>
      </c>
      <c r="N22" s="123">
        <f>IF(SUM(I22:M22)=0,"",SUM(I22:M22))</f>
        <v/>
      </c>
      <c r="O22" s="124">
        <f>IF(A22="","",TEXT(A22,"yyyy-mm"))</f>
        <v/>
      </c>
      <c r="P22" s="121">
        <f>IF(A22="","",YEAR(A22))</f>
        <v/>
      </c>
      <c r="Q22" s="121">
        <f>IF(A22="","",MONTH(A22))</f>
        <v/>
      </c>
      <c r="R22" s="127" t="inlineStr">
        <is>
          <t>Emitida</t>
        </is>
      </c>
      <c r="S22" s="127" t="inlineStr">
        <is>
          <t>Pendiente</t>
        </is>
      </c>
      <c r="T22" s="120" t="n"/>
      <c r="U22" s="128" t="n">
        <v>0</v>
      </c>
      <c r="V22" s="123">
        <f>IF(B22="","",N22-U22)</f>
        <v/>
      </c>
      <c r="W22" s="116" t="inlineStr">
        <is>
          <t>Auto: 30717134180_006_00001_00000628.pdf | OBRA SOCIAL DEL PERSONAL DE VIGILANCIA Y SEGURIDAD COMERCIAL</t>
        </is>
      </c>
      <c r="X22" s="125">
        <f>IF(B22="","",IF(LEFT(B22,2)="NC",-1,1))</f>
        <v/>
      </c>
      <c r="Y22" s="123">
        <f>IF(B22="",0,N(I22)*X22)</f>
        <v/>
      </c>
      <c r="Z22" s="123">
        <f>IF(B22="",0,N(J22)*X22)</f>
        <v/>
      </c>
      <c r="AA22" s="123">
        <f>IF(B22="",0,N(K22)*X22)</f>
        <v/>
      </c>
      <c r="AB22" s="123">
        <f>IF(B22="",0,N(L22)*X22)</f>
        <v/>
      </c>
      <c r="AC22" s="123">
        <f>IF(B22="",0,N(N22)*X22)</f>
        <v/>
      </c>
    </row>
    <row r="23" ht="15" customHeight="1" s="83">
      <c r="A23" s="126" t="n">
        <v>46152</v>
      </c>
      <c r="B23" s="127" t="inlineStr">
        <is>
          <t>A</t>
        </is>
      </c>
      <c r="C23" s="127" t="n">
        <v>1</v>
      </c>
      <c r="D23" s="127" t="n">
        <v>80</v>
      </c>
      <c r="E23" s="127" t="inlineStr">
        <is>
          <t>OSPIF</t>
        </is>
      </c>
      <c r="F23" s="127" t="inlineStr">
        <is>
          <t>30661691707</t>
        </is>
      </c>
      <c r="G23" s="127" t="inlineStr">
        <is>
          <t>Servicios prestacionales y de auditoria medica</t>
        </is>
      </c>
      <c r="H23" s="121">
        <f>IF(G23="","",IF(ISNUMBER(SEARCH("CAPITA",UPPER(G23))),651110,IF(ISNUMBER(SEARCH("REFUERZO",UPPER(G23))),651110,IF(ISNUMBER(SEARCH("VACUNACION",UPPER(G23))),651110,IF(ISNUMBER(SEARCH("ENFERMERIA",UPPER(G23))),651110,IF(ISNUMBER(SEARCH("APORTES",UPPER(G23))),651110,IF(ISNUMBER(SEARCH("HONORARIOS",UPPER(G23))),702010,IF(ISNUMBER(SEARCH("ADMINISTRACION",UPPER(G23))),702010,IF(ISNUMBER(SEARCH("GERENCIAMIENTO",UPPER(G23))),702010,IF(ISNUMBER(SEARCH("ALQUILER",UPPER(G23))),702010,IF(ISNUMBER(SEARCH("AUDITORIA",UPPER(G23))),702010,IF(ISNUMBER(SEARCH("PRESTACIONAL",UPPER(G23))),702010,702010))))))))))))</f>
        <v/>
      </c>
      <c r="I23" s="128" t="n">
        <v>0</v>
      </c>
      <c r="J23" s="128" t="n">
        <v>7347422.75</v>
      </c>
      <c r="K23" s="123">
        <f>IF(N(I23)&gt;0,ROUND(N(I23)*IVA_general,2),0)</f>
        <v/>
      </c>
      <c r="L23" s="128" t="n">
        <v>0</v>
      </c>
      <c r="M23" s="128" t="n">
        <v>0</v>
      </c>
      <c r="N23" s="123">
        <f>IF(SUM(I23:M23)=0,"",SUM(I23:M23))</f>
        <v/>
      </c>
      <c r="O23" s="124">
        <f>IF(A23="","",TEXT(A23,"yyyy-mm"))</f>
        <v/>
      </c>
      <c r="P23" s="121">
        <f>IF(A23="","",YEAR(A23))</f>
        <v/>
      </c>
      <c r="Q23" s="121">
        <f>IF(A23="","",MONTH(A23))</f>
        <v/>
      </c>
      <c r="R23" s="127" t="inlineStr">
        <is>
          <t>Emitida</t>
        </is>
      </c>
      <c r="S23" s="127" t="inlineStr">
        <is>
          <t>Pendiente</t>
        </is>
      </c>
      <c r="T23" s="120" t="n"/>
      <c r="U23" s="128" t="n">
        <v>0</v>
      </c>
      <c r="V23" s="123">
        <f>IF(B23="","",N23-U23)</f>
        <v/>
      </c>
      <c r="W23" s="127" t="inlineStr">
        <is>
          <t>Auto: 30717134180_001_00001_00000080.pdf | OBRA SOCIAL PARA EL PERSONAL DE LA INDUSTRIA FIDEERA</t>
        </is>
      </c>
      <c r="X23" s="125">
        <f>IF(B23="","",IF(LEFT(B23,2)="NC",-1,1))</f>
        <v/>
      </c>
      <c r="Y23" s="123">
        <f>IF(B23="",0,N(I23)*X23)</f>
        <v/>
      </c>
      <c r="Z23" s="123">
        <f>IF(B23="",0,N(J23)*X23)</f>
        <v/>
      </c>
      <c r="AA23" s="123">
        <f>IF(B23="",0,N(K23)*X23)</f>
        <v/>
      </c>
      <c r="AB23" s="123">
        <f>IF(B23="",0,N(L23)*X23)</f>
        <v/>
      </c>
      <c r="AC23" s="123">
        <f>IF(B23="",0,N(N23)*X23)</f>
        <v/>
      </c>
    </row>
    <row r="24" ht="15" customHeight="1" s="83">
      <c r="A24" s="126" t="n">
        <v>46152</v>
      </c>
      <c r="B24" s="127" t="inlineStr">
        <is>
          <t>A</t>
        </is>
      </c>
      <c r="C24" s="127" t="n">
        <v>1</v>
      </c>
      <c r="D24" s="127" t="n">
        <v>81</v>
      </c>
      <c r="E24" s="127" t="inlineStr">
        <is>
          <t>OSPIF</t>
        </is>
      </c>
      <c r="F24" s="127" t="inlineStr">
        <is>
          <t>30661691707</t>
        </is>
      </c>
      <c r="G24" s="127" t="inlineStr">
        <is>
          <t>Servicios prestacionales y de auditoria medica</t>
        </is>
      </c>
      <c r="H24" s="121">
        <f>IF(G24="","",IF(ISNUMBER(SEARCH("CAPITA",UPPER(G24))),651110,IF(ISNUMBER(SEARCH("REFUERZO",UPPER(G24))),651110,IF(ISNUMBER(SEARCH("VACUNACION",UPPER(G24))),651110,IF(ISNUMBER(SEARCH("ENFERMERIA",UPPER(G24))),651110,IF(ISNUMBER(SEARCH("APORTES",UPPER(G24))),651110,IF(ISNUMBER(SEARCH("HONORARIOS",UPPER(G24))),702010,IF(ISNUMBER(SEARCH("ADMINISTRACION",UPPER(G24))),702010,IF(ISNUMBER(SEARCH("GERENCIAMIENTO",UPPER(G24))),702010,IF(ISNUMBER(SEARCH("ALQUILER",UPPER(G24))),702010,IF(ISNUMBER(SEARCH("AUDITORIA",UPPER(G24))),702010,IF(ISNUMBER(SEARCH("PRESTACIONAL",UPPER(G24))),702010,702010))))))))))))</f>
        <v/>
      </c>
      <c r="I24" s="128" t="n">
        <v>0</v>
      </c>
      <c r="J24" s="128" t="n">
        <v>7347422.75</v>
      </c>
      <c r="K24" s="123">
        <f>IF(N(I24)&gt;0,ROUND(N(I24)*IVA_general,2),0)</f>
        <v/>
      </c>
      <c r="L24" s="128" t="n">
        <v>0</v>
      </c>
      <c r="M24" s="128" t="n">
        <v>0</v>
      </c>
      <c r="N24" s="123">
        <f>IF(SUM(I24:M24)=0,"",SUM(I24:M24))</f>
        <v/>
      </c>
      <c r="O24" s="124">
        <f>IF(A24="","",TEXT(A24,"yyyy-mm"))</f>
        <v/>
      </c>
      <c r="P24" s="121">
        <f>IF(A24="","",YEAR(A24))</f>
        <v/>
      </c>
      <c r="Q24" s="121">
        <f>IF(A24="","",MONTH(A24))</f>
        <v/>
      </c>
      <c r="R24" s="127" t="inlineStr">
        <is>
          <t>Emitida</t>
        </is>
      </c>
      <c r="S24" s="127" t="inlineStr">
        <is>
          <t>Pendiente</t>
        </is>
      </c>
      <c r="T24" s="120" t="n"/>
      <c r="U24" s="128" t="n">
        <v>0</v>
      </c>
      <c r="V24" s="123">
        <f>IF(B24="","",N24-U24)</f>
        <v/>
      </c>
      <c r="W24" s="127" t="inlineStr">
        <is>
          <t>Auto: 30717134180_001_00001_00000081.pdf | OBRA SOCIAL PARA EL PERSONAL DE LA INDUSTRIA FIDEERA</t>
        </is>
      </c>
      <c r="X24" s="125">
        <f>IF(B24="","",IF(LEFT(B24,2)="NC",-1,1))</f>
        <v/>
      </c>
      <c r="Y24" s="123">
        <f>IF(B24="",0,N(I24)*X24)</f>
        <v/>
      </c>
      <c r="Z24" s="123">
        <f>IF(B24="",0,N(J24)*X24)</f>
        <v/>
      </c>
      <c r="AA24" s="123">
        <f>IF(B24="",0,N(K24)*X24)</f>
        <v/>
      </c>
      <c r="AB24" s="123">
        <f>IF(B24="",0,N(L24)*X24)</f>
        <v/>
      </c>
      <c r="AC24" s="123">
        <f>IF(B24="",0,N(N24)*X24)</f>
        <v/>
      </c>
    </row>
    <row r="25" ht="15" customHeight="1" s="83">
      <c r="A25" s="126" t="n">
        <v>46153</v>
      </c>
      <c r="B25" s="127" t="inlineStr">
        <is>
          <t>A</t>
        </is>
      </c>
      <c r="C25" s="127" t="n">
        <v>1</v>
      </c>
      <c r="D25" s="127" t="n">
        <v>82</v>
      </c>
      <c r="E25" s="127" t="inlineStr">
        <is>
          <t>OSPIF</t>
        </is>
      </c>
      <c r="F25" s="127" t="inlineStr">
        <is>
          <t>30661691707</t>
        </is>
      </c>
      <c r="G25" s="127" t="inlineStr">
        <is>
          <t>Servicios medico asistenciales correspondientes</t>
        </is>
      </c>
      <c r="H25" s="121">
        <f>IF(G25="","",IF(ISNUMBER(SEARCH("CAPITA",UPPER(G25))),651110,IF(ISNUMBER(SEARCH("REFUERZO",UPPER(G25))),651110,IF(ISNUMBER(SEARCH("VACUNACION",UPPER(G25))),651110,IF(ISNUMBER(SEARCH("ENFERMERIA",UPPER(G25))),651110,IF(ISNUMBER(SEARCH("APORTES",UPPER(G25))),651110,IF(ISNUMBER(SEARCH("HONORARIOS",UPPER(G25))),702010,IF(ISNUMBER(SEARCH("ADMINISTRACION",UPPER(G25))),702010,IF(ISNUMBER(SEARCH("GERENCIAMIENTO",UPPER(G25))),702010,IF(ISNUMBER(SEARCH("ALQUILER",UPPER(G25))),702010,IF(ISNUMBER(SEARCH("AUDITORIA",UPPER(G25))),702010,IF(ISNUMBER(SEARCH("PRESTACIONAL",UPPER(G25))),702010,702010))))))))))))</f>
        <v/>
      </c>
      <c r="I25" s="128" t="n">
        <v>0</v>
      </c>
      <c r="J25" s="128" t="n">
        <v>57518139.16</v>
      </c>
      <c r="K25" s="123">
        <f>IF(N(I25)&gt;0,ROUND(N(I25)*IVA_general,2),0)</f>
        <v/>
      </c>
      <c r="L25" s="128" t="n">
        <v>0</v>
      </c>
      <c r="M25" s="128" t="n">
        <v>0</v>
      </c>
      <c r="N25" s="123">
        <f>IF(SUM(I25:M25)=0,"",SUM(I25:M25))</f>
        <v/>
      </c>
      <c r="O25" s="124">
        <f>IF(A25="","",TEXT(A25,"yyyy-mm"))</f>
        <v/>
      </c>
      <c r="P25" s="121">
        <f>IF(A25="","",YEAR(A25))</f>
        <v/>
      </c>
      <c r="Q25" s="121">
        <f>IF(A25="","",MONTH(A25))</f>
        <v/>
      </c>
      <c r="R25" s="127" t="inlineStr">
        <is>
          <t>Emitida</t>
        </is>
      </c>
      <c r="S25" s="127" t="inlineStr">
        <is>
          <t>Pendiente</t>
        </is>
      </c>
      <c r="T25" s="120" t="n"/>
      <c r="U25" s="128" t="n">
        <v>0</v>
      </c>
      <c r="V25" s="123">
        <f>IF(B25="","",N25-U25)</f>
        <v/>
      </c>
      <c r="W25" s="127" t="inlineStr">
        <is>
          <t>Auto: 30717134180_001_00001_00000082.pdf | OBRA SOCIAL PARA EL PERSONAL DE LA INDUSTRIA FIDEERA</t>
        </is>
      </c>
      <c r="X25" s="125">
        <f>IF(B25="","",IF(LEFT(B25,2)="NC",-1,1))</f>
        <v/>
      </c>
      <c r="Y25" s="123">
        <f>IF(B25="",0,N(I25)*X25)</f>
        <v/>
      </c>
      <c r="Z25" s="123">
        <f>IF(B25="",0,N(J25)*X25)</f>
        <v/>
      </c>
      <c r="AA25" s="123">
        <f>IF(B25="",0,N(K25)*X25)</f>
        <v/>
      </c>
      <c r="AB25" s="123">
        <f>IF(B25="",0,N(L25)*X25)</f>
        <v/>
      </c>
      <c r="AC25" s="123">
        <f>IF(B25="",0,N(N25)*X25)</f>
        <v/>
      </c>
    </row>
    <row r="26" ht="15" customHeight="1" s="83">
      <c r="A26" s="120" t="n"/>
      <c r="B26" s="116" t="n"/>
      <c r="C26" s="116" t="n"/>
      <c r="D26" s="116" t="n"/>
      <c r="E26" s="116" t="n"/>
      <c r="F26" s="116" t="n"/>
      <c r="G26" s="116" t="n"/>
      <c r="H26" s="121">
        <f>IF(G26="","",IF(ISNUMBER(SEARCH("CAPITA",UPPER(G26))),651110,IF(ISNUMBER(SEARCH("REFUERZO",UPPER(G26))),651110,IF(ISNUMBER(SEARCH("VACUNACION",UPPER(G26))),651110,IF(ISNUMBER(SEARCH("ENFERMERIA",UPPER(G26))),651110,IF(ISNUMBER(SEARCH("APORTES",UPPER(G26))),651110,IF(ISNUMBER(SEARCH("HONORARIOS",UPPER(G26))),702010,IF(ISNUMBER(SEARCH("ADMINISTRACION",UPPER(G26))),702010,IF(ISNUMBER(SEARCH("GERENCIAMIENTO",UPPER(G26))),702010,IF(ISNUMBER(SEARCH("ALQUILER",UPPER(G26))),702010,IF(ISNUMBER(SEARCH("AUDITORIA",UPPER(G26))),702010,IF(ISNUMBER(SEARCH("PRESTACIONAL",UPPER(G26))),702010,702010))))))))))))</f>
        <v/>
      </c>
      <c r="I26" s="122" t="n"/>
      <c r="J26" s="122" t="n"/>
      <c r="K26" s="123">
        <f>IF(N(I26)&gt;0,ROUND(N(I26)*IVA_general,2),0)</f>
        <v/>
      </c>
      <c r="L26" s="122" t="n">
        <v>0</v>
      </c>
      <c r="M26" s="122" t="n"/>
      <c r="N26" s="123">
        <f>IF(SUM(I26:M26)=0,"",SUM(I26:M26))</f>
        <v/>
      </c>
      <c r="O26" s="124">
        <f>IF(A26="","",TEXT(A26,"yyyy-mm"))</f>
        <v/>
      </c>
      <c r="P26" s="121">
        <f>IF(A26="","",YEAR(A26))</f>
        <v/>
      </c>
      <c r="Q26" s="121">
        <f>IF(A26="","",MONTH(A26))</f>
        <v/>
      </c>
      <c r="R26" s="116" t="n"/>
      <c r="S26" s="116" t="n"/>
      <c r="T26" s="120" t="n"/>
      <c r="U26" s="122" t="n">
        <v>0</v>
      </c>
      <c r="V26" s="123">
        <f>IF(B26="","",N26-U26)</f>
        <v/>
      </c>
      <c r="W26" s="116" t="n"/>
      <c r="X26" s="125">
        <f>IF(B26="","",IF(LEFT(B26,2)="NC",-1,1))</f>
        <v/>
      </c>
      <c r="Y26" s="123">
        <f>IF(B26="",0,N(I26)*X26)</f>
        <v/>
      </c>
      <c r="Z26" s="123">
        <f>IF(B26="",0,N(J26)*X26)</f>
        <v/>
      </c>
      <c r="AA26" s="123">
        <f>IF(B26="",0,N(K26)*X26)</f>
        <v/>
      </c>
      <c r="AB26" s="123">
        <f>IF(B26="",0,N(L26)*X26)</f>
        <v/>
      </c>
      <c r="AC26" s="123">
        <f>IF(B26="",0,N(N26)*X26)</f>
        <v/>
      </c>
    </row>
    <row r="27" ht="15" customHeight="1" s="83">
      <c r="A27" s="120" t="n"/>
      <c r="B27" s="116" t="n"/>
      <c r="C27" s="116" t="n"/>
      <c r="D27" s="116" t="n"/>
      <c r="E27" s="116" t="n"/>
      <c r="F27" s="116" t="n"/>
      <c r="G27" s="116" t="n"/>
      <c r="H27" s="121">
        <f>IF(G27="","",IF(ISNUMBER(SEARCH("CAPITA",UPPER(G27))),651110,IF(ISNUMBER(SEARCH("REFUERZO",UPPER(G27))),651110,IF(ISNUMBER(SEARCH("VACUNACION",UPPER(G27))),651110,IF(ISNUMBER(SEARCH("ENFERMERIA",UPPER(G27))),651110,IF(ISNUMBER(SEARCH("APORTES",UPPER(G27))),651110,IF(ISNUMBER(SEARCH("HONORARIOS",UPPER(G27))),702010,IF(ISNUMBER(SEARCH("ADMINISTRACION",UPPER(G27))),702010,IF(ISNUMBER(SEARCH("GERENCIAMIENTO",UPPER(G27))),702010,IF(ISNUMBER(SEARCH("ALQUILER",UPPER(G27))),702010,IF(ISNUMBER(SEARCH("AUDITORIA",UPPER(G27))),702010,IF(ISNUMBER(SEARCH("PRESTACIONAL",UPPER(G27))),702010,702010))))))))))))</f>
        <v/>
      </c>
      <c r="I27" s="122" t="n"/>
      <c r="J27" s="122" t="n"/>
      <c r="K27" s="123">
        <f>IF(N(I27)&gt;0,ROUND(N(I27)*IVA_general,2),0)</f>
        <v/>
      </c>
      <c r="L27" s="122" t="n">
        <v>0</v>
      </c>
      <c r="M27" s="122" t="n"/>
      <c r="N27" s="123">
        <f>IF(SUM(I27:M27)=0,"",SUM(I27:M27))</f>
        <v/>
      </c>
      <c r="O27" s="124">
        <f>IF(A27="","",TEXT(A27,"yyyy-mm"))</f>
        <v/>
      </c>
      <c r="P27" s="121">
        <f>IF(A27="","",YEAR(A27))</f>
        <v/>
      </c>
      <c r="Q27" s="121">
        <f>IF(A27="","",MONTH(A27))</f>
        <v/>
      </c>
      <c r="R27" s="116" t="n"/>
      <c r="S27" s="116" t="n"/>
      <c r="T27" s="120" t="n"/>
      <c r="U27" s="122" t="n">
        <v>0</v>
      </c>
      <c r="V27" s="123">
        <f>IF(B27="","",N27-U27)</f>
        <v/>
      </c>
      <c r="W27" s="116" t="n"/>
      <c r="X27" s="125">
        <f>IF(B27="","",IF(LEFT(B27,2)="NC",-1,1))</f>
        <v/>
      </c>
      <c r="Y27" s="123">
        <f>IF(B27="",0,N(I27)*X27)</f>
        <v/>
      </c>
      <c r="Z27" s="123">
        <f>IF(B27="",0,N(J27)*X27)</f>
        <v/>
      </c>
      <c r="AA27" s="123">
        <f>IF(B27="",0,N(K27)*X27)</f>
        <v/>
      </c>
      <c r="AB27" s="123">
        <f>IF(B27="",0,N(L27)*X27)</f>
        <v/>
      </c>
      <c r="AC27" s="123">
        <f>IF(B27="",0,N(N27)*X27)</f>
        <v/>
      </c>
    </row>
    <row r="28" ht="15" customHeight="1" s="83">
      <c r="A28" s="120" t="n"/>
      <c r="B28" s="116" t="n"/>
      <c r="C28" s="116" t="n"/>
      <c r="D28" s="116" t="n"/>
      <c r="E28" s="116" t="n"/>
      <c r="F28" s="116" t="n"/>
      <c r="G28" s="116" t="n"/>
      <c r="H28" s="121">
        <f>IF(G28="","",IF(ISNUMBER(SEARCH("CAPITA",UPPER(G28))),651110,IF(ISNUMBER(SEARCH("REFUERZO",UPPER(G28))),651110,IF(ISNUMBER(SEARCH("VACUNACION",UPPER(G28))),651110,IF(ISNUMBER(SEARCH("ENFERMERIA",UPPER(G28))),651110,IF(ISNUMBER(SEARCH("APORTES",UPPER(G28))),651110,IF(ISNUMBER(SEARCH("HONORARIOS",UPPER(G28))),702010,IF(ISNUMBER(SEARCH("ADMINISTRACION",UPPER(G28))),702010,IF(ISNUMBER(SEARCH("GERENCIAMIENTO",UPPER(G28))),702010,IF(ISNUMBER(SEARCH("ALQUILER",UPPER(G28))),702010,IF(ISNUMBER(SEARCH("AUDITORIA",UPPER(G28))),702010,IF(ISNUMBER(SEARCH("PRESTACIONAL",UPPER(G28))),702010,702010))))))))))))</f>
        <v/>
      </c>
      <c r="I28" s="122" t="n"/>
      <c r="J28" s="122" t="n"/>
      <c r="K28" s="123">
        <f>IF(N(I28)&gt;0,ROUND(N(I28)*IVA_general,2),0)</f>
        <v/>
      </c>
      <c r="L28" s="122" t="n">
        <v>0</v>
      </c>
      <c r="M28" s="122" t="n"/>
      <c r="N28" s="123">
        <f>IF(SUM(I28:M28)=0,"",SUM(I28:M28))</f>
        <v/>
      </c>
      <c r="O28" s="124">
        <f>IF(A28="","",TEXT(A28,"yyyy-mm"))</f>
        <v/>
      </c>
      <c r="P28" s="121">
        <f>IF(A28="","",YEAR(A28))</f>
        <v/>
      </c>
      <c r="Q28" s="121">
        <f>IF(A28="","",MONTH(A28))</f>
        <v/>
      </c>
      <c r="R28" s="116" t="n"/>
      <c r="S28" s="116" t="n"/>
      <c r="T28" s="120" t="n"/>
      <c r="U28" s="122" t="n">
        <v>0</v>
      </c>
      <c r="V28" s="123">
        <f>IF(B28="","",N28-U28)</f>
        <v/>
      </c>
      <c r="W28" s="116" t="n"/>
      <c r="X28" s="125">
        <f>IF(B28="","",IF(LEFT(B28,2)="NC",-1,1))</f>
        <v/>
      </c>
      <c r="Y28" s="123">
        <f>IF(B28="",0,N(I28)*X28)</f>
        <v/>
      </c>
      <c r="Z28" s="123">
        <f>IF(B28="",0,N(J28)*X28)</f>
        <v/>
      </c>
      <c r="AA28" s="123">
        <f>IF(B28="",0,N(K28)*X28)</f>
        <v/>
      </c>
      <c r="AB28" s="123">
        <f>IF(B28="",0,N(L28)*X28)</f>
        <v/>
      </c>
      <c r="AC28" s="123">
        <f>IF(B28="",0,N(N28)*X28)</f>
        <v/>
      </c>
    </row>
    <row r="29" ht="15" customHeight="1" s="83">
      <c r="A29" s="120" t="n"/>
      <c r="B29" s="116" t="n"/>
      <c r="C29" s="116" t="n"/>
      <c r="D29" s="116" t="n"/>
      <c r="E29" s="116" t="n"/>
      <c r="F29" s="116" t="n"/>
      <c r="G29" s="116" t="n"/>
      <c r="H29" s="121">
        <f>IF(G29="","",IF(ISNUMBER(SEARCH("CAPITA",UPPER(G29))),651110,IF(ISNUMBER(SEARCH("REFUERZO",UPPER(G29))),651110,IF(ISNUMBER(SEARCH("VACUNACION",UPPER(G29))),651110,IF(ISNUMBER(SEARCH("ENFERMERIA",UPPER(G29))),651110,IF(ISNUMBER(SEARCH("APORTES",UPPER(G29))),651110,IF(ISNUMBER(SEARCH("HONORARIOS",UPPER(G29))),702010,IF(ISNUMBER(SEARCH("ADMINISTRACION",UPPER(G29))),702010,IF(ISNUMBER(SEARCH("GERENCIAMIENTO",UPPER(G29))),702010,IF(ISNUMBER(SEARCH("ALQUILER",UPPER(G29))),702010,IF(ISNUMBER(SEARCH("AUDITORIA",UPPER(G29))),702010,IF(ISNUMBER(SEARCH("PRESTACIONAL",UPPER(G29))),702010,702010))))))))))))</f>
        <v/>
      </c>
      <c r="I29" s="122" t="n"/>
      <c r="J29" s="122" t="n"/>
      <c r="K29" s="123">
        <f>IF(N(I29)&gt;0,ROUND(N(I29)*IVA_general,2),0)</f>
        <v/>
      </c>
      <c r="L29" s="122" t="n">
        <v>0</v>
      </c>
      <c r="M29" s="122" t="n"/>
      <c r="N29" s="123">
        <f>IF(SUM(I29:M29)=0,"",SUM(I29:M29))</f>
        <v/>
      </c>
      <c r="O29" s="124">
        <f>IF(A29="","",TEXT(A29,"yyyy-mm"))</f>
        <v/>
      </c>
      <c r="P29" s="121">
        <f>IF(A29="","",YEAR(A29))</f>
        <v/>
      </c>
      <c r="Q29" s="121">
        <f>IF(A29="","",MONTH(A29))</f>
        <v/>
      </c>
      <c r="R29" s="116" t="n"/>
      <c r="S29" s="116" t="n"/>
      <c r="T29" s="120" t="n"/>
      <c r="U29" s="122" t="n">
        <v>0</v>
      </c>
      <c r="V29" s="123">
        <f>IF(B29="","",N29-U29)</f>
        <v/>
      </c>
      <c r="W29" s="116" t="n"/>
      <c r="X29" s="125">
        <f>IF(B29="","",IF(LEFT(B29,2)="NC",-1,1))</f>
        <v/>
      </c>
      <c r="Y29" s="123">
        <f>IF(B29="",0,N(I29)*X29)</f>
        <v/>
      </c>
      <c r="Z29" s="123">
        <f>IF(B29="",0,N(J29)*X29)</f>
        <v/>
      </c>
      <c r="AA29" s="123">
        <f>IF(B29="",0,N(K29)*X29)</f>
        <v/>
      </c>
      <c r="AB29" s="123">
        <f>IF(B29="",0,N(L29)*X29)</f>
        <v/>
      </c>
      <c r="AC29" s="123">
        <f>IF(B29="",0,N(N29)*X29)</f>
        <v/>
      </c>
    </row>
    <row r="30" ht="15" customHeight="1" s="83">
      <c r="A30" s="120" t="n"/>
      <c r="B30" s="116" t="n"/>
      <c r="C30" s="116" t="n"/>
      <c r="D30" s="116" t="n"/>
      <c r="E30" s="116" t="n"/>
      <c r="F30" s="116" t="n"/>
      <c r="G30" s="116" t="n"/>
      <c r="H30" s="121">
        <f>IF(G30="","",IF(ISNUMBER(SEARCH("CAPITA",UPPER(G30))),651110,IF(ISNUMBER(SEARCH("REFUERZO",UPPER(G30))),651110,IF(ISNUMBER(SEARCH("VACUNACION",UPPER(G30))),651110,IF(ISNUMBER(SEARCH("ENFERMERIA",UPPER(G30))),651110,IF(ISNUMBER(SEARCH("APORTES",UPPER(G30))),651110,IF(ISNUMBER(SEARCH("HONORARIOS",UPPER(G30))),702010,IF(ISNUMBER(SEARCH("ADMINISTRACION",UPPER(G30))),702010,IF(ISNUMBER(SEARCH("GERENCIAMIENTO",UPPER(G30))),702010,IF(ISNUMBER(SEARCH("ALQUILER",UPPER(G30))),702010,IF(ISNUMBER(SEARCH("AUDITORIA",UPPER(G30))),702010,IF(ISNUMBER(SEARCH("PRESTACIONAL",UPPER(G30))),702010,702010))))))))))))</f>
        <v/>
      </c>
      <c r="I30" s="122" t="n"/>
      <c r="J30" s="122" t="n"/>
      <c r="K30" s="123">
        <f>IF(N(I30)&gt;0,ROUND(N(I30)*IVA_general,2),0)</f>
        <v/>
      </c>
      <c r="L30" s="122" t="n">
        <v>0</v>
      </c>
      <c r="M30" s="122" t="n"/>
      <c r="N30" s="123">
        <f>IF(SUM(I30:M30)=0,"",SUM(I30:M30))</f>
        <v/>
      </c>
      <c r="O30" s="124">
        <f>IF(A30="","",TEXT(A30,"yyyy-mm"))</f>
        <v/>
      </c>
      <c r="P30" s="121">
        <f>IF(A30="","",YEAR(A30))</f>
        <v/>
      </c>
      <c r="Q30" s="121">
        <f>IF(A30="","",MONTH(A30))</f>
        <v/>
      </c>
      <c r="R30" s="116" t="n"/>
      <c r="S30" s="116" t="n"/>
      <c r="T30" s="120" t="n"/>
      <c r="U30" s="122" t="n">
        <v>0</v>
      </c>
      <c r="V30" s="123">
        <f>IF(B30="","",N30-U30)</f>
        <v/>
      </c>
      <c r="W30" s="116" t="n"/>
      <c r="X30" s="125">
        <f>IF(B30="","",IF(LEFT(B30,2)="NC",-1,1))</f>
        <v/>
      </c>
      <c r="Y30" s="123">
        <f>IF(B30="",0,N(I30)*X30)</f>
        <v/>
      </c>
      <c r="Z30" s="123">
        <f>IF(B30="",0,N(J30)*X30)</f>
        <v/>
      </c>
      <c r="AA30" s="123">
        <f>IF(B30="",0,N(K30)*X30)</f>
        <v/>
      </c>
      <c r="AB30" s="123">
        <f>IF(B30="",0,N(L30)*X30)</f>
        <v/>
      </c>
      <c r="AC30" s="123">
        <f>IF(B30="",0,N(N30)*X30)</f>
        <v/>
      </c>
    </row>
    <row r="31" ht="15" customHeight="1" s="83">
      <c r="A31" s="120" t="n"/>
      <c r="B31" s="116" t="n"/>
      <c r="C31" s="116" t="n"/>
      <c r="D31" s="116" t="n"/>
      <c r="E31" s="116" t="n"/>
      <c r="F31" s="116" t="n"/>
      <c r="G31" s="116" t="n"/>
      <c r="H31" s="121">
        <f>IF(G31="","",IF(ISNUMBER(SEARCH("CAPITA",UPPER(G31))),651110,IF(ISNUMBER(SEARCH("REFUERZO",UPPER(G31))),651110,IF(ISNUMBER(SEARCH("VACUNACION",UPPER(G31))),651110,IF(ISNUMBER(SEARCH("ENFERMERIA",UPPER(G31))),651110,IF(ISNUMBER(SEARCH("APORTES",UPPER(G31))),651110,IF(ISNUMBER(SEARCH("HONORARIOS",UPPER(G31))),702010,IF(ISNUMBER(SEARCH("ADMINISTRACION",UPPER(G31))),702010,IF(ISNUMBER(SEARCH("GERENCIAMIENTO",UPPER(G31))),702010,IF(ISNUMBER(SEARCH("ALQUILER",UPPER(G31))),702010,IF(ISNUMBER(SEARCH("AUDITORIA",UPPER(G31))),702010,IF(ISNUMBER(SEARCH("PRESTACIONAL",UPPER(G31))),702010,702010))))))))))))</f>
        <v/>
      </c>
      <c r="I31" s="122" t="n"/>
      <c r="J31" s="122" t="n"/>
      <c r="K31" s="123">
        <f>IF(N(I31)&gt;0,ROUND(N(I31)*IVA_general,2),0)</f>
        <v/>
      </c>
      <c r="L31" s="122" t="n">
        <v>0</v>
      </c>
      <c r="M31" s="122" t="n"/>
      <c r="N31" s="123">
        <f>IF(SUM(I31:M31)=0,"",SUM(I31:M31))</f>
        <v/>
      </c>
      <c r="O31" s="124">
        <f>IF(A31="","",TEXT(A31,"yyyy-mm"))</f>
        <v/>
      </c>
      <c r="P31" s="121">
        <f>IF(A31="","",YEAR(A31))</f>
        <v/>
      </c>
      <c r="Q31" s="121">
        <f>IF(A31="","",MONTH(A31))</f>
        <v/>
      </c>
      <c r="R31" s="116" t="n"/>
      <c r="S31" s="116" t="n"/>
      <c r="T31" s="120" t="n"/>
      <c r="U31" s="122" t="n">
        <v>0</v>
      </c>
      <c r="V31" s="123">
        <f>IF(B31="","",N31-U31)</f>
        <v/>
      </c>
      <c r="W31" s="116" t="n"/>
      <c r="X31" s="125">
        <f>IF(B31="","",IF(LEFT(B31,2)="NC",-1,1))</f>
        <v/>
      </c>
      <c r="Y31" s="123">
        <f>IF(B31="",0,N(I31)*X31)</f>
        <v/>
      </c>
      <c r="Z31" s="123">
        <f>IF(B31="",0,N(J31)*X31)</f>
        <v/>
      </c>
      <c r="AA31" s="123">
        <f>IF(B31="",0,N(K31)*X31)</f>
        <v/>
      </c>
      <c r="AB31" s="123">
        <f>IF(B31="",0,N(L31)*X31)</f>
        <v/>
      </c>
      <c r="AC31" s="123">
        <f>IF(B31="",0,N(N31)*X31)</f>
        <v/>
      </c>
    </row>
    <row r="32" ht="15" customHeight="1" s="83">
      <c r="A32" s="120" t="n"/>
      <c r="B32" s="116" t="n"/>
      <c r="C32" s="116" t="n"/>
      <c r="D32" s="116" t="n"/>
      <c r="E32" s="116" t="n"/>
      <c r="F32" s="116" t="n"/>
      <c r="G32" s="116" t="n"/>
      <c r="H32" s="121">
        <f>IF(G32="","",IF(ISNUMBER(SEARCH("CAPITA",UPPER(G32))),651110,IF(ISNUMBER(SEARCH("REFUERZO",UPPER(G32))),651110,IF(ISNUMBER(SEARCH("VACUNACION",UPPER(G32))),651110,IF(ISNUMBER(SEARCH("ENFERMERIA",UPPER(G32))),651110,IF(ISNUMBER(SEARCH("APORTES",UPPER(G32))),651110,IF(ISNUMBER(SEARCH("HONORARIOS",UPPER(G32))),702010,IF(ISNUMBER(SEARCH("ADMINISTRACION",UPPER(G32))),702010,IF(ISNUMBER(SEARCH("GERENCIAMIENTO",UPPER(G32))),702010,IF(ISNUMBER(SEARCH("ALQUILER",UPPER(G32))),702010,IF(ISNUMBER(SEARCH("AUDITORIA",UPPER(G32))),702010,IF(ISNUMBER(SEARCH("PRESTACIONAL",UPPER(G32))),702010,702010))))))))))))</f>
        <v/>
      </c>
      <c r="I32" s="122" t="n"/>
      <c r="J32" s="122" t="n"/>
      <c r="K32" s="123">
        <f>IF(N(I32)&gt;0,ROUND(N(I32)*IVA_general,2),0)</f>
        <v/>
      </c>
      <c r="L32" s="122" t="n">
        <v>0</v>
      </c>
      <c r="M32" s="122" t="n"/>
      <c r="N32" s="123">
        <f>IF(SUM(I32:M32)=0,"",SUM(I32:M32))</f>
        <v/>
      </c>
      <c r="O32" s="124">
        <f>IF(A32="","",TEXT(A32,"yyyy-mm"))</f>
        <v/>
      </c>
      <c r="P32" s="121">
        <f>IF(A32="","",YEAR(A32))</f>
        <v/>
      </c>
      <c r="Q32" s="121">
        <f>IF(A32="","",MONTH(A32))</f>
        <v/>
      </c>
      <c r="R32" s="116" t="n"/>
      <c r="S32" s="116" t="n"/>
      <c r="T32" s="120" t="n"/>
      <c r="U32" s="122" t="n">
        <v>0</v>
      </c>
      <c r="V32" s="123">
        <f>IF(B32="","",N32-U32)</f>
        <v/>
      </c>
      <c r="W32" s="116" t="n"/>
      <c r="X32" s="125">
        <f>IF(B32="","",IF(LEFT(B32,2)="NC",-1,1))</f>
        <v/>
      </c>
      <c r="Y32" s="123">
        <f>IF(B32="",0,N(I32)*X32)</f>
        <v/>
      </c>
      <c r="Z32" s="123">
        <f>IF(B32="",0,N(J32)*X32)</f>
        <v/>
      </c>
      <c r="AA32" s="123">
        <f>IF(B32="",0,N(K32)*X32)</f>
        <v/>
      </c>
      <c r="AB32" s="123">
        <f>IF(B32="",0,N(L32)*X32)</f>
        <v/>
      </c>
      <c r="AC32" s="123">
        <f>IF(B32="",0,N(N32)*X32)</f>
        <v/>
      </c>
    </row>
    <row r="33" ht="15" customHeight="1" s="83">
      <c r="A33" s="120" t="n"/>
      <c r="B33" s="116" t="n"/>
      <c r="C33" s="116" t="n"/>
      <c r="D33" s="116" t="n"/>
      <c r="E33" s="116" t="n"/>
      <c r="F33" s="116" t="n"/>
      <c r="G33" s="116" t="n"/>
      <c r="H33" s="121">
        <f>IF(G33="","",IF(ISNUMBER(SEARCH("CAPITA",UPPER(G33))),651110,IF(ISNUMBER(SEARCH("REFUERZO",UPPER(G33))),651110,IF(ISNUMBER(SEARCH("VACUNACION",UPPER(G33))),651110,IF(ISNUMBER(SEARCH("ENFERMERIA",UPPER(G33))),651110,IF(ISNUMBER(SEARCH("APORTES",UPPER(G33))),651110,IF(ISNUMBER(SEARCH("HONORARIOS",UPPER(G33))),702010,IF(ISNUMBER(SEARCH("ADMINISTRACION",UPPER(G33))),702010,IF(ISNUMBER(SEARCH("GERENCIAMIENTO",UPPER(G33))),702010,IF(ISNUMBER(SEARCH("ALQUILER",UPPER(G33))),702010,IF(ISNUMBER(SEARCH("AUDITORIA",UPPER(G33))),702010,IF(ISNUMBER(SEARCH("PRESTACIONAL",UPPER(G33))),702010,702010))))))))))))</f>
        <v/>
      </c>
      <c r="I33" s="122" t="n"/>
      <c r="J33" s="122" t="n"/>
      <c r="K33" s="123">
        <f>IF(N(I33)&gt;0,ROUND(N(I33)*IVA_general,2),0)</f>
        <v/>
      </c>
      <c r="L33" s="122" t="n">
        <v>0</v>
      </c>
      <c r="M33" s="122" t="n"/>
      <c r="N33" s="123">
        <f>IF(SUM(I33:M33)=0,"",SUM(I33:M33))</f>
        <v/>
      </c>
      <c r="O33" s="124">
        <f>IF(A33="","",TEXT(A33,"yyyy-mm"))</f>
        <v/>
      </c>
      <c r="P33" s="121">
        <f>IF(A33="","",YEAR(A33))</f>
        <v/>
      </c>
      <c r="Q33" s="121">
        <f>IF(A33="","",MONTH(A33))</f>
        <v/>
      </c>
      <c r="R33" s="116" t="n"/>
      <c r="S33" s="116" t="n"/>
      <c r="T33" s="120" t="n"/>
      <c r="U33" s="122" t="n">
        <v>0</v>
      </c>
      <c r="V33" s="123">
        <f>IF(B33="","",N33-U33)</f>
        <v/>
      </c>
      <c r="W33" s="116" t="n"/>
      <c r="X33" s="125">
        <f>IF(B33="","",IF(LEFT(B33,2)="NC",-1,1))</f>
        <v/>
      </c>
      <c r="Y33" s="123">
        <f>IF(B33="",0,N(I33)*X33)</f>
        <v/>
      </c>
      <c r="Z33" s="123">
        <f>IF(B33="",0,N(J33)*X33)</f>
        <v/>
      </c>
      <c r="AA33" s="123">
        <f>IF(B33="",0,N(K33)*X33)</f>
        <v/>
      </c>
      <c r="AB33" s="123">
        <f>IF(B33="",0,N(L33)*X33)</f>
        <v/>
      </c>
      <c r="AC33" s="123">
        <f>IF(B33="",0,N(N33)*X33)</f>
        <v/>
      </c>
    </row>
    <row r="34" ht="15" customHeight="1" s="83">
      <c r="A34" s="120" t="n"/>
      <c r="B34" s="116" t="n"/>
      <c r="C34" s="116" t="n"/>
      <c r="D34" s="116" t="n"/>
      <c r="E34" s="116" t="n"/>
      <c r="F34" s="116" t="n"/>
      <c r="G34" s="116" t="n"/>
      <c r="H34" s="121">
        <f>IF(G34="","",IF(ISNUMBER(SEARCH("CAPITA",UPPER(G34))),651110,IF(ISNUMBER(SEARCH("REFUERZO",UPPER(G34))),651110,IF(ISNUMBER(SEARCH("VACUNACION",UPPER(G34))),651110,IF(ISNUMBER(SEARCH("ENFERMERIA",UPPER(G34))),651110,IF(ISNUMBER(SEARCH("APORTES",UPPER(G34))),651110,IF(ISNUMBER(SEARCH("HONORARIOS",UPPER(G34))),702010,IF(ISNUMBER(SEARCH("ADMINISTRACION",UPPER(G34))),702010,IF(ISNUMBER(SEARCH("GERENCIAMIENTO",UPPER(G34))),702010,IF(ISNUMBER(SEARCH("ALQUILER",UPPER(G34))),702010,IF(ISNUMBER(SEARCH("AUDITORIA",UPPER(G34))),702010,IF(ISNUMBER(SEARCH("PRESTACIONAL",UPPER(G34))),702010,702010))))))))))))</f>
        <v/>
      </c>
      <c r="I34" s="122" t="n"/>
      <c r="J34" s="122" t="n"/>
      <c r="K34" s="123">
        <f>IF(N(I34)&gt;0,ROUND(N(I34)*IVA_general,2),0)</f>
        <v/>
      </c>
      <c r="L34" s="122" t="n">
        <v>0</v>
      </c>
      <c r="M34" s="122" t="n"/>
      <c r="N34" s="123">
        <f>IF(SUM(I34:M34)=0,"",SUM(I34:M34))</f>
        <v/>
      </c>
      <c r="O34" s="124">
        <f>IF(A34="","",TEXT(A34,"yyyy-mm"))</f>
        <v/>
      </c>
      <c r="P34" s="121">
        <f>IF(A34="","",YEAR(A34))</f>
        <v/>
      </c>
      <c r="Q34" s="121">
        <f>IF(A34="","",MONTH(A34))</f>
        <v/>
      </c>
      <c r="R34" s="116" t="n"/>
      <c r="S34" s="116" t="n"/>
      <c r="T34" s="120" t="n"/>
      <c r="U34" s="122" t="n">
        <v>0</v>
      </c>
      <c r="V34" s="123">
        <f>IF(B34="","",N34-U34)</f>
        <v/>
      </c>
      <c r="W34" s="116" t="n"/>
      <c r="X34" s="125">
        <f>IF(B34="","",IF(LEFT(B34,2)="NC",-1,1))</f>
        <v/>
      </c>
      <c r="Y34" s="123">
        <f>IF(B34="",0,N(I34)*X34)</f>
        <v/>
      </c>
      <c r="Z34" s="123">
        <f>IF(B34="",0,N(J34)*X34)</f>
        <v/>
      </c>
      <c r="AA34" s="123">
        <f>IF(B34="",0,N(K34)*X34)</f>
        <v/>
      </c>
      <c r="AB34" s="123">
        <f>IF(B34="",0,N(L34)*X34)</f>
        <v/>
      </c>
      <c r="AC34" s="123">
        <f>IF(B34="",0,N(N34)*X34)</f>
        <v/>
      </c>
    </row>
    <row r="35" ht="15" customHeight="1" s="83">
      <c r="A35" s="120" t="n"/>
      <c r="B35" s="116" t="n"/>
      <c r="C35" s="116" t="n"/>
      <c r="D35" s="116" t="n"/>
      <c r="E35" s="116" t="n"/>
      <c r="F35" s="116" t="n"/>
      <c r="G35" s="116" t="n"/>
      <c r="H35" s="121">
        <f>IF(G35="","",IF(ISNUMBER(SEARCH("CAPITA",UPPER(G35))),651110,IF(ISNUMBER(SEARCH("REFUERZO",UPPER(G35))),651110,IF(ISNUMBER(SEARCH("VACUNACION",UPPER(G35))),651110,IF(ISNUMBER(SEARCH("ENFERMERIA",UPPER(G35))),651110,IF(ISNUMBER(SEARCH("APORTES",UPPER(G35))),651110,IF(ISNUMBER(SEARCH("HONORARIOS",UPPER(G35))),702010,IF(ISNUMBER(SEARCH("ADMINISTRACION",UPPER(G35))),702010,IF(ISNUMBER(SEARCH("GERENCIAMIENTO",UPPER(G35))),702010,IF(ISNUMBER(SEARCH("ALQUILER",UPPER(G35))),702010,IF(ISNUMBER(SEARCH("AUDITORIA",UPPER(G35))),702010,IF(ISNUMBER(SEARCH("PRESTACIONAL",UPPER(G35))),702010,702010))))))))))))</f>
        <v/>
      </c>
      <c r="I35" s="122" t="n"/>
      <c r="J35" s="122" t="n"/>
      <c r="K35" s="123">
        <f>IF(N(I35)&gt;0,ROUND(N(I35)*IVA_general,2),0)</f>
        <v/>
      </c>
      <c r="L35" s="122" t="n">
        <v>0</v>
      </c>
      <c r="M35" s="122" t="n"/>
      <c r="N35" s="123">
        <f>IF(SUM(I35:M35)=0,"",SUM(I35:M35))</f>
        <v/>
      </c>
      <c r="O35" s="124">
        <f>IF(A35="","",TEXT(A35,"yyyy-mm"))</f>
        <v/>
      </c>
      <c r="P35" s="121">
        <f>IF(A35="","",YEAR(A35))</f>
        <v/>
      </c>
      <c r="Q35" s="121">
        <f>IF(A35="","",MONTH(A35))</f>
        <v/>
      </c>
      <c r="R35" s="116" t="n"/>
      <c r="S35" s="116" t="n"/>
      <c r="T35" s="120" t="n"/>
      <c r="U35" s="122" t="n">
        <v>0</v>
      </c>
      <c r="V35" s="123">
        <f>IF(B35="","",N35-U35)</f>
        <v/>
      </c>
      <c r="W35" s="116" t="n"/>
      <c r="X35" s="125">
        <f>IF(B35="","",IF(LEFT(B35,2)="NC",-1,1))</f>
        <v/>
      </c>
      <c r="Y35" s="123">
        <f>IF(B35="",0,N(I35)*X35)</f>
        <v/>
      </c>
      <c r="Z35" s="123">
        <f>IF(B35="",0,N(J35)*X35)</f>
        <v/>
      </c>
      <c r="AA35" s="123">
        <f>IF(B35="",0,N(K35)*X35)</f>
        <v/>
      </c>
      <c r="AB35" s="123">
        <f>IF(B35="",0,N(L35)*X35)</f>
        <v/>
      </c>
      <c r="AC35" s="123">
        <f>IF(B35="",0,N(N35)*X35)</f>
        <v/>
      </c>
    </row>
    <row r="36" ht="15" customHeight="1" s="83">
      <c r="A36" s="120" t="n"/>
      <c r="B36" s="116" t="n"/>
      <c r="C36" s="116" t="n"/>
      <c r="D36" s="116" t="n"/>
      <c r="E36" s="116" t="n"/>
      <c r="F36" s="116" t="n"/>
      <c r="G36" s="116" t="n"/>
      <c r="H36" s="121">
        <f>IF(G36="","",IF(ISNUMBER(SEARCH("CAPITA",UPPER(G36))),651110,IF(ISNUMBER(SEARCH("REFUERZO",UPPER(G36))),651110,IF(ISNUMBER(SEARCH("VACUNACION",UPPER(G36))),651110,IF(ISNUMBER(SEARCH("ENFERMERIA",UPPER(G36))),651110,IF(ISNUMBER(SEARCH("APORTES",UPPER(G36))),651110,IF(ISNUMBER(SEARCH("HONORARIOS",UPPER(G36))),702010,IF(ISNUMBER(SEARCH("ADMINISTRACION",UPPER(G36))),702010,IF(ISNUMBER(SEARCH("GERENCIAMIENTO",UPPER(G36))),702010,IF(ISNUMBER(SEARCH("ALQUILER",UPPER(G36))),702010,IF(ISNUMBER(SEARCH("AUDITORIA",UPPER(G36))),702010,IF(ISNUMBER(SEARCH("PRESTACIONAL",UPPER(G36))),702010,702010))))))))))))</f>
        <v/>
      </c>
      <c r="I36" s="122" t="n"/>
      <c r="J36" s="122" t="n"/>
      <c r="K36" s="123">
        <f>IF(N(I36)&gt;0,ROUND(N(I36)*IVA_general,2),0)</f>
        <v/>
      </c>
      <c r="L36" s="122" t="n">
        <v>0</v>
      </c>
      <c r="M36" s="122" t="n"/>
      <c r="N36" s="123">
        <f>IF(SUM(I36:M36)=0,"",SUM(I36:M36))</f>
        <v/>
      </c>
      <c r="O36" s="124">
        <f>IF(A36="","",TEXT(A36,"yyyy-mm"))</f>
        <v/>
      </c>
      <c r="P36" s="121">
        <f>IF(A36="","",YEAR(A36))</f>
        <v/>
      </c>
      <c r="Q36" s="121">
        <f>IF(A36="","",MONTH(A36))</f>
        <v/>
      </c>
      <c r="R36" s="116" t="n"/>
      <c r="S36" s="116" t="n"/>
      <c r="T36" s="120" t="n"/>
      <c r="U36" s="122" t="n">
        <v>0</v>
      </c>
      <c r="V36" s="123">
        <f>IF(B36="","",N36-U36)</f>
        <v/>
      </c>
      <c r="W36" s="116" t="n"/>
      <c r="X36" s="125">
        <f>IF(B36="","",IF(LEFT(B36,2)="NC",-1,1))</f>
        <v/>
      </c>
      <c r="Y36" s="123">
        <f>IF(B36="",0,N(I36)*X36)</f>
        <v/>
      </c>
      <c r="Z36" s="123">
        <f>IF(B36="",0,N(J36)*X36)</f>
        <v/>
      </c>
      <c r="AA36" s="123">
        <f>IF(B36="",0,N(K36)*X36)</f>
        <v/>
      </c>
      <c r="AB36" s="123">
        <f>IF(B36="",0,N(L36)*X36)</f>
        <v/>
      </c>
      <c r="AC36" s="123">
        <f>IF(B36="",0,N(N36)*X36)</f>
        <v/>
      </c>
    </row>
    <row r="37" ht="15" customHeight="1" s="83">
      <c r="A37" s="120" t="n"/>
      <c r="B37" s="116" t="n"/>
      <c r="C37" s="116" t="n"/>
      <c r="D37" s="116" t="n"/>
      <c r="E37" s="116" t="n"/>
      <c r="F37" s="116" t="n"/>
      <c r="G37" s="116" t="n"/>
      <c r="H37" s="121">
        <f>IF(G37="","",IF(ISNUMBER(SEARCH("CAPITA",UPPER(G37))),651110,IF(ISNUMBER(SEARCH("REFUERZO",UPPER(G37))),651110,IF(ISNUMBER(SEARCH("VACUNACION",UPPER(G37))),651110,IF(ISNUMBER(SEARCH("ENFERMERIA",UPPER(G37))),651110,IF(ISNUMBER(SEARCH("APORTES",UPPER(G37))),651110,IF(ISNUMBER(SEARCH("HONORARIOS",UPPER(G37))),702010,IF(ISNUMBER(SEARCH("ADMINISTRACION",UPPER(G37))),702010,IF(ISNUMBER(SEARCH("GERENCIAMIENTO",UPPER(G37))),702010,IF(ISNUMBER(SEARCH("ALQUILER",UPPER(G37))),702010,IF(ISNUMBER(SEARCH("AUDITORIA",UPPER(G37))),702010,IF(ISNUMBER(SEARCH("PRESTACIONAL",UPPER(G37))),702010,702010))))))))))))</f>
        <v/>
      </c>
      <c r="I37" s="122" t="n"/>
      <c r="J37" s="122" t="n"/>
      <c r="K37" s="123">
        <f>IF(N(I37)&gt;0,ROUND(N(I37)*IVA_general,2),0)</f>
        <v/>
      </c>
      <c r="L37" s="122" t="n">
        <v>0</v>
      </c>
      <c r="M37" s="122" t="n"/>
      <c r="N37" s="123">
        <f>IF(SUM(I37:M37)=0,"",SUM(I37:M37))</f>
        <v/>
      </c>
      <c r="O37" s="124">
        <f>IF(A37="","",TEXT(A37,"yyyy-mm"))</f>
        <v/>
      </c>
      <c r="P37" s="121">
        <f>IF(A37="","",YEAR(A37))</f>
        <v/>
      </c>
      <c r="Q37" s="121">
        <f>IF(A37="","",MONTH(A37))</f>
        <v/>
      </c>
      <c r="R37" s="116" t="n"/>
      <c r="S37" s="116" t="n"/>
      <c r="T37" s="120" t="n"/>
      <c r="U37" s="122" t="n">
        <v>0</v>
      </c>
      <c r="V37" s="123">
        <f>IF(B37="","",N37-U37)</f>
        <v/>
      </c>
      <c r="W37" s="116" t="n"/>
      <c r="X37" s="125">
        <f>IF(B37="","",IF(LEFT(B37,2)="NC",-1,1))</f>
        <v/>
      </c>
      <c r="Y37" s="123">
        <f>IF(B37="",0,N(I37)*X37)</f>
        <v/>
      </c>
      <c r="Z37" s="123">
        <f>IF(B37="",0,N(J37)*X37)</f>
        <v/>
      </c>
      <c r="AA37" s="123">
        <f>IF(B37="",0,N(K37)*X37)</f>
        <v/>
      </c>
      <c r="AB37" s="123">
        <f>IF(B37="",0,N(L37)*X37)</f>
        <v/>
      </c>
      <c r="AC37" s="123">
        <f>IF(B37="",0,N(N37)*X37)</f>
        <v/>
      </c>
    </row>
    <row r="38" ht="15" customHeight="1" s="83">
      <c r="A38" s="120" t="n"/>
      <c r="B38" s="116" t="n"/>
      <c r="C38" s="116" t="n"/>
      <c r="D38" s="116" t="n"/>
      <c r="E38" s="116" t="n"/>
      <c r="F38" s="116" t="n"/>
      <c r="G38" s="116" t="n"/>
      <c r="H38" s="121">
        <f>IF(G38="","",IF(ISNUMBER(SEARCH("CAPITA",UPPER(G38))),651110,IF(ISNUMBER(SEARCH("REFUERZO",UPPER(G38))),651110,IF(ISNUMBER(SEARCH("VACUNACION",UPPER(G38))),651110,IF(ISNUMBER(SEARCH("ENFERMERIA",UPPER(G38))),651110,IF(ISNUMBER(SEARCH("APORTES",UPPER(G38))),651110,IF(ISNUMBER(SEARCH("HONORARIOS",UPPER(G38))),702010,IF(ISNUMBER(SEARCH("ADMINISTRACION",UPPER(G38))),702010,IF(ISNUMBER(SEARCH("GERENCIAMIENTO",UPPER(G38))),702010,IF(ISNUMBER(SEARCH("ALQUILER",UPPER(G38))),702010,IF(ISNUMBER(SEARCH("AUDITORIA",UPPER(G38))),702010,IF(ISNUMBER(SEARCH("PRESTACIONAL",UPPER(G38))),702010,702010))))))))))))</f>
        <v/>
      </c>
      <c r="I38" s="122" t="n"/>
      <c r="J38" s="122" t="n"/>
      <c r="K38" s="123">
        <f>IF(N(I38)&gt;0,ROUND(N(I38)*IVA_general,2),0)</f>
        <v/>
      </c>
      <c r="L38" s="122" t="n">
        <v>0</v>
      </c>
      <c r="M38" s="122" t="n"/>
      <c r="N38" s="123">
        <f>IF(SUM(I38:M38)=0,"",SUM(I38:M38))</f>
        <v/>
      </c>
      <c r="O38" s="124">
        <f>IF(A38="","",TEXT(A38,"yyyy-mm"))</f>
        <v/>
      </c>
      <c r="P38" s="121">
        <f>IF(A38="","",YEAR(A38))</f>
        <v/>
      </c>
      <c r="Q38" s="121">
        <f>IF(A38="","",MONTH(A38))</f>
        <v/>
      </c>
      <c r="R38" s="116" t="n"/>
      <c r="S38" s="116" t="n"/>
      <c r="T38" s="120" t="n"/>
      <c r="U38" s="122" t="n">
        <v>0</v>
      </c>
      <c r="V38" s="123">
        <f>IF(B38="","",N38-U38)</f>
        <v/>
      </c>
      <c r="W38" s="116" t="n"/>
      <c r="X38" s="125">
        <f>IF(B38="","",IF(LEFT(B38,2)="NC",-1,1))</f>
        <v/>
      </c>
      <c r="Y38" s="123">
        <f>IF(B38="",0,N(I38)*X38)</f>
        <v/>
      </c>
      <c r="Z38" s="123">
        <f>IF(B38="",0,N(J38)*X38)</f>
        <v/>
      </c>
      <c r="AA38" s="123">
        <f>IF(B38="",0,N(K38)*X38)</f>
        <v/>
      </c>
      <c r="AB38" s="123">
        <f>IF(B38="",0,N(L38)*X38)</f>
        <v/>
      </c>
      <c r="AC38" s="123">
        <f>IF(B38="",0,N(N38)*X38)</f>
        <v/>
      </c>
    </row>
    <row r="39" ht="15" customHeight="1" s="83">
      <c r="A39" s="120" t="n"/>
      <c r="B39" s="116" t="n"/>
      <c r="C39" s="116" t="n"/>
      <c r="D39" s="116" t="n"/>
      <c r="E39" s="116" t="n"/>
      <c r="F39" s="116" t="n"/>
      <c r="G39" s="116" t="n"/>
      <c r="H39" s="121">
        <f>IF(G39="","",IF(ISNUMBER(SEARCH("CAPITA",UPPER(G39))),651110,IF(ISNUMBER(SEARCH("REFUERZO",UPPER(G39))),651110,IF(ISNUMBER(SEARCH("VACUNACION",UPPER(G39))),651110,IF(ISNUMBER(SEARCH("ENFERMERIA",UPPER(G39))),651110,IF(ISNUMBER(SEARCH("APORTES",UPPER(G39))),651110,IF(ISNUMBER(SEARCH("HONORARIOS",UPPER(G39))),702010,IF(ISNUMBER(SEARCH("ADMINISTRACION",UPPER(G39))),702010,IF(ISNUMBER(SEARCH("GERENCIAMIENTO",UPPER(G39))),702010,IF(ISNUMBER(SEARCH("ALQUILER",UPPER(G39))),702010,IF(ISNUMBER(SEARCH("AUDITORIA",UPPER(G39))),702010,IF(ISNUMBER(SEARCH("PRESTACIONAL",UPPER(G39))),702010,702010))))))))))))</f>
        <v/>
      </c>
      <c r="I39" s="122" t="n"/>
      <c r="J39" s="122" t="n"/>
      <c r="K39" s="123">
        <f>IF(N(I39)&gt;0,ROUND(N(I39)*IVA_general,2),0)</f>
        <v/>
      </c>
      <c r="L39" s="122" t="n">
        <v>0</v>
      </c>
      <c r="M39" s="122" t="n"/>
      <c r="N39" s="123">
        <f>IF(SUM(I39:M39)=0,"",SUM(I39:M39))</f>
        <v/>
      </c>
      <c r="O39" s="124">
        <f>IF(A39="","",TEXT(A39,"yyyy-mm"))</f>
        <v/>
      </c>
      <c r="P39" s="121">
        <f>IF(A39="","",YEAR(A39))</f>
        <v/>
      </c>
      <c r="Q39" s="121">
        <f>IF(A39="","",MONTH(A39))</f>
        <v/>
      </c>
      <c r="R39" s="116" t="n"/>
      <c r="S39" s="116" t="n"/>
      <c r="T39" s="120" t="n"/>
      <c r="U39" s="122" t="n">
        <v>0</v>
      </c>
      <c r="V39" s="123">
        <f>IF(B39="","",N39-U39)</f>
        <v/>
      </c>
      <c r="W39" s="116" t="n"/>
      <c r="X39" s="125">
        <f>IF(B39="","",IF(LEFT(B39,2)="NC",-1,1))</f>
        <v/>
      </c>
      <c r="Y39" s="123">
        <f>IF(B39="",0,N(I39)*X39)</f>
        <v/>
      </c>
      <c r="Z39" s="123">
        <f>IF(B39="",0,N(J39)*X39)</f>
        <v/>
      </c>
      <c r="AA39" s="123">
        <f>IF(B39="",0,N(K39)*X39)</f>
        <v/>
      </c>
      <c r="AB39" s="123">
        <f>IF(B39="",0,N(L39)*X39)</f>
        <v/>
      </c>
      <c r="AC39" s="123">
        <f>IF(B39="",0,N(N39)*X39)</f>
        <v/>
      </c>
    </row>
    <row r="40" ht="15" customHeight="1" s="83">
      <c r="A40" s="120" t="n"/>
      <c r="B40" s="116" t="n"/>
      <c r="C40" s="116" t="n"/>
      <c r="D40" s="116" t="n"/>
      <c r="E40" s="116" t="n"/>
      <c r="F40" s="116" t="n"/>
      <c r="G40" s="116" t="n"/>
      <c r="H40" s="121">
        <f>IF(G40="","",IF(ISNUMBER(SEARCH("CAPITA",UPPER(G40))),651110,IF(ISNUMBER(SEARCH("REFUERZO",UPPER(G40))),651110,IF(ISNUMBER(SEARCH("VACUNACION",UPPER(G40))),651110,IF(ISNUMBER(SEARCH("ENFERMERIA",UPPER(G40))),651110,IF(ISNUMBER(SEARCH("APORTES",UPPER(G40))),651110,IF(ISNUMBER(SEARCH("HONORARIOS",UPPER(G40))),702010,IF(ISNUMBER(SEARCH("ADMINISTRACION",UPPER(G40))),702010,IF(ISNUMBER(SEARCH("GERENCIAMIENTO",UPPER(G40))),702010,IF(ISNUMBER(SEARCH("ALQUILER",UPPER(G40))),702010,IF(ISNUMBER(SEARCH("AUDITORIA",UPPER(G40))),702010,IF(ISNUMBER(SEARCH("PRESTACIONAL",UPPER(G40))),702010,702010))))))))))))</f>
        <v/>
      </c>
      <c r="I40" s="122" t="n"/>
      <c r="J40" s="122" t="n"/>
      <c r="K40" s="123">
        <f>IF(N(I40)&gt;0,ROUND(N(I40)*IVA_general,2),0)</f>
        <v/>
      </c>
      <c r="L40" s="122" t="n">
        <v>0</v>
      </c>
      <c r="M40" s="122" t="n"/>
      <c r="N40" s="123">
        <f>IF(SUM(I40:M40)=0,"",SUM(I40:M40))</f>
        <v/>
      </c>
      <c r="O40" s="124">
        <f>IF(A40="","",TEXT(A40,"yyyy-mm"))</f>
        <v/>
      </c>
      <c r="P40" s="121">
        <f>IF(A40="","",YEAR(A40))</f>
        <v/>
      </c>
      <c r="Q40" s="121">
        <f>IF(A40="","",MONTH(A40))</f>
        <v/>
      </c>
      <c r="R40" s="116" t="n"/>
      <c r="S40" s="116" t="n"/>
      <c r="T40" s="120" t="n"/>
      <c r="U40" s="122" t="n">
        <v>0</v>
      </c>
      <c r="V40" s="123">
        <f>IF(B40="","",N40-U40)</f>
        <v/>
      </c>
      <c r="W40" s="116" t="n"/>
      <c r="X40" s="125">
        <f>IF(B40="","",IF(LEFT(B40,2)="NC",-1,1))</f>
        <v/>
      </c>
      <c r="Y40" s="123">
        <f>IF(B40="",0,N(I40)*X40)</f>
        <v/>
      </c>
      <c r="Z40" s="123">
        <f>IF(B40="",0,N(J40)*X40)</f>
        <v/>
      </c>
      <c r="AA40" s="123">
        <f>IF(B40="",0,N(K40)*X40)</f>
        <v/>
      </c>
      <c r="AB40" s="123">
        <f>IF(B40="",0,N(L40)*X40)</f>
        <v/>
      </c>
      <c r="AC40" s="123">
        <f>IF(B40="",0,N(N40)*X40)</f>
        <v/>
      </c>
    </row>
    <row r="41" ht="15" customHeight="1" s="83">
      <c r="A41" s="120" t="n"/>
      <c r="B41" s="116" t="n"/>
      <c r="C41" s="116" t="n"/>
      <c r="D41" s="116" t="n"/>
      <c r="E41" s="116" t="n"/>
      <c r="F41" s="116" t="n"/>
      <c r="G41" s="116" t="n"/>
      <c r="H41" s="121">
        <f>IF(G41="","",IF(ISNUMBER(SEARCH("CAPITA",UPPER(G41))),651110,IF(ISNUMBER(SEARCH("REFUERZO",UPPER(G41))),651110,IF(ISNUMBER(SEARCH("VACUNACION",UPPER(G41))),651110,IF(ISNUMBER(SEARCH("ENFERMERIA",UPPER(G41))),651110,IF(ISNUMBER(SEARCH("APORTES",UPPER(G41))),651110,IF(ISNUMBER(SEARCH("HONORARIOS",UPPER(G41))),702010,IF(ISNUMBER(SEARCH("ADMINISTRACION",UPPER(G41))),702010,IF(ISNUMBER(SEARCH("GERENCIAMIENTO",UPPER(G41))),702010,IF(ISNUMBER(SEARCH("ALQUILER",UPPER(G41))),702010,IF(ISNUMBER(SEARCH("AUDITORIA",UPPER(G41))),702010,IF(ISNUMBER(SEARCH("PRESTACIONAL",UPPER(G41))),702010,702010))))))))))))</f>
        <v/>
      </c>
      <c r="I41" s="122" t="n"/>
      <c r="J41" s="122" t="n"/>
      <c r="K41" s="123">
        <f>IF(N(I41)&gt;0,ROUND(N(I41)*IVA_general,2),0)</f>
        <v/>
      </c>
      <c r="L41" s="122" t="n">
        <v>0</v>
      </c>
      <c r="M41" s="122" t="n"/>
      <c r="N41" s="123">
        <f>IF(SUM(I41:M41)=0,"",SUM(I41:M41))</f>
        <v/>
      </c>
      <c r="O41" s="124">
        <f>IF(A41="","",TEXT(A41,"yyyy-mm"))</f>
        <v/>
      </c>
      <c r="P41" s="121">
        <f>IF(A41="","",YEAR(A41))</f>
        <v/>
      </c>
      <c r="Q41" s="121">
        <f>IF(A41="","",MONTH(A41))</f>
        <v/>
      </c>
      <c r="R41" s="116" t="n"/>
      <c r="S41" s="116" t="n"/>
      <c r="T41" s="120" t="n"/>
      <c r="U41" s="122" t="n">
        <v>0</v>
      </c>
      <c r="V41" s="123">
        <f>IF(B41="","",N41-U41)</f>
        <v/>
      </c>
      <c r="W41" s="116" t="n"/>
      <c r="X41" s="125">
        <f>IF(B41="","",IF(LEFT(B41,2)="NC",-1,1))</f>
        <v/>
      </c>
      <c r="Y41" s="123">
        <f>IF(B41="",0,N(I41)*X41)</f>
        <v/>
      </c>
      <c r="Z41" s="123">
        <f>IF(B41="",0,N(J41)*X41)</f>
        <v/>
      </c>
      <c r="AA41" s="123">
        <f>IF(B41="",0,N(K41)*X41)</f>
        <v/>
      </c>
      <c r="AB41" s="123">
        <f>IF(B41="",0,N(L41)*X41)</f>
        <v/>
      </c>
      <c r="AC41" s="123">
        <f>IF(B41="",0,N(N41)*X41)</f>
        <v/>
      </c>
    </row>
    <row r="42" ht="15" customHeight="1" s="83">
      <c r="A42" s="120" t="n"/>
      <c r="B42" s="116" t="n"/>
      <c r="C42" s="116" t="n"/>
      <c r="D42" s="116" t="n"/>
      <c r="E42" s="116" t="n"/>
      <c r="F42" s="116" t="n"/>
      <c r="G42" s="116" t="n"/>
      <c r="H42" s="121">
        <f>IF(G42="","",IF(ISNUMBER(SEARCH("CAPITA",UPPER(G42))),651110,IF(ISNUMBER(SEARCH("REFUERZO",UPPER(G42))),651110,IF(ISNUMBER(SEARCH("VACUNACION",UPPER(G42))),651110,IF(ISNUMBER(SEARCH("ENFERMERIA",UPPER(G42))),651110,IF(ISNUMBER(SEARCH("APORTES",UPPER(G42))),651110,IF(ISNUMBER(SEARCH("HONORARIOS",UPPER(G42))),702010,IF(ISNUMBER(SEARCH("ADMINISTRACION",UPPER(G42))),702010,IF(ISNUMBER(SEARCH("GERENCIAMIENTO",UPPER(G42))),702010,IF(ISNUMBER(SEARCH("ALQUILER",UPPER(G42))),702010,IF(ISNUMBER(SEARCH("AUDITORIA",UPPER(G42))),702010,IF(ISNUMBER(SEARCH("PRESTACIONAL",UPPER(G42))),702010,702010))))))))))))</f>
        <v/>
      </c>
      <c r="I42" s="122" t="n"/>
      <c r="J42" s="122" t="n"/>
      <c r="K42" s="123">
        <f>IF(N(I42)&gt;0,ROUND(N(I42)*IVA_general,2),0)</f>
        <v/>
      </c>
      <c r="L42" s="122" t="n">
        <v>0</v>
      </c>
      <c r="M42" s="122" t="n"/>
      <c r="N42" s="123">
        <f>IF(SUM(I42:M42)=0,"",SUM(I42:M42))</f>
        <v/>
      </c>
      <c r="O42" s="124">
        <f>IF(A42="","",TEXT(A42,"yyyy-mm"))</f>
        <v/>
      </c>
      <c r="P42" s="121">
        <f>IF(A42="","",YEAR(A42))</f>
        <v/>
      </c>
      <c r="Q42" s="121">
        <f>IF(A42="","",MONTH(A42))</f>
        <v/>
      </c>
      <c r="R42" s="116" t="n"/>
      <c r="S42" s="116" t="n"/>
      <c r="T42" s="120" t="n"/>
      <c r="U42" s="122" t="n">
        <v>0</v>
      </c>
      <c r="V42" s="123">
        <f>IF(B42="","",N42-U42)</f>
        <v/>
      </c>
      <c r="W42" s="116" t="n"/>
      <c r="X42" s="125">
        <f>IF(B42="","",IF(LEFT(B42,2)="NC",-1,1))</f>
        <v/>
      </c>
      <c r="Y42" s="123">
        <f>IF(B42="",0,N(I42)*X42)</f>
        <v/>
      </c>
      <c r="Z42" s="123">
        <f>IF(B42="",0,N(J42)*X42)</f>
        <v/>
      </c>
      <c r="AA42" s="123">
        <f>IF(B42="",0,N(K42)*X42)</f>
        <v/>
      </c>
      <c r="AB42" s="123">
        <f>IF(B42="",0,N(L42)*X42)</f>
        <v/>
      </c>
      <c r="AC42" s="123">
        <f>IF(B42="",0,N(N42)*X42)</f>
        <v/>
      </c>
    </row>
    <row r="43" ht="15" customHeight="1" s="83">
      <c r="A43" s="120" t="n"/>
      <c r="B43" s="116" t="n"/>
      <c r="C43" s="116" t="n"/>
      <c r="D43" s="116" t="n"/>
      <c r="E43" s="116" t="n"/>
      <c r="F43" s="116" t="n"/>
      <c r="G43" s="116" t="n"/>
      <c r="H43" s="121">
        <f>IF(G43="","",IF(ISNUMBER(SEARCH("CAPITA",UPPER(G43))),651110,IF(ISNUMBER(SEARCH("REFUERZO",UPPER(G43))),651110,IF(ISNUMBER(SEARCH("VACUNACION",UPPER(G43))),651110,IF(ISNUMBER(SEARCH("ENFERMERIA",UPPER(G43))),651110,IF(ISNUMBER(SEARCH("APORTES",UPPER(G43))),651110,IF(ISNUMBER(SEARCH("HONORARIOS",UPPER(G43))),702010,IF(ISNUMBER(SEARCH("ADMINISTRACION",UPPER(G43))),702010,IF(ISNUMBER(SEARCH("GERENCIAMIENTO",UPPER(G43))),702010,IF(ISNUMBER(SEARCH("ALQUILER",UPPER(G43))),702010,IF(ISNUMBER(SEARCH("AUDITORIA",UPPER(G43))),702010,IF(ISNUMBER(SEARCH("PRESTACIONAL",UPPER(G43))),702010,702010))))))))))))</f>
        <v/>
      </c>
      <c r="I43" s="122" t="n"/>
      <c r="J43" s="122" t="n"/>
      <c r="K43" s="123">
        <f>IF(N(I43)&gt;0,ROUND(N(I43)*IVA_general,2),0)</f>
        <v/>
      </c>
      <c r="L43" s="122" t="n">
        <v>0</v>
      </c>
      <c r="M43" s="122" t="n"/>
      <c r="N43" s="123">
        <f>IF(SUM(I43:M43)=0,"",SUM(I43:M43))</f>
        <v/>
      </c>
      <c r="O43" s="124">
        <f>IF(A43="","",TEXT(A43,"yyyy-mm"))</f>
        <v/>
      </c>
      <c r="P43" s="121">
        <f>IF(A43="","",YEAR(A43))</f>
        <v/>
      </c>
      <c r="Q43" s="121">
        <f>IF(A43="","",MONTH(A43))</f>
        <v/>
      </c>
      <c r="R43" s="116" t="n"/>
      <c r="S43" s="116" t="n"/>
      <c r="T43" s="120" t="n"/>
      <c r="U43" s="122" t="n">
        <v>0</v>
      </c>
      <c r="V43" s="123">
        <f>IF(B43="","",N43-U43)</f>
        <v/>
      </c>
      <c r="W43" s="116" t="n"/>
      <c r="X43" s="125">
        <f>IF(B43="","",IF(LEFT(B43,2)="NC",-1,1))</f>
        <v/>
      </c>
      <c r="Y43" s="123">
        <f>IF(B43="",0,N(I43)*X43)</f>
        <v/>
      </c>
      <c r="Z43" s="123">
        <f>IF(B43="",0,N(J43)*X43)</f>
        <v/>
      </c>
      <c r="AA43" s="123">
        <f>IF(B43="",0,N(K43)*X43)</f>
        <v/>
      </c>
      <c r="AB43" s="123">
        <f>IF(B43="",0,N(L43)*X43)</f>
        <v/>
      </c>
      <c r="AC43" s="123">
        <f>IF(B43="",0,N(N43)*X43)</f>
        <v/>
      </c>
    </row>
    <row r="44" ht="15" customHeight="1" s="83">
      <c r="A44" s="120" t="n"/>
      <c r="B44" s="116" t="n"/>
      <c r="C44" s="116" t="n"/>
      <c r="D44" s="116" t="n"/>
      <c r="E44" s="116" t="n"/>
      <c r="F44" s="116" t="n"/>
      <c r="G44" s="116" t="n"/>
      <c r="H44" s="121">
        <f>IF(G44="","",IF(ISNUMBER(SEARCH("CAPITA",UPPER(G44))),651110,IF(ISNUMBER(SEARCH("REFUERZO",UPPER(G44))),651110,IF(ISNUMBER(SEARCH("VACUNACION",UPPER(G44))),651110,IF(ISNUMBER(SEARCH("ENFERMERIA",UPPER(G44))),651110,IF(ISNUMBER(SEARCH("APORTES",UPPER(G44))),651110,IF(ISNUMBER(SEARCH("HONORARIOS",UPPER(G44))),702010,IF(ISNUMBER(SEARCH("ADMINISTRACION",UPPER(G44))),702010,IF(ISNUMBER(SEARCH("GERENCIAMIENTO",UPPER(G44))),702010,IF(ISNUMBER(SEARCH("ALQUILER",UPPER(G44))),702010,IF(ISNUMBER(SEARCH("AUDITORIA",UPPER(G44))),702010,IF(ISNUMBER(SEARCH("PRESTACIONAL",UPPER(G44))),702010,702010))))))))))))</f>
        <v/>
      </c>
      <c r="I44" s="122" t="n"/>
      <c r="J44" s="122" t="n"/>
      <c r="K44" s="123">
        <f>IF(N(I44)&gt;0,ROUND(N(I44)*IVA_general,2),0)</f>
        <v/>
      </c>
      <c r="L44" s="122" t="n">
        <v>0</v>
      </c>
      <c r="M44" s="122" t="n"/>
      <c r="N44" s="123">
        <f>IF(SUM(I44:M44)=0,"",SUM(I44:M44))</f>
        <v/>
      </c>
      <c r="O44" s="124">
        <f>IF(A44="","",TEXT(A44,"yyyy-mm"))</f>
        <v/>
      </c>
      <c r="P44" s="121">
        <f>IF(A44="","",YEAR(A44))</f>
        <v/>
      </c>
      <c r="Q44" s="121">
        <f>IF(A44="","",MONTH(A44))</f>
        <v/>
      </c>
      <c r="R44" s="116" t="n"/>
      <c r="S44" s="116" t="n"/>
      <c r="T44" s="120" t="n"/>
      <c r="U44" s="122" t="n">
        <v>0</v>
      </c>
      <c r="V44" s="123">
        <f>IF(B44="","",N44-U44)</f>
        <v/>
      </c>
      <c r="W44" s="116" t="n"/>
      <c r="X44" s="125">
        <f>IF(B44="","",IF(LEFT(B44,2)="NC",-1,1))</f>
        <v/>
      </c>
      <c r="Y44" s="123">
        <f>IF(B44="",0,N(I44)*X44)</f>
        <v/>
      </c>
      <c r="Z44" s="123">
        <f>IF(B44="",0,N(J44)*X44)</f>
        <v/>
      </c>
      <c r="AA44" s="123">
        <f>IF(B44="",0,N(K44)*X44)</f>
        <v/>
      </c>
      <c r="AB44" s="123">
        <f>IF(B44="",0,N(L44)*X44)</f>
        <v/>
      </c>
      <c r="AC44" s="123">
        <f>IF(B44="",0,N(N44)*X44)</f>
        <v/>
      </c>
    </row>
    <row r="45" ht="15" customHeight="1" s="83">
      <c r="A45" s="120" t="n"/>
      <c r="B45" s="116" t="n"/>
      <c r="C45" s="116" t="n"/>
      <c r="D45" s="116" t="n"/>
      <c r="E45" s="116" t="n"/>
      <c r="F45" s="116" t="n"/>
      <c r="G45" s="116" t="n"/>
      <c r="H45" s="121">
        <f>IF(G45="","",IF(ISNUMBER(SEARCH("CAPITA",UPPER(G45))),651110,IF(ISNUMBER(SEARCH("REFUERZO",UPPER(G45))),651110,IF(ISNUMBER(SEARCH("VACUNACION",UPPER(G45))),651110,IF(ISNUMBER(SEARCH("ENFERMERIA",UPPER(G45))),651110,IF(ISNUMBER(SEARCH("APORTES",UPPER(G45))),651110,IF(ISNUMBER(SEARCH("HONORARIOS",UPPER(G45))),702010,IF(ISNUMBER(SEARCH("ADMINISTRACION",UPPER(G45))),702010,IF(ISNUMBER(SEARCH("GERENCIAMIENTO",UPPER(G45))),702010,IF(ISNUMBER(SEARCH("ALQUILER",UPPER(G45))),702010,IF(ISNUMBER(SEARCH("AUDITORIA",UPPER(G45))),702010,IF(ISNUMBER(SEARCH("PRESTACIONAL",UPPER(G45))),702010,702010))))))))))))</f>
        <v/>
      </c>
      <c r="I45" s="122" t="n"/>
      <c r="J45" s="122" t="n"/>
      <c r="K45" s="123">
        <f>IF(N(I45)&gt;0,ROUND(N(I45)*IVA_general,2),0)</f>
        <v/>
      </c>
      <c r="L45" s="122" t="n">
        <v>0</v>
      </c>
      <c r="M45" s="122" t="n"/>
      <c r="N45" s="123">
        <f>IF(SUM(I45:M45)=0,"",SUM(I45:M45))</f>
        <v/>
      </c>
      <c r="O45" s="124">
        <f>IF(A45="","",TEXT(A45,"yyyy-mm"))</f>
        <v/>
      </c>
      <c r="P45" s="121">
        <f>IF(A45="","",YEAR(A45))</f>
        <v/>
      </c>
      <c r="Q45" s="121">
        <f>IF(A45="","",MONTH(A45))</f>
        <v/>
      </c>
      <c r="R45" s="116" t="n"/>
      <c r="S45" s="116" t="n"/>
      <c r="T45" s="120" t="n"/>
      <c r="U45" s="122" t="n">
        <v>0</v>
      </c>
      <c r="V45" s="123">
        <f>IF(B45="","",N45-U45)</f>
        <v/>
      </c>
      <c r="W45" s="116" t="n"/>
      <c r="X45" s="125">
        <f>IF(B45="","",IF(LEFT(B45,2)="NC",-1,1))</f>
        <v/>
      </c>
      <c r="Y45" s="123">
        <f>IF(B45="",0,N(I45)*X45)</f>
        <v/>
      </c>
      <c r="Z45" s="123">
        <f>IF(B45="",0,N(J45)*X45)</f>
        <v/>
      </c>
      <c r="AA45" s="123">
        <f>IF(B45="",0,N(K45)*X45)</f>
        <v/>
      </c>
      <c r="AB45" s="123">
        <f>IF(B45="",0,N(L45)*X45)</f>
        <v/>
      </c>
      <c r="AC45" s="123">
        <f>IF(B45="",0,N(N45)*X45)</f>
        <v/>
      </c>
    </row>
    <row r="46" ht="15" customHeight="1" s="83">
      <c r="A46" s="120" t="n"/>
      <c r="B46" s="116" t="n"/>
      <c r="C46" s="116" t="n"/>
      <c r="D46" s="116" t="n"/>
      <c r="E46" s="116" t="n"/>
      <c r="F46" s="116" t="n"/>
      <c r="G46" s="116" t="n"/>
      <c r="H46" s="121">
        <f>IF(G46="","",IF(ISNUMBER(SEARCH("CAPITA",UPPER(G46))),651110,IF(ISNUMBER(SEARCH("REFUERZO",UPPER(G46))),651110,IF(ISNUMBER(SEARCH("VACUNACION",UPPER(G46))),651110,IF(ISNUMBER(SEARCH("ENFERMERIA",UPPER(G46))),651110,IF(ISNUMBER(SEARCH("APORTES",UPPER(G46))),651110,IF(ISNUMBER(SEARCH("HONORARIOS",UPPER(G46))),702010,IF(ISNUMBER(SEARCH("ADMINISTRACION",UPPER(G46))),702010,IF(ISNUMBER(SEARCH("GERENCIAMIENTO",UPPER(G46))),702010,IF(ISNUMBER(SEARCH("ALQUILER",UPPER(G46))),702010,IF(ISNUMBER(SEARCH("AUDITORIA",UPPER(G46))),702010,IF(ISNUMBER(SEARCH("PRESTACIONAL",UPPER(G46))),702010,702010))))))))))))</f>
        <v/>
      </c>
      <c r="I46" s="122" t="n"/>
      <c r="J46" s="122" t="n"/>
      <c r="K46" s="123">
        <f>IF(N(I46)&gt;0,ROUND(N(I46)*IVA_general,2),0)</f>
        <v/>
      </c>
      <c r="L46" s="122" t="n">
        <v>0</v>
      </c>
      <c r="M46" s="122" t="n"/>
      <c r="N46" s="123">
        <f>IF(SUM(I46:M46)=0,"",SUM(I46:M46))</f>
        <v/>
      </c>
      <c r="O46" s="124">
        <f>IF(A46="","",TEXT(A46,"yyyy-mm"))</f>
        <v/>
      </c>
      <c r="P46" s="121">
        <f>IF(A46="","",YEAR(A46))</f>
        <v/>
      </c>
      <c r="Q46" s="121">
        <f>IF(A46="","",MONTH(A46))</f>
        <v/>
      </c>
      <c r="R46" s="116" t="n"/>
      <c r="S46" s="116" t="n"/>
      <c r="T46" s="120" t="n"/>
      <c r="U46" s="122" t="n">
        <v>0</v>
      </c>
      <c r="V46" s="123">
        <f>IF(B46="","",N46-U46)</f>
        <v/>
      </c>
      <c r="W46" s="116" t="n"/>
      <c r="X46" s="125">
        <f>IF(B46="","",IF(LEFT(B46,2)="NC",-1,1))</f>
        <v/>
      </c>
      <c r="Y46" s="123">
        <f>IF(B46="",0,N(I46)*X46)</f>
        <v/>
      </c>
      <c r="Z46" s="123">
        <f>IF(B46="",0,N(J46)*X46)</f>
        <v/>
      </c>
      <c r="AA46" s="123">
        <f>IF(B46="",0,N(K46)*X46)</f>
        <v/>
      </c>
      <c r="AB46" s="123">
        <f>IF(B46="",0,N(L46)*X46)</f>
        <v/>
      </c>
      <c r="AC46" s="123">
        <f>IF(B46="",0,N(N46)*X46)</f>
        <v/>
      </c>
    </row>
    <row r="47" ht="15" customHeight="1" s="83">
      <c r="A47" s="120" t="n"/>
      <c r="B47" s="116" t="n"/>
      <c r="C47" s="116" t="n"/>
      <c r="D47" s="116" t="n"/>
      <c r="E47" s="116" t="n"/>
      <c r="F47" s="116" t="n"/>
      <c r="G47" s="116" t="n"/>
      <c r="H47" s="121">
        <f>IF(G47="","",IF(ISNUMBER(SEARCH("CAPITA",UPPER(G47))),651110,IF(ISNUMBER(SEARCH("REFUERZO",UPPER(G47))),651110,IF(ISNUMBER(SEARCH("VACUNACION",UPPER(G47))),651110,IF(ISNUMBER(SEARCH("ENFERMERIA",UPPER(G47))),651110,IF(ISNUMBER(SEARCH("APORTES",UPPER(G47))),651110,IF(ISNUMBER(SEARCH("HONORARIOS",UPPER(G47))),702010,IF(ISNUMBER(SEARCH("ADMINISTRACION",UPPER(G47))),702010,IF(ISNUMBER(SEARCH("GERENCIAMIENTO",UPPER(G47))),702010,IF(ISNUMBER(SEARCH("ALQUILER",UPPER(G47))),702010,IF(ISNUMBER(SEARCH("AUDITORIA",UPPER(G47))),702010,IF(ISNUMBER(SEARCH("PRESTACIONAL",UPPER(G47))),702010,702010))))))))))))</f>
        <v/>
      </c>
      <c r="I47" s="122" t="n"/>
      <c r="J47" s="122" t="n"/>
      <c r="K47" s="123">
        <f>IF(N(I47)&gt;0,ROUND(N(I47)*IVA_general,2),0)</f>
        <v/>
      </c>
      <c r="L47" s="122" t="n">
        <v>0</v>
      </c>
      <c r="M47" s="122" t="n"/>
      <c r="N47" s="123">
        <f>IF(SUM(I47:M47)=0,"",SUM(I47:M47))</f>
        <v/>
      </c>
      <c r="O47" s="124">
        <f>IF(A47="","",TEXT(A47,"yyyy-mm"))</f>
        <v/>
      </c>
      <c r="P47" s="121">
        <f>IF(A47="","",YEAR(A47))</f>
        <v/>
      </c>
      <c r="Q47" s="121">
        <f>IF(A47="","",MONTH(A47))</f>
        <v/>
      </c>
      <c r="R47" s="116" t="n"/>
      <c r="S47" s="116" t="n"/>
      <c r="T47" s="120" t="n"/>
      <c r="U47" s="122" t="n">
        <v>0</v>
      </c>
      <c r="V47" s="123">
        <f>IF(B47="","",N47-U47)</f>
        <v/>
      </c>
      <c r="W47" s="116" t="n"/>
      <c r="X47" s="125">
        <f>IF(B47="","",IF(LEFT(B47,2)="NC",-1,1))</f>
        <v/>
      </c>
      <c r="Y47" s="123">
        <f>IF(B47="",0,N(I47)*X47)</f>
        <v/>
      </c>
      <c r="Z47" s="123">
        <f>IF(B47="",0,N(J47)*X47)</f>
        <v/>
      </c>
      <c r="AA47" s="123">
        <f>IF(B47="",0,N(K47)*X47)</f>
        <v/>
      </c>
      <c r="AB47" s="123">
        <f>IF(B47="",0,N(L47)*X47)</f>
        <v/>
      </c>
      <c r="AC47" s="123">
        <f>IF(B47="",0,N(N47)*X47)</f>
        <v/>
      </c>
    </row>
    <row r="48" ht="15" customHeight="1" s="83">
      <c r="A48" s="120" t="n"/>
      <c r="B48" s="116" t="n"/>
      <c r="C48" s="116" t="n"/>
      <c r="D48" s="116" t="n"/>
      <c r="E48" s="116" t="n"/>
      <c r="F48" s="116" t="n"/>
      <c r="G48" s="116" t="n"/>
      <c r="H48" s="121">
        <f>IF(G48="","",IF(ISNUMBER(SEARCH("CAPITA",UPPER(G48))),651110,IF(ISNUMBER(SEARCH("REFUERZO",UPPER(G48))),651110,IF(ISNUMBER(SEARCH("VACUNACION",UPPER(G48))),651110,IF(ISNUMBER(SEARCH("ENFERMERIA",UPPER(G48))),651110,IF(ISNUMBER(SEARCH("APORTES",UPPER(G48))),651110,IF(ISNUMBER(SEARCH("HONORARIOS",UPPER(G48))),702010,IF(ISNUMBER(SEARCH("ADMINISTRACION",UPPER(G48))),702010,IF(ISNUMBER(SEARCH("GERENCIAMIENTO",UPPER(G48))),702010,IF(ISNUMBER(SEARCH("ALQUILER",UPPER(G48))),702010,IF(ISNUMBER(SEARCH("AUDITORIA",UPPER(G48))),702010,IF(ISNUMBER(SEARCH("PRESTACIONAL",UPPER(G48))),702010,702010))))))))))))</f>
        <v/>
      </c>
      <c r="I48" s="122" t="n"/>
      <c r="J48" s="122" t="n"/>
      <c r="K48" s="123">
        <f>IF(N(I48)&gt;0,ROUND(N(I48)*IVA_general,2),0)</f>
        <v/>
      </c>
      <c r="L48" s="122" t="n">
        <v>0</v>
      </c>
      <c r="M48" s="122" t="n"/>
      <c r="N48" s="123">
        <f>IF(SUM(I48:M48)=0,"",SUM(I48:M48))</f>
        <v/>
      </c>
      <c r="O48" s="124">
        <f>IF(A48="","",TEXT(A48,"yyyy-mm"))</f>
        <v/>
      </c>
      <c r="P48" s="121">
        <f>IF(A48="","",YEAR(A48))</f>
        <v/>
      </c>
      <c r="Q48" s="121">
        <f>IF(A48="","",MONTH(A48))</f>
        <v/>
      </c>
      <c r="R48" s="116" t="n"/>
      <c r="S48" s="116" t="n"/>
      <c r="T48" s="120" t="n"/>
      <c r="U48" s="122" t="n">
        <v>0</v>
      </c>
      <c r="V48" s="123">
        <f>IF(B48="","",N48-U48)</f>
        <v/>
      </c>
      <c r="W48" s="116" t="n"/>
      <c r="X48" s="125">
        <f>IF(B48="","",IF(LEFT(B48,2)="NC",-1,1))</f>
        <v/>
      </c>
      <c r="Y48" s="123">
        <f>IF(B48="",0,N(I48)*X48)</f>
        <v/>
      </c>
      <c r="Z48" s="123">
        <f>IF(B48="",0,N(J48)*X48)</f>
        <v/>
      </c>
      <c r="AA48" s="123">
        <f>IF(B48="",0,N(K48)*X48)</f>
        <v/>
      </c>
      <c r="AB48" s="123">
        <f>IF(B48="",0,N(L48)*X48)</f>
        <v/>
      </c>
      <c r="AC48" s="123">
        <f>IF(B48="",0,N(N48)*X48)</f>
        <v/>
      </c>
    </row>
    <row r="49" ht="15" customHeight="1" s="83">
      <c r="A49" s="120" t="n"/>
      <c r="B49" s="116" t="n"/>
      <c r="C49" s="116" t="n"/>
      <c r="D49" s="116" t="n"/>
      <c r="E49" s="116" t="n"/>
      <c r="F49" s="116" t="n"/>
      <c r="G49" s="116" t="n"/>
      <c r="H49" s="121">
        <f>IF(G49="","",IF(ISNUMBER(SEARCH("CAPITA",UPPER(G49))),651110,IF(ISNUMBER(SEARCH("REFUERZO",UPPER(G49))),651110,IF(ISNUMBER(SEARCH("VACUNACION",UPPER(G49))),651110,IF(ISNUMBER(SEARCH("ENFERMERIA",UPPER(G49))),651110,IF(ISNUMBER(SEARCH("APORTES",UPPER(G49))),651110,IF(ISNUMBER(SEARCH("HONORARIOS",UPPER(G49))),702010,IF(ISNUMBER(SEARCH("ADMINISTRACION",UPPER(G49))),702010,IF(ISNUMBER(SEARCH("GERENCIAMIENTO",UPPER(G49))),702010,IF(ISNUMBER(SEARCH("ALQUILER",UPPER(G49))),702010,IF(ISNUMBER(SEARCH("AUDITORIA",UPPER(G49))),702010,IF(ISNUMBER(SEARCH("PRESTACIONAL",UPPER(G49))),702010,702010))))))))))))</f>
        <v/>
      </c>
      <c r="I49" s="122" t="n"/>
      <c r="J49" s="122" t="n"/>
      <c r="K49" s="123">
        <f>IF(N(I49)&gt;0,ROUND(N(I49)*IVA_general,2),0)</f>
        <v/>
      </c>
      <c r="L49" s="122" t="n">
        <v>0</v>
      </c>
      <c r="M49" s="122" t="n"/>
      <c r="N49" s="123">
        <f>IF(SUM(I49:M49)=0,"",SUM(I49:M49))</f>
        <v/>
      </c>
      <c r="O49" s="124">
        <f>IF(A49="","",TEXT(A49,"yyyy-mm"))</f>
        <v/>
      </c>
      <c r="P49" s="121">
        <f>IF(A49="","",YEAR(A49))</f>
        <v/>
      </c>
      <c r="Q49" s="121">
        <f>IF(A49="","",MONTH(A49))</f>
        <v/>
      </c>
      <c r="R49" s="116" t="n"/>
      <c r="S49" s="116" t="n"/>
      <c r="T49" s="120" t="n"/>
      <c r="U49" s="122" t="n">
        <v>0</v>
      </c>
      <c r="V49" s="123">
        <f>IF(B49="","",N49-U49)</f>
        <v/>
      </c>
      <c r="W49" s="116" t="n"/>
      <c r="X49" s="125">
        <f>IF(B49="","",IF(LEFT(B49,2)="NC",-1,1))</f>
        <v/>
      </c>
      <c r="Y49" s="123">
        <f>IF(B49="",0,N(I49)*X49)</f>
        <v/>
      </c>
      <c r="Z49" s="123">
        <f>IF(B49="",0,N(J49)*X49)</f>
        <v/>
      </c>
      <c r="AA49" s="123">
        <f>IF(B49="",0,N(K49)*X49)</f>
        <v/>
      </c>
      <c r="AB49" s="123">
        <f>IF(B49="",0,N(L49)*X49)</f>
        <v/>
      </c>
      <c r="AC49" s="123">
        <f>IF(B49="",0,N(N49)*X49)</f>
        <v/>
      </c>
    </row>
    <row r="50" ht="15" customHeight="1" s="83">
      <c r="A50" s="120" t="n"/>
      <c r="B50" s="116" t="n"/>
      <c r="C50" s="116" t="n"/>
      <c r="D50" s="116" t="n"/>
      <c r="E50" s="116" t="n"/>
      <c r="F50" s="116" t="n"/>
      <c r="G50" s="116" t="n"/>
      <c r="H50" s="121">
        <f>IF(G50="","",IF(ISNUMBER(SEARCH("CAPITA",UPPER(G50))),651110,IF(ISNUMBER(SEARCH("REFUERZO",UPPER(G50))),651110,IF(ISNUMBER(SEARCH("VACUNACION",UPPER(G50))),651110,IF(ISNUMBER(SEARCH("ENFERMERIA",UPPER(G50))),651110,IF(ISNUMBER(SEARCH("APORTES",UPPER(G50))),651110,IF(ISNUMBER(SEARCH("HONORARIOS",UPPER(G50))),702010,IF(ISNUMBER(SEARCH("ADMINISTRACION",UPPER(G50))),702010,IF(ISNUMBER(SEARCH("GERENCIAMIENTO",UPPER(G50))),702010,IF(ISNUMBER(SEARCH("ALQUILER",UPPER(G50))),702010,IF(ISNUMBER(SEARCH("AUDITORIA",UPPER(G50))),702010,IF(ISNUMBER(SEARCH("PRESTACIONAL",UPPER(G50))),702010,702010))))))))))))</f>
        <v/>
      </c>
      <c r="I50" s="122" t="n"/>
      <c r="J50" s="122" t="n"/>
      <c r="K50" s="123">
        <f>IF(N(I50)&gt;0,ROUND(N(I50)*IVA_general,2),0)</f>
        <v/>
      </c>
      <c r="L50" s="122" t="n">
        <v>0</v>
      </c>
      <c r="M50" s="122" t="n"/>
      <c r="N50" s="123">
        <f>IF(SUM(I50:M50)=0,"",SUM(I50:M50))</f>
        <v/>
      </c>
      <c r="O50" s="124">
        <f>IF(A50="","",TEXT(A50,"yyyy-mm"))</f>
        <v/>
      </c>
      <c r="P50" s="121">
        <f>IF(A50="","",YEAR(A50))</f>
        <v/>
      </c>
      <c r="Q50" s="121">
        <f>IF(A50="","",MONTH(A50))</f>
        <v/>
      </c>
      <c r="R50" s="116" t="n"/>
      <c r="S50" s="116" t="n"/>
      <c r="T50" s="120" t="n"/>
      <c r="U50" s="122" t="n">
        <v>0</v>
      </c>
      <c r="V50" s="123">
        <f>IF(B50="","",N50-U50)</f>
        <v/>
      </c>
      <c r="W50" s="116" t="n"/>
      <c r="X50" s="125">
        <f>IF(B50="","",IF(LEFT(B50,2)="NC",-1,1))</f>
        <v/>
      </c>
      <c r="Y50" s="123">
        <f>IF(B50="",0,N(I50)*X50)</f>
        <v/>
      </c>
      <c r="Z50" s="123">
        <f>IF(B50="",0,N(J50)*X50)</f>
        <v/>
      </c>
      <c r="AA50" s="123">
        <f>IF(B50="",0,N(K50)*X50)</f>
        <v/>
      </c>
      <c r="AB50" s="123">
        <f>IF(B50="",0,N(L50)*X50)</f>
        <v/>
      </c>
      <c r="AC50" s="123">
        <f>IF(B50="",0,N(N50)*X50)</f>
        <v/>
      </c>
    </row>
    <row r="51" ht="15" customHeight="1" s="83">
      <c r="A51" s="120" t="n"/>
      <c r="B51" s="116" t="n"/>
      <c r="C51" s="116" t="n"/>
      <c r="D51" s="116" t="n"/>
      <c r="E51" s="116" t="n"/>
      <c r="F51" s="116" t="n"/>
      <c r="G51" s="116" t="n"/>
      <c r="H51" s="121">
        <f>IF(G51="","",IF(ISNUMBER(SEARCH("CAPITA",UPPER(G51))),651110,IF(ISNUMBER(SEARCH("REFUERZO",UPPER(G51))),651110,IF(ISNUMBER(SEARCH("VACUNACION",UPPER(G51))),651110,IF(ISNUMBER(SEARCH("ENFERMERIA",UPPER(G51))),651110,IF(ISNUMBER(SEARCH("APORTES",UPPER(G51))),651110,IF(ISNUMBER(SEARCH("HONORARIOS",UPPER(G51))),702010,IF(ISNUMBER(SEARCH("ADMINISTRACION",UPPER(G51))),702010,IF(ISNUMBER(SEARCH("GERENCIAMIENTO",UPPER(G51))),702010,IF(ISNUMBER(SEARCH("ALQUILER",UPPER(G51))),702010,IF(ISNUMBER(SEARCH("AUDITORIA",UPPER(G51))),702010,IF(ISNUMBER(SEARCH("PRESTACIONAL",UPPER(G51))),702010,702010))))))))))))</f>
        <v/>
      </c>
      <c r="I51" s="122" t="n"/>
      <c r="J51" s="122" t="n"/>
      <c r="K51" s="123">
        <f>IF(N(I51)&gt;0,ROUND(N(I51)*IVA_general,2),0)</f>
        <v/>
      </c>
      <c r="L51" s="122" t="n">
        <v>0</v>
      </c>
      <c r="M51" s="122" t="n"/>
      <c r="N51" s="123">
        <f>IF(SUM(I51:M51)=0,"",SUM(I51:M51))</f>
        <v/>
      </c>
      <c r="O51" s="124">
        <f>IF(A51="","",TEXT(A51,"yyyy-mm"))</f>
        <v/>
      </c>
      <c r="P51" s="121">
        <f>IF(A51="","",YEAR(A51))</f>
        <v/>
      </c>
      <c r="Q51" s="121">
        <f>IF(A51="","",MONTH(A51))</f>
        <v/>
      </c>
      <c r="R51" s="116" t="n"/>
      <c r="S51" s="116" t="n"/>
      <c r="T51" s="120" t="n"/>
      <c r="U51" s="122" t="n">
        <v>0</v>
      </c>
      <c r="V51" s="123">
        <f>IF(B51="","",N51-U51)</f>
        <v/>
      </c>
      <c r="W51" s="116" t="n"/>
      <c r="X51" s="125">
        <f>IF(B51="","",IF(LEFT(B51,2)="NC",-1,1))</f>
        <v/>
      </c>
      <c r="Y51" s="123">
        <f>IF(B51="",0,N(I51)*X51)</f>
        <v/>
      </c>
      <c r="Z51" s="123">
        <f>IF(B51="",0,N(J51)*X51)</f>
        <v/>
      </c>
      <c r="AA51" s="123">
        <f>IF(B51="",0,N(K51)*X51)</f>
        <v/>
      </c>
      <c r="AB51" s="123">
        <f>IF(B51="",0,N(L51)*X51)</f>
        <v/>
      </c>
      <c r="AC51" s="123">
        <f>IF(B51="",0,N(N51)*X51)</f>
        <v/>
      </c>
    </row>
    <row r="52" ht="15" customHeight="1" s="83">
      <c r="A52" s="120" t="n"/>
      <c r="B52" s="116" t="n"/>
      <c r="C52" s="116" t="n"/>
      <c r="D52" s="116" t="n"/>
      <c r="E52" s="116" t="n"/>
      <c r="F52" s="116" t="n"/>
      <c r="G52" s="116" t="n"/>
      <c r="H52" s="121">
        <f>IF(G52="","",IF(ISNUMBER(SEARCH("CAPITA",UPPER(G52))),651110,IF(ISNUMBER(SEARCH("REFUERZO",UPPER(G52))),651110,IF(ISNUMBER(SEARCH("VACUNACION",UPPER(G52))),651110,IF(ISNUMBER(SEARCH("ENFERMERIA",UPPER(G52))),651110,IF(ISNUMBER(SEARCH("APORTES",UPPER(G52))),651110,IF(ISNUMBER(SEARCH("HONORARIOS",UPPER(G52))),702010,IF(ISNUMBER(SEARCH("ADMINISTRACION",UPPER(G52))),702010,IF(ISNUMBER(SEARCH("GERENCIAMIENTO",UPPER(G52))),702010,IF(ISNUMBER(SEARCH("ALQUILER",UPPER(G52))),702010,IF(ISNUMBER(SEARCH("AUDITORIA",UPPER(G52))),702010,IF(ISNUMBER(SEARCH("PRESTACIONAL",UPPER(G52))),702010,702010))))))))))))</f>
        <v/>
      </c>
      <c r="I52" s="122" t="n"/>
      <c r="J52" s="122" t="n"/>
      <c r="K52" s="123">
        <f>IF(N(I52)&gt;0,ROUND(N(I52)*IVA_general,2),0)</f>
        <v/>
      </c>
      <c r="L52" s="122" t="n">
        <v>0</v>
      </c>
      <c r="M52" s="122" t="n"/>
      <c r="N52" s="123">
        <f>IF(SUM(I52:M52)=0,"",SUM(I52:M52))</f>
        <v/>
      </c>
      <c r="O52" s="124">
        <f>IF(A52="","",TEXT(A52,"yyyy-mm"))</f>
        <v/>
      </c>
      <c r="P52" s="121">
        <f>IF(A52="","",YEAR(A52))</f>
        <v/>
      </c>
      <c r="Q52" s="121">
        <f>IF(A52="","",MONTH(A52))</f>
        <v/>
      </c>
      <c r="R52" s="116" t="n"/>
      <c r="S52" s="116" t="n"/>
      <c r="T52" s="120" t="n"/>
      <c r="U52" s="122" t="n">
        <v>0</v>
      </c>
      <c r="V52" s="123">
        <f>IF(B52="","",N52-U52)</f>
        <v/>
      </c>
      <c r="W52" s="116" t="n"/>
      <c r="X52" s="125">
        <f>IF(B52="","",IF(LEFT(B52,2)="NC",-1,1))</f>
        <v/>
      </c>
      <c r="Y52" s="123">
        <f>IF(B52="",0,N(I52)*X52)</f>
        <v/>
      </c>
      <c r="Z52" s="123">
        <f>IF(B52="",0,N(J52)*X52)</f>
        <v/>
      </c>
      <c r="AA52" s="123">
        <f>IF(B52="",0,N(K52)*X52)</f>
        <v/>
      </c>
      <c r="AB52" s="123">
        <f>IF(B52="",0,N(L52)*X52)</f>
        <v/>
      </c>
      <c r="AC52" s="123">
        <f>IF(B52="",0,N(N52)*X52)</f>
        <v/>
      </c>
    </row>
    <row r="53" ht="15" customHeight="1" s="83">
      <c r="A53" s="120" t="n"/>
      <c r="B53" s="116" t="n"/>
      <c r="C53" s="116" t="n"/>
      <c r="D53" s="116" t="n"/>
      <c r="E53" s="116" t="n"/>
      <c r="F53" s="116" t="n"/>
      <c r="G53" s="116" t="n"/>
      <c r="H53" s="121">
        <f>IF(G53="","",IF(ISNUMBER(SEARCH("CAPITA",UPPER(G53))),651110,IF(ISNUMBER(SEARCH("REFUERZO",UPPER(G53))),651110,IF(ISNUMBER(SEARCH("VACUNACION",UPPER(G53))),651110,IF(ISNUMBER(SEARCH("ENFERMERIA",UPPER(G53))),651110,IF(ISNUMBER(SEARCH("APORTES",UPPER(G53))),651110,IF(ISNUMBER(SEARCH("HONORARIOS",UPPER(G53))),702010,IF(ISNUMBER(SEARCH("ADMINISTRACION",UPPER(G53))),702010,IF(ISNUMBER(SEARCH("GERENCIAMIENTO",UPPER(G53))),702010,IF(ISNUMBER(SEARCH("ALQUILER",UPPER(G53))),702010,IF(ISNUMBER(SEARCH("AUDITORIA",UPPER(G53))),702010,IF(ISNUMBER(SEARCH("PRESTACIONAL",UPPER(G53))),702010,702010))))))))))))</f>
        <v/>
      </c>
      <c r="I53" s="122" t="n"/>
      <c r="J53" s="122" t="n"/>
      <c r="K53" s="123">
        <f>IF(N(I53)&gt;0,ROUND(N(I53)*IVA_general,2),0)</f>
        <v/>
      </c>
      <c r="L53" s="122" t="n">
        <v>0</v>
      </c>
      <c r="M53" s="122" t="n"/>
      <c r="N53" s="123">
        <f>IF(SUM(I53:M53)=0,"",SUM(I53:M53))</f>
        <v/>
      </c>
      <c r="O53" s="124">
        <f>IF(A53="","",TEXT(A53,"yyyy-mm"))</f>
        <v/>
      </c>
      <c r="P53" s="121">
        <f>IF(A53="","",YEAR(A53))</f>
        <v/>
      </c>
      <c r="Q53" s="121">
        <f>IF(A53="","",MONTH(A53))</f>
        <v/>
      </c>
      <c r="R53" s="116" t="n"/>
      <c r="S53" s="116" t="n"/>
      <c r="T53" s="120" t="n"/>
      <c r="U53" s="122" t="n">
        <v>0</v>
      </c>
      <c r="V53" s="123">
        <f>IF(B53="","",N53-U53)</f>
        <v/>
      </c>
      <c r="W53" s="116" t="n"/>
      <c r="X53" s="125">
        <f>IF(B53="","",IF(LEFT(B53,2)="NC",-1,1))</f>
        <v/>
      </c>
      <c r="Y53" s="123">
        <f>IF(B53="",0,N(I53)*X53)</f>
        <v/>
      </c>
      <c r="Z53" s="123">
        <f>IF(B53="",0,N(J53)*X53)</f>
        <v/>
      </c>
      <c r="AA53" s="123">
        <f>IF(B53="",0,N(K53)*X53)</f>
        <v/>
      </c>
      <c r="AB53" s="123">
        <f>IF(B53="",0,N(L53)*X53)</f>
        <v/>
      </c>
      <c r="AC53" s="123">
        <f>IF(B53="",0,N(N53)*X53)</f>
        <v/>
      </c>
    </row>
    <row r="54" ht="15" customHeight="1" s="83">
      <c r="A54" s="120" t="n"/>
      <c r="B54" s="116" t="n"/>
      <c r="C54" s="116" t="n"/>
      <c r="D54" s="116" t="n"/>
      <c r="E54" s="116" t="n"/>
      <c r="F54" s="116" t="n"/>
      <c r="G54" s="116" t="n"/>
      <c r="H54" s="121">
        <f>IF(G54="","",IF(ISNUMBER(SEARCH("CAPITA",UPPER(G54))),651110,IF(ISNUMBER(SEARCH("REFUERZO",UPPER(G54))),651110,IF(ISNUMBER(SEARCH("VACUNACION",UPPER(G54))),651110,IF(ISNUMBER(SEARCH("ENFERMERIA",UPPER(G54))),651110,IF(ISNUMBER(SEARCH("APORTES",UPPER(G54))),651110,IF(ISNUMBER(SEARCH("HONORARIOS",UPPER(G54))),702010,IF(ISNUMBER(SEARCH("ADMINISTRACION",UPPER(G54))),702010,IF(ISNUMBER(SEARCH("GERENCIAMIENTO",UPPER(G54))),702010,IF(ISNUMBER(SEARCH("ALQUILER",UPPER(G54))),702010,IF(ISNUMBER(SEARCH("AUDITORIA",UPPER(G54))),702010,IF(ISNUMBER(SEARCH("PRESTACIONAL",UPPER(G54))),702010,702010))))))))))))</f>
        <v/>
      </c>
      <c r="I54" s="122" t="n"/>
      <c r="J54" s="122" t="n"/>
      <c r="K54" s="123">
        <f>IF(N(I54)&gt;0,ROUND(N(I54)*IVA_general,2),0)</f>
        <v/>
      </c>
      <c r="L54" s="122" t="n">
        <v>0</v>
      </c>
      <c r="M54" s="122" t="n"/>
      <c r="N54" s="123">
        <f>IF(SUM(I54:M54)=0,"",SUM(I54:M54))</f>
        <v/>
      </c>
      <c r="O54" s="124">
        <f>IF(A54="","",TEXT(A54,"yyyy-mm"))</f>
        <v/>
      </c>
      <c r="P54" s="121">
        <f>IF(A54="","",YEAR(A54))</f>
        <v/>
      </c>
      <c r="Q54" s="121">
        <f>IF(A54="","",MONTH(A54))</f>
        <v/>
      </c>
      <c r="R54" s="116" t="n"/>
      <c r="S54" s="116" t="n"/>
      <c r="T54" s="120" t="n"/>
      <c r="U54" s="122" t="n">
        <v>0</v>
      </c>
      <c r="V54" s="123">
        <f>IF(B54="","",N54-U54)</f>
        <v/>
      </c>
      <c r="W54" s="116" t="n"/>
      <c r="X54" s="125">
        <f>IF(B54="","",IF(LEFT(B54,2)="NC",-1,1))</f>
        <v/>
      </c>
      <c r="Y54" s="123">
        <f>IF(B54="",0,N(I54)*X54)</f>
        <v/>
      </c>
      <c r="Z54" s="123">
        <f>IF(B54="",0,N(J54)*X54)</f>
        <v/>
      </c>
      <c r="AA54" s="123">
        <f>IF(B54="",0,N(K54)*X54)</f>
        <v/>
      </c>
      <c r="AB54" s="123">
        <f>IF(B54="",0,N(L54)*X54)</f>
        <v/>
      </c>
      <c r="AC54" s="123">
        <f>IF(B54="",0,N(N54)*X54)</f>
        <v/>
      </c>
    </row>
    <row r="55" ht="15" customHeight="1" s="83">
      <c r="A55" s="120" t="n"/>
      <c r="B55" s="116" t="n"/>
      <c r="C55" s="116" t="n"/>
      <c r="D55" s="116" t="n"/>
      <c r="E55" s="116" t="n"/>
      <c r="F55" s="116" t="n"/>
      <c r="G55" s="116" t="n"/>
      <c r="H55" s="121">
        <f>IF(G55="","",IF(ISNUMBER(SEARCH("CAPITA",UPPER(G55))),651110,IF(ISNUMBER(SEARCH("REFUERZO",UPPER(G55))),651110,IF(ISNUMBER(SEARCH("VACUNACION",UPPER(G55))),651110,IF(ISNUMBER(SEARCH("ENFERMERIA",UPPER(G55))),651110,IF(ISNUMBER(SEARCH("APORTES",UPPER(G55))),651110,IF(ISNUMBER(SEARCH("HONORARIOS",UPPER(G55))),702010,IF(ISNUMBER(SEARCH("ADMINISTRACION",UPPER(G55))),702010,IF(ISNUMBER(SEARCH("GERENCIAMIENTO",UPPER(G55))),702010,IF(ISNUMBER(SEARCH("ALQUILER",UPPER(G55))),702010,IF(ISNUMBER(SEARCH("AUDITORIA",UPPER(G55))),702010,IF(ISNUMBER(SEARCH("PRESTACIONAL",UPPER(G55))),702010,702010))))))))))))</f>
        <v/>
      </c>
      <c r="I55" s="122" t="n"/>
      <c r="J55" s="122" t="n"/>
      <c r="K55" s="123">
        <f>IF(N(I55)&gt;0,ROUND(N(I55)*IVA_general,2),0)</f>
        <v/>
      </c>
      <c r="L55" s="122" t="n">
        <v>0</v>
      </c>
      <c r="M55" s="122" t="n"/>
      <c r="N55" s="123">
        <f>IF(SUM(I55:M55)=0,"",SUM(I55:M55))</f>
        <v/>
      </c>
      <c r="O55" s="124">
        <f>IF(A55="","",TEXT(A55,"yyyy-mm"))</f>
        <v/>
      </c>
      <c r="P55" s="121">
        <f>IF(A55="","",YEAR(A55))</f>
        <v/>
      </c>
      <c r="Q55" s="121">
        <f>IF(A55="","",MONTH(A55))</f>
        <v/>
      </c>
      <c r="R55" s="116" t="n"/>
      <c r="S55" s="116" t="n"/>
      <c r="T55" s="120" t="n"/>
      <c r="U55" s="122" t="n">
        <v>0</v>
      </c>
      <c r="V55" s="123">
        <f>IF(B55="","",N55-U55)</f>
        <v/>
      </c>
      <c r="W55" s="116" t="n"/>
      <c r="X55" s="125">
        <f>IF(B55="","",IF(LEFT(B55,2)="NC",-1,1))</f>
        <v/>
      </c>
      <c r="Y55" s="123">
        <f>IF(B55="",0,N(I55)*X55)</f>
        <v/>
      </c>
      <c r="Z55" s="123">
        <f>IF(B55="",0,N(J55)*X55)</f>
        <v/>
      </c>
      <c r="AA55" s="123">
        <f>IF(B55="",0,N(K55)*X55)</f>
        <v/>
      </c>
      <c r="AB55" s="123">
        <f>IF(B55="",0,N(L55)*X55)</f>
        <v/>
      </c>
      <c r="AC55" s="123">
        <f>IF(B55="",0,N(N55)*X55)</f>
        <v/>
      </c>
    </row>
    <row r="56" ht="15" customHeight="1" s="83">
      <c r="A56" s="120" t="n"/>
      <c r="B56" s="116" t="n"/>
      <c r="C56" s="116" t="n"/>
      <c r="D56" s="116" t="n"/>
      <c r="E56" s="116" t="n"/>
      <c r="F56" s="116" t="n"/>
      <c r="G56" s="116" t="n"/>
      <c r="H56" s="121">
        <f>IF(G56="","",IF(ISNUMBER(SEARCH("CAPITA",UPPER(G56))),651110,IF(ISNUMBER(SEARCH("REFUERZO",UPPER(G56))),651110,IF(ISNUMBER(SEARCH("VACUNACION",UPPER(G56))),651110,IF(ISNUMBER(SEARCH("ENFERMERIA",UPPER(G56))),651110,IF(ISNUMBER(SEARCH("APORTES",UPPER(G56))),651110,IF(ISNUMBER(SEARCH("HONORARIOS",UPPER(G56))),702010,IF(ISNUMBER(SEARCH("ADMINISTRACION",UPPER(G56))),702010,IF(ISNUMBER(SEARCH("GERENCIAMIENTO",UPPER(G56))),702010,IF(ISNUMBER(SEARCH("ALQUILER",UPPER(G56))),702010,IF(ISNUMBER(SEARCH("AUDITORIA",UPPER(G56))),702010,IF(ISNUMBER(SEARCH("PRESTACIONAL",UPPER(G56))),702010,702010))))))))))))</f>
        <v/>
      </c>
      <c r="I56" s="122" t="n"/>
      <c r="J56" s="122" t="n"/>
      <c r="K56" s="123">
        <f>IF(N(I56)&gt;0,ROUND(N(I56)*IVA_general,2),0)</f>
        <v/>
      </c>
      <c r="L56" s="122" t="n">
        <v>0</v>
      </c>
      <c r="M56" s="122" t="n"/>
      <c r="N56" s="123">
        <f>IF(SUM(I56:M56)=0,"",SUM(I56:M56))</f>
        <v/>
      </c>
      <c r="O56" s="124">
        <f>IF(A56="","",TEXT(A56,"yyyy-mm"))</f>
        <v/>
      </c>
      <c r="P56" s="121">
        <f>IF(A56="","",YEAR(A56))</f>
        <v/>
      </c>
      <c r="Q56" s="121">
        <f>IF(A56="","",MONTH(A56))</f>
        <v/>
      </c>
      <c r="R56" s="116" t="n"/>
      <c r="S56" s="116" t="n"/>
      <c r="T56" s="120" t="n"/>
      <c r="U56" s="122" t="n">
        <v>0</v>
      </c>
      <c r="V56" s="123">
        <f>IF(B56="","",N56-U56)</f>
        <v/>
      </c>
      <c r="W56" s="116" t="n"/>
      <c r="X56" s="125">
        <f>IF(B56="","",IF(LEFT(B56,2)="NC",-1,1))</f>
        <v/>
      </c>
      <c r="Y56" s="123">
        <f>IF(B56="",0,N(I56)*X56)</f>
        <v/>
      </c>
      <c r="Z56" s="123">
        <f>IF(B56="",0,N(J56)*X56)</f>
        <v/>
      </c>
      <c r="AA56" s="123">
        <f>IF(B56="",0,N(K56)*X56)</f>
        <v/>
      </c>
      <c r="AB56" s="123">
        <f>IF(B56="",0,N(L56)*X56)</f>
        <v/>
      </c>
      <c r="AC56" s="123">
        <f>IF(B56="",0,N(N56)*X56)</f>
        <v/>
      </c>
    </row>
    <row r="57" ht="15" customHeight="1" s="83">
      <c r="A57" s="120" t="n"/>
      <c r="B57" s="116" t="n"/>
      <c r="C57" s="116" t="n"/>
      <c r="D57" s="116" t="n"/>
      <c r="E57" s="116" t="n"/>
      <c r="F57" s="116" t="n"/>
      <c r="G57" s="116" t="n"/>
      <c r="H57" s="121">
        <f>IF(G57="","",IF(ISNUMBER(SEARCH("CAPITA",UPPER(G57))),651110,IF(ISNUMBER(SEARCH("REFUERZO",UPPER(G57))),651110,IF(ISNUMBER(SEARCH("VACUNACION",UPPER(G57))),651110,IF(ISNUMBER(SEARCH("ENFERMERIA",UPPER(G57))),651110,IF(ISNUMBER(SEARCH("APORTES",UPPER(G57))),651110,IF(ISNUMBER(SEARCH("HONORARIOS",UPPER(G57))),702010,IF(ISNUMBER(SEARCH("ADMINISTRACION",UPPER(G57))),702010,IF(ISNUMBER(SEARCH("GERENCIAMIENTO",UPPER(G57))),702010,IF(ISNUMBER(SEARCH("ALQUILER",UPPER(G57))),702010,IF(ISNUMBER(SEARCH("AUDITORIA",UPPER(G57))),702010,IF(ISNUMBER(SEARCH("PRESTACIONAL",UPPER(G57))),702010,702010))))))))))))</f>
        <v/>
      </c>
      <c r="I57" s="122" t="n"/>
      <c r="J57" s="122" t="n"/>
      <c r="K57" s="123">
        <f>IF(N(I57)&gt;0,ROUND(N(I57)*IVA_general,2),0)</f>
        <v/>
      </c>
      <c r="L57" s="122" t="n">
        <v>0</v>
      </c>
      <c r="M57" s="122" t="n"/>
      <c r="N57" s="123">
        <f>IF(SUM(I57:M57)=0,"",SUM(I57:M57))</f>
        <v/>
      </c>
      <c r="O57" s="124">
        <f>IF(A57="","",TEXT(A57,"yyyy-mm"))</f>
        <v/>
      </c>
      <c r="P57" s="121">
        <f>IF(A57="","",YEAR(A57))</f>
        <v/>
      </c>
      <c r="Q57" s="121">
        <f>IF(A57="","",MONTH(A57))</f>
        <v/>
      </c>
      <c r="R57" s="116" t="n"/>
      <c r="S57" s="116" t="n"/>
      <c r="T57" s="120" t="n"/>
      <c r="U57" s="122" t="n">
        <v>0</v>
      </c>
      <c r="V57" s="123">
        <f>IF(B57="","",N57-U57)</f>
        <v/>
      </c>
      <c r="W57" s="116" t="n"/>
      <c r="X57" s="125">
        <f>IF(B57="","",IF(LEFT(B57,2)="NC",-1,1))</f>
        <v/>
      </c>
      <c r="Y57" s="123">
        <f>IF(B57="",0,N(I57)*X57)</f>
        <v/>
      </c>
      <c r="Z57" s="123">
        <f>IF(B57="",0,N(J57)*X57)</f>
        <v/>
      </c>
      <c r="AA57" s="123">
        <f>IF(B57="",0,N(K57)*X57)</f>
        <v/>
      </c>
      <c r="AB57" s="123">
        <f>IF(B57="",0,N(L57)*X57)</f>
        <v/>
      </c>
      <c r="AC57" s="123">
        <f>IF(B57="",0,N(N57)*X57)</f>
        <v/>
      </c>
    </row>
    <row r="58" ht="15" customHeight="1" s="83">
      <c r="A58" s="120" t="n"/>
      <c r="B58" s="116" t="n"/>
      <c r="C58" s="116" t="n"/>
      <c r="D58" s="116" t="n"/>
      <c r="E58" s="116" t="n"/>
      <c r="F58" s="116" t="n"/>
      <c r="G58" s="116" t="n"/>
      <c r="H58" s="121">
        <f>IF(G58="","",IF(ISNUMBER(SEARCH("CAPITA",UPPER(G58))),651110,IF(ISNUMBER(SEARCH("REFUERZO",UPPER(G58))),651110,IF(ISNUMBER(SEARCH("VACUNACION",UPPER(G58))),651110,IF(ISNUMBER(SEARCH("ENFERMERIA",UPPER(G58))),651110,IF(ISNUMBER(SEARCH("APORTES",UPPER(G58))),651110,IF(ISNUMBER(SEARCH("HONORARIOS",UPPER(G58))),702010,IF(ISNUMBER(SEARCH("ADMINISTRACION",UPPER(G58))),702010,IF(ISNUMBER(SEARCH("GERENCIAMIENTO",UPPER(G58))),702010,IF(ISNUMBER(SEARCH("ALQUILER",UPPER(G58))),702010,IF(ISNUMBER(SEARCH("AUDITORIA",UPPER(G58))),702010,IF(ISNUMBER(SEARCH("PRESTACIONAL",UPPER(G58))),702010,702010))))))))))))</f>
        <v/>
      </c>
      <c r="I58" s="122" t="n"/>
      <c r="J58" s="122" t="n"/>
      <c r="K58" s="123">
        <f>IF(N(I58)&gt;0,ROUND(N(I58)*IVA_general,2),0)</f>
        <v/>
      </c>
      <c r="L58" s="122" t="n">
        <v>0</v>
      </c>
      <c r="M58" s="122" t="n"/>
      <c r="N58" s="123">
        <f>IF(SUM(I58:M58)=0,"",SUM(I58:M58))</f>
        <v/>
      </c>
      <c r="O58" s="124">
        <f>IF(A58="","",TEXT(A58,"yyyy-mm"))</f>
        <v/>
      </c>
      <c r="P58" s="121">
        <f>IF(A58="","",YEAR(A58))</f>
        <v/>
      </c>
      <c r="Q58" s="121">
        <f>IF(A58="","",MONTH(A58))</f>
        <v/>
      </c>
      <c r="R58" s="116" t="n"/>
      <c r="S58" s="116" t="n"/>
      <c r="T58" s="120" t="n"/>
      <c r="U58" s="122" t="n">
        <v>0</v>
      </c>
      <c r="V58" s="123">
        <f>IF(B58="","",N58-U58)</f>
        <v/>
      </c>
      <c r="W58" s="116" t="n"/>
      <c r="X58" s="125">
        <f>IF(B58="","",IF(LEFT(B58,2)="NC",-1,1))</f>
        <v/>
      </c>
      <c r="Y58" s="123">
        <f>IF(B58="",0,N(I58)*X58)</f>
        <v/>
      </c>
      <c r="Z58" s="123">
        <f>IF(B58="",0,N(J58)*X58)</f>
        <v/>
      </c>
      <c r="AA58" s="123">
        <f>IF(B58="",0,N(K58)*X58)</f>
        <v/>
      </c>
      <c r="AB58" s="123">
        <f>IF(B58="",0,N(L58)*X58)</f>
        <v/>
      </c>
      <c r="AC58" s="123">
        <f>IF(B58="",0,N(N58)*X58)</f>
        <v/>
      </c>
    </row>
    <row r="59" ht="15" customHeight="1" s="83">
      <c r="A59" s="120" t="n"/>
      <c r="B59" s="116" t="n"/>
      <c r="C59" s="116" t="n"/>
      <c r="D59" s="116" t="n"/>
      <c r="E59" s="116" t="n"/>
      <c r="F59" s="116" t="n"/>
      <c r="G59" s="116" t="n"/>
      <c r="H59" s="121">
        <f>IF(G59="","",IF(ISNUMBER(SEARCH("CAPITA",UPPER(G59))),651110,IF(ISNUMBER(SEARCH("REFUERZO",UPPER(G59))),651110,IF(ISNUMBER(SEARCH("VACUNACION",UPPER(G59))),651110,IF(ISNUMBER(SEARCH("ENFERMERIA",UPPER(G59))),651110,IF(ISNUMBER(SEARCH("APORTES",UPPER(G59))),651110,IF(ISNUMBER(SEARCH("HONORARIOS",UPPER(G59))),702010,IF(ISNUMBER(SEARCH("ADMINISTRACION",UPPER(G59))),702010,IF(ISNUMBER(SEARCH("GERENCIAMIENTO",UPPER(G59))),702010,IF(ISNUMBER(SEARCH("ALQUILER",UPPER(G59))),702010,IF(ISNUMBER(SEARCH("AUDITORIA",UPPER(G59))),702010,IF(ISNUMBER(SEARCH("PRESTACIONAL",UPPER(G59))),702010,702010))))))))))))</f>
        <v/>
      </c>
      <c r="I59" s="122" t="n"/>
      <c r="J59" s="122" t="n"/>
      <c r="K59" s="123">
        <f>IF(N(I59)&gt;0,ROUND(N(I59)*IVA_general,2),0)</f>
        <v/>
      </c>
      <c r="L59" s="122" t="n">
        <v>0</v>
      </c>
      <c r="M59" s="122" t="n"/>
      <c r="N59" s="123">
        <f>IF(SUM(I59:M59)=0,"",SUM(I59:M59))</f>
        <v/>
      </c>
      <c r="O59" s="124">
        <f>IF(A59="","",TEXT(A59,"yyyy-mm"))</f>
        <v/>
      </c>
      <c r="P59" s="121">
        <f>IF(A59="","",YEAR(A59))</f>
        <v/>
      </c>
      <c r="Q59" s="121">
        <f>IF(A59="","",MONTH(A59))</f>
        <v/>
      </c>
      <c r="R59" s="116" t="n"/>
      <c r="S59" s="116" t="n"/>
      <c r="T59" s="120" t="n"/>
      <c r="U59" s="122" t="n">
        <v>0</v>
      </c>
      <c r="V59" s="123">
        <f>IF(B59="","",N59-U59)</f>
        <v/>
      </c>
      <c r="W59" s="116" t="n"/>
      <c r="X59" s="125">
        <f>IF(B59="","",IF(LEFT(B59,2)="NC",-1,1))</f>
        <v/>
      </c>
      <c r="Y59" s="123">
        <f>IF(B59="",0,N(I59)*X59)</f>
        <v/>
      </c>
      <c r="Z59" s="123">
        <f>IF(B59="",0,N(J59)*X59)</f>
        <v/>
      </c>
      <c r="AA59" s="123">
        <f>IF(B59="",0,N(K59)*X59)</f>
        <v/>
      </c>
      <c r="AB59" s="123">
        <f>IF(B59="",0,N(L59)*X59)</f>
        <v/>
      </c>
      <c r="AC59" s="123">
        <f>IF(B59="",0,N(N59)*X59)</f>
        <v/>
      </c>
    </row>
    <row r="60" ht="15" customHeight="1" s="83">
      <c r="A60" s="120" t="n"/>
      <c r="B60" s="116" t="n"/>
      <c r="C60" s="116" t="n"/>
      <c r="D60" s="116" t="n"/>
      <c r="E60" s="116" t="n"/>
      <c r="F60" s="116" t="n"/>
      <c r="G60" s="116" t="n"/>
      <c r="H60" s="121">
        <f>IF(G60="","",IF(ISNUMBER(SEARCH("CAPITA",UPPER(G60))),651110,IF(ISNUMBER(SEARCH("REFUERZO",UPPER(G60))),651110,IF(ISNUMBER(SEARCH("VACUNACION",UPPER(G60))),651110,IF(ISNUMBER(SEARCH("ENFERMERIA",UPPER(G60))),651110,IF(ISNUMBER(SEARCH("APORTES",UPPER(G60))),651110,IF(ISNUMBER(SEARCH("HONORARIOS",UPPER(G60))),702010,IF(ISNUMBER(SEARCH("ADMINISTRACION",UPPER(G60))),702010,IF(ISNUMBER(SEARCH("GERENCIAMIENTO",UPPER(G60))),702010,IF(ISNUMBER(SEARCH("ALQUILER",UPPER(G60))),702010,IF(ISNUMBER(SEARCH("AUDITORIA",UPPER(G60))),702010,IF(ISNUMBER(SEARCH("PRESTACIONAL",UPPER(G60))),702010,702010))))))))))))</f>
        <v/>
      </c>
      <c r="I60" s="122" t="n"/>
      <c r="J60" s="122" t="n"/>
      <c r="K60" s="123">
        <f>IF(N(I60)&gt;0,ROUND(N(I60)*IVA_general,2),0)</f>
        <v/>
      </c>
      <c r="L60" s="122" t="n">
        <v>0</v>
      </c>
      <c r="M60" s="122" t="n"/>
      <c r="N60" s="123">
        <f>IF(SUM(I60:M60)=0,"",SUM(I60:M60))</f>
        <v/>
      </c>
      <c r="O60" s="124">
        <f>IF(A60="","",TEXT(A60,"yyyy-mm"))</f>
        <v/>
      </c>
      <c r="P60" s="121">
        <f>IF(A60="","",YEAR(A60))</f>
        <v/>
      </c>
      <c r="Q60" s="121">
        <f>IF(A60="","",MONTH(A60))</f>
        <v/>
      </c>
      <c r="R60" s="116" t="n"/>
      <c r="S60" s="116" t="n"/>
      <c r="T60" s="120" t="n"/>
      <c r="U60" s="122" t="n">
        <v>0</v>
      </c>
      <c r="V60" s="123">
        <f>IF(B60="","",N60-U60)</f>
        <v/>
      </c>
      <c r="W60" s="116" t="n"/>
      <c r="X60" s="125">
        <f>IF(B60="","",IF(LEFT(B60,2)="NC",-1,1))</f>
        <v/>
      </c>
      <c r="Y60" s="123">
        <f>IF(B60="",0,N(I60)*X60)</f>
        <v/>
      </c>
      <c r="Z60" s="123">
        <f>IF(B60="",0,N(J60)*X60)</f>
        <v/>
      </c>
      <c r="AA60" s="123">
        <f>IF(B60="",0,N(K60)*X60)</f>
        <v/>
      </c>
      <c r="AB60" s="123">
        <f>IF(B60="",0,N(L60)*X60)</f>
        <v/>
      </c>
      <c r="AC60" s="123">
        <f>IF(B60="",0,N(N60)*X60)</f>
        <v/>
      </c>
    </row>
    <row r="61" ht="15" customHeight="1" s="83">
      <c r="A61" s="120" t="n"/>
      <c r="B61" s="116" t="n"/>
      <c r="C61" s="116" t="n"/>
      <c r="D61" s="116" t="n"/>
      <c r="E61" s="116" t="n"/>
      <c r="F61" s="116" t="n"/>
      <c r="G61" s="116" t="n"/>
      <c r="H61" s="121">
        <f>IF(G61="","",IF(ISNUMBER(SEARCH("CAPITA",UPPER(G61))),651110,IF(ISNUMBER(SEARCH("REFUERZO",UPPER(G61))),651110,IF(ISNUMBER(SEARCH("VACUNACION",UPPER(G61))),651110,IF(ISNUMBER(SEARCH("ENFERMERIA",UPPER(G61))),651110,IF(ISNUMBER(SEARCH("APORTES",UPPER(G61))),651110,IF(ISNUMBER(SEARCH("HONORARIOS",UPPER(G61))),702010,IF(ISNUMBER(SEARCH("ADMINISTRACION",UPPER(G61))),702010,IF(ISNUMBER(SEARCH("GERENCIAMIENTO",UPPER(G61))),702010,IF(ISNUMBER(SEARCH("ALQUILER",UPPER(G61))),702010,IF(ISNUMBER(SEARCH("AUDITORIA",UPPER(G61))),702010,IF(ISNUMBER(SEARCH("PRESTACIONAL",UPPER(G61))),702010,702010))))))))))))</f>
        <v/>
      </c>
      <c r="I61" s="122" t="n"/>
      <c r="J61" s="122" t="n"/>
      <c r="K61" s="123">
        <f>IF(N(I61)&gt;0,ROUND(N(I61)*IVA_general,2),0)</f>
        <v/>
      </c>
      <c r="L61" s="122" t="n">
        <v>0</v>
      </c>
      <c r="M61" s="122" t="n"/>
      <c r="N61" s="123">
        <f>IF(SUM(I61:M61)=0,"",SUM(I61:M61))</f>
        <v/>
      </c>
      <c r="O61" s="124">
        <f>IF(A61="","",TEXT(A61,"yyyy-mm"))</f>
        <v/>
      </c>
      <c r="P61" s="121">
        <f>IF(A61="","",YEAR(A61))</f>
        <v/>
      </c>
      <c r="Q61" s="121">
        <f>IF(A61="","",MONTH(A61))</f>
        <v/>
      </c>
      <c r="R61" s="116" t="n"/>
      <c r="S61" s="116" t="n"/>
      <c r="T61" s="120" t="n"/>
      <c r="U61" s="122" t="n">
        <v>0</v>
      </c>
      <c r="V61" s="123">
        <f>IF(B61="","",N61-U61)</f>
        <v/>
      </c>
      <c r="W61" s="116" t="n"/>
      <c r="X61" s="125">
        <f>IF(B61="","",IF(LEFT(B61,2)="NC",-1,1))</f>
        <v/>
      </c>
      <c r="Y61" s="123">
        <f>IF(B61="",0,N(I61)*X61)</f>
        <v/>
      </c>
      <c r="Z61" s="123">
        <f>IF(B61="",0,N(J61)*X61)</f>
        <v/>
      </c>
      <c r="AA61" s="123">
        <f>IF(B61="",0,N(K61)*X61)</f>
        <v/>
      </c>
      <c r="AB61" s="123">
        <f>IF(B61="",0,N(L61)*X61)</f>
        <v/>
      </c>
      <c r="AC61" s="123">
        <f>IF(B61="",0,N(N61)*X61)</f>
        <v/>
      </c>
    </row>
    <row r="62" ht="15" customHeight="1" s="83">
      <c r="A62" s="120" t="n"/>
      <c r="B62" s="116" t="n"/>
      <c r="C62" s="116" t="n"/>
      <c r="D62" s="116" t="n"/>
      <c r="E62" s="116" t="n"/>
      <c r="F62" s="116" t="n"/>
      <c r="G62" s="116" t="n"/>
      <c r="H62" s="121">
        <f>IF(G62="","",IF(ISNUMBER(SEARCH("CAPITA",UPPER(G62))),651110,IF(ISNUMBER(SEARCH("REFUERZO",UPPER(G62))),651110,IF(ISNUMBER(SEARCH("VACUNACION",UPPER(G62))),651110,IF(ISNUMBER(SEARCH("ENFERMERIA",UPPER(G62))),651110,IF(ISNUMBER(SEARCH("APORTES",UPPER(G62))),651110,IF(ISNUMBER(SEARCH("HONORARIOS",UPPER(G62))),702010,IF(ISNUMBER(SEARCH("ADMINISTRACION",UPPER(G62))),702010,IF(ISNUMBER(SEARCH("GERENCIAMIENTO",UPPER(G62))),702010,IF(ISNUMBER(SEARCH("ALQUILER",UPPER(G62))),702010,IF(ISNUMBER(SEARCH("AUDITORIA",UPPER(G62))),702010,IF(ISNUMBER(SEARCH("PRESTACIONAL",UPPER(G62))),702010,702010))))))))))))</f>
        <v/>
      </c>
      <c r="I62" s="122" t="n"/>
      <c r="J62" s="122" t="n"/>
      <c r="K62" s="123">
        <f>IF(N(I62)&gt;0,ROUND(N(I62)*IVA_general,2),0)</f>
        <v/>
      </c>
      <c r="L62" s="122" t="n">
        <v>0</v>
      </c>
      <c r="M62" s="122" t="n"/>
      <c r="N62" s="123">
        <f>IF(SUM(I62:M62)=0,"",SUM(I62:M62))</f>
        <v/>
      </c>
      <c r="O62" s="124">
        <f>IF(A62="","",TEXT(A62,"yyyy-mm"))</f>
        <v/>
      </c>
      <c r="P62" s="121">
        <f>IF(A62="","",YEAR(A62))</f>
        <v/>
      </c>
      <c r="Q62" s="121">
        <f>IF(A62="","",MONTH(A62))</f>
        <v/>
      </c>
      <c r="R62" s="116" t="n"/>
      <c r="S62" s="116" t="n"/>
      <c r="T62" s="120" t="n"/>
      <c r="U62" s="122" t="n">
        <v>0</v>
      </c>
      <c r="V62" s="123">
        <f>IF(B62="","",N62-U62)</f>
        <v/>
      </c>
      <c r="W62" s="116" t="n"/>
      <c r="X62" s="125">
        <f>IF(B62="","",IF(LEFT(B62,2)="NC",-1,1))</f>
        <v/>
      </c>
      <c r="Y62" s="123">
        <f>IF(B62="",0,N(I62)*X62)</f>
        <v/>
      </c>
      <c r="Z62" s="123">
        <f>IF(B62="",0,N(J62)*X62)</f>
        <v/>
      </c>
      <c r="AA62" s="123">
        <f>IF(B62="",0,N(K62)*X62)</f>
        <v/>
      </c>
      <c r="AB62" s="123">
        <f>IF(B62="",0,N(L62)*X62)</f>
        <v/>
      </c>
      <c r="AC62" s="123">
        <f>IF(B62="",0,N(N62)*X62)</f>
        <v/>
      </c>
    </row>
    <row r="63" ht="15" customHeight="1" s="83">
      <c r="A63" s="120" t="n"/>
      <c r="B63" s="116" t="n"/>
      <c r="C63" s="116" t="n"/>
      <c r="D63" s="116" t="n"/>
      <c r="E63" s="116" t="n"/>
      <c r="F63" s="116" t="n"/>
      <c r="G63" s="116" t="n"/>
      <c r="H63" s="121">
        <f>IF(G63="","",IF(ISNUMBER(SEARCH("CAPITA",UPPER(G63))),651110,IF(ISNUMBER(SEARCH("REFUERZO",UPPER(G63))),651110,IF(ISNUMBER(SEARCH("VACUNACION",UPPER(G63))),651110,IF(ISNUMBER(SEARCH("ENFERMERIA",UPPER(G63))),651110,IF(ISNUMBER(SEARCH("APORTES",UPPER(G63))),651110,IF(ISNUMBER(SEARCH("HONORARIOS",UPPER(G63))),702010,IF(ISNUMBER(SEARCH("ADMINISTRACION",UPPER(G63))),702010,IF(ISNUMBER(SEARCH("GERENCIAMIENTO",UPPER(G63))),702010,IF(ISNUMBER(SEARCH("ALQUILER",UPPER(G63))),702010,IF(ISNUMBER(SEARCH("AUDITORIA",UPPER(G63))),702010,IF(ISNUMBER(SEARCH("PRESTACIONAL",UPPER(G63))),702010,702010))))))))))))</f>
        <v/>
      </c>
      <c r="I63" s="122" t="n"/>
      <c r="J63" s="122" t="n"/>
      <c r="K63" s="123">
        <f>IF(N(I63)&gt;0,ROUND(N(I63)*IVA_general,2),0)</f>
        <v/>
      </c>
      <c r="L63" s="122" t="n">
        <v>0</v>
      </c>
      <c r="M63" s="122" t="n"/>
      <c r="N63" s="123">
        <f>IF(SUM(I63:M63)=0,"",SUM(I63:M63))</f>
        <v/>
      </c>
      <c r="O63" s="124">
        <f>IF(A63="","",TEXT(A63,"yyyy-mm"))</f>
        <v/>
      </c>
      <c r="P63" s="121">
        <f>IF(A63="","",YEAR(A63))</f>
        <v/>
      </c>
      <c r="Q63" s="121">
        <f>IF(A63="","",MONTH(A63))</f>
        <v/>
      </c>
      <c r="R63" s="116" t="n"/>
      <c r="S63" s="116" t="n"/>
      <c r="T63" s="120" t="n"/>
      <c r="U63" s="122" t="n">
        <v>0</v>
      </c>
      <c r="V63" s="123">
        <f>IF(B63="","",N63-U63)</f>
        <v/>
      </c>
      <c r="W63" s="116" t="n"/>
      <c r="X63" s="125">
        <f>IF(B63="","",IF(LEFT(B63,2)="NC",-1,1))</f>
        <v/>
      </c>
      <c r="Y63" s="123">
        <f>IF(B63="",0,N(I63)*X63)</f>
        <v/>
      </c>
      <c r="Z63" s="123">
        <f>IF(B63="",0,N(J63)*X63)</f>
        <v/>
      </c>
      <c r="AA63" s="123">
        <f>IF(B63="",0,N(K63)*X63)</f>
        <v/>
      </c>
      <c r="AB63" s="123">
        <f>IF(B63="",0,N(L63)*X63)</f>
        <v/>
      </c>
      <c r="AC63" s="123">
        <f>IF(B63="",0,N(N63)*X63)</f>
        <v/>
      </c>
    </row>
    <row r="64" ht="15" customHeight="1" s="83">
      <c r="A64" s="120" t="n"/>
      <c r="B64" s="116" t="n"/>
      <c r="C64" s="116" t="n"/>
      <c r="D64" s="116" t="n"/>
      <c r="E64" s="116" t="n"/>
      <c r="F64" s="116" t="n"/>
      <c r="G64" s="116" t="n"/>
      <c r="H64" s="121">
        <f>IF(G64="","",IF(ISNUMBER(SEARCH("CAPITA",UPPER(G64))),651110,IF(ISNUMBER(SEARCH("REFUERZO",UPPER(G64))),651110,IF(ISNUMBER(SEARCH("VACUNACION",UPPER(G64))),651110,IF(ISNUMBER(SEARCH("ENFERMERIA",UPPER(G64))),651110,IF(ISNUMBER(SEARCH("APORTES",UPPER(G64))),651110,IF(ISNUMBER(SEARCH("HONORARIOS",UPPER(G64))),702010,IF(ISNUMBER(SEARCH("ADMINISTRACION",UPPER(G64))),702010,IF(ISNUMBER(SEARCH("GERENCIAMIENTO",UPPER(G64))),702010,IF(ISNUMBER(SEARCH("ALQUILER",UPPER(G64))),702010,IF(ISNUMBER(SEARCH("AUDITORIA",UPPER(G64))),702010,IF(ISNUMBER(SEARCH("PRESTACIONAL",UPPER(G64))),702010,702010))))))))))))</f>
        <v/>
      </c>
      <c r="I64" s="122" t="n"/>
      <c r="J64" s="122" t="n"/>
      <c r="K64" s="123">
        <f>IF(N(I64)&gt;0,ROUND(N(I64)*IVA_general,2),0)</f>
        <v/>
      </c>
      <c r="L64" s="122" t="n">
        <v>0</v>
      </c>
      <c r="M64" s="122" t="n"/>
      <c r="N64" s="123">
        <f>IF(SUM(I64:M64)=0,"",SUM(I64:M64))</f>
        <v/>
      </c>
      <c r="O64" s="124">
        <f>IF(A64="","",TEXT(A64,"yyyy-mm"))</f>
        <v/>
      </c>
      <c r="P64" s="121">
        <f>IF(A64="","",YEAR(A64))</f>
        <v/>
      </c>
      <c r="Q64" s="121">
        <f>IF(A64="","",MONTH(A64))</f>
        <v/>
      </c>
      <c r="R64" s="116" t="n"/>
      <c r="S64" s="116" t="n"/>
      <c r="T64" s="120" t="n"/>
      <c r="U64" s="122" t="n">
        <v>0</v>
      </c>
      <c r="V64" s="123">
        <f>IF(B64="","",N64-U64)</f>
        <v/>
      </c>
      <c r="W64" s="116" t="n"/>
      <c r="X64" s="125">
        <f>IF(B64="","",IF(LEFT(B64,2)="NC",-1,1))</f>
        <v/>
      </c>
      <c r="Y64" s="123">
        <f>IF(B64="",0,N(I64)*X64)</f>
        <v/>
      </c>
      <c r="Z64" s="123">
        <f>IF(B64="",0,N(J64)*X64)</f>
        <v/>
      </c>
      <c r="AA64" s="123">
        <f>IF(B64="",0,N(K64)*X64)</f>
        <v/>
      </c>
      <c r="AB64" s="123">
        <f>IF(B64="",0,N(L64)*X64)</f>
        <v/>
      </c>
      <c r="AC64" s="123">
        <f>IF(B64="",0,N(N64)*X64)</f>
        <v/>
      </c>
    </row>
    <row r="65" ht="15" customHeight="1" s="83">
      <c r="A65" s="120" t="n"/>
      <c r="B65" s="116" t="n"/>
      <c r="C65" s="116" t="n"/>
      <c r="D65" s="116" t="n"/>
      <c r="E65" s="116" t="n"/>
      <c r="F65" s="116" t="n"/>
      <c r="G65" s="116" t="n"/>
      <c r="H65" s="121">
        <f>IF(G65="","",IF(ISNUMBER(SEARCH("CAPITA",UPPER(G65))),651110,IF(ISNUMBER(SEARCH("REFUERZO",UPPER(G65))),651110,IF(ISNUMBER(SEARCH("VACUNACION",UPPER(G65))),651110,IF(ISNUMBER(SEARCH("ENFERMERIA",UPPER(G65))),651110,IF(ISNUMBER(SEARCH("APORTES",UPPER(G65))),651110,IF(ISNUMBER(SEARCH("HONORARIOS",UPPER(G65))),702010,IF(ISNUMBER(SEARCH("ADMINISTRACION",UPPER(G65))),702010,IF(ISNUMBER(SEARCH("GERENCIAMIENTO",UPPER(G65))),702010,IF(ISNUMBER(SEARCH("ALQUILER",UPPER(G65))),702010,IF(ISNUMBER(SEARCH("AUDITORIA",UPPER(G65))),702010,IF(ISNUMBER(SEARCH("PRESTACIONAL",UPPER(G65))),702010,702010))))))))))))</f>
        <v/>
      </c>
      <c r="I65" s="122" t="n"/>
      <c r="J65" s="122" t="n"/>
      <c r="K65" s="123">
        <f>IF(N(I65)&gt;0,ROUND(N(I65)*IVA_general,2),0)</f>
        <v/>
      </c>
      <c r="L65" s="122" t="n">
        <v>0</v>
      </c>
      <c r="M65" s="122" t="n"/>
      <c r="N65" s="123">
        <f>IF(SUM(I65:M65)=0,"",SUM(I65:M65))</f>
        <v/>
      </c>
      <c r="O65" s="124">
        <f>IF(A65="","",TEXT(A65,"yyyy-mm"))</f>
        <v/>
      </c>
      <c r="P65" s="121">
        <f>IF(A65="","",YEAR(A65))</f>
        <v/>
      </c>
      <c r="Q65" s="121">
        <f>IF(A65="","",MONTH(A65))</f>
        <v/>
      </c>
      <c r="R65" s="116" t="n"/>
      <c r="S65" s="116" t="n"/>
      <c r="T65" s="120" t="n"/>
      <c r="U65" s="122" t="n">
        <v>0</v>
      </c>
      <c r="V65" s="123">
        <f>IF(B65="","",N65-U65)</f>
        <v/>
      </c>
      <c r="W65" s="116" t="n"/>
      <c r="X65" s="125">
        <f>IF(B65="","",IF(LEFT(B65,2)="NC",-1,1))</f>
        <v/>
      </c>
      <c r="Y65" s="123">
        <f>IF(B65="",0,N(I65)*X65)</f>
        <v/>
      </c>
      <c r="Z65" s="123">
        <f>IF(B65="",0,N(J65)*X65)</f>
        <v/>
      </c>
      <c r="AA65" s="123">
        <f>IF(B65="",0,N(K65)*X65)</f>
        <v/>
      </c>
      <c r="AB65" s="123">
        <f>IF(B65="",0,N(L65)*X65)</f>
        <v/>
      </c>
      <c r="AC65" s="123">
        <f>IF(B65="",0,N(N65)*X65)</f>
        <v/>
      </c>
    </row>
    <row r="66" ht="15" customHeight="1" s="83">
      <c r="A66" s="120" t="n"/>
      <c r="B66" s="116" t="n"/>
      <c r="C66" s="116" t="n"/>
      <c r="D66" s="116" t="n"/>
      <c r="E66" s="116" t="n"/>
      <c r="F66" s="116" t="n"/>
      <c r="G66" s="116" t="n"/>
      <c r="H66" s="121">
        <f>IF(G66="","",IF(ISNUMBER(SEARCH("CAPITA",UPPER(G66))),651110,IF(ISNUMBER(SEARCH("REFUERZO",UPPER(G66))),651110,IF(ISNUMBER(SEARCH("VACUNACION",UPPER(G66))),651110,IF(ISNUMBER(SEARCH("ENFERMERIA",UPPER(G66))),651110,IF(ISNUMBER(SEARCH("APORTES",UPPER(G66))),651110,IF(ISNUMBER(SEARCH("HONORARIOS",UPPER(G66))),702010,IF(ISNUMBER(SEARCH("ADMINISTRACION",UPPER(G66))),702010,IF(ISNUMBER(SEARCH("GERENCIAMIENTO",UPPER(G66))),702010,IF(ISNUMBER(SEARCH("ALQUILER",UPPER(G66))),702010,IF(ISNUMBER(SEARCH("AUDITORIA",UPPER(G66))),702010,IF(ISNUMBER(SEARCH("PRESTACIONAL",UPPER(G66))),702010,702010))))))))))))</f>
        <v/>
      </c>
      <c r="I66" s="122" t="n"/>
      <c r="J66" s="122" t="n"/>
      <c r="K66" s="123">
        <f>IF(N(I66)&gt;0,ROUND(N(I66)*IVA_general,2),0)</f>
        <v/>
      </c>
      <c r="L66" s="122" t="n">
        <v>0</v>
      </c>
      <c r="M66" s="122" t="n"/>
      <c r="N66" s="123">
        <f>IF(SUM(I66:M66)=0,"",SUM(I66:M66))</f>
        <v/>
      </c>
      <c r="O66" s="124">
        <f>IF(A66="","",TEXT(A66,"yyyy-mm"))</f>
        <v/>
      </c>
      <c r="P66" s="121">
        <f>IF(A66="","",YEAR(A66))</f>
        <v/>
      </c>
      <c r="Q66" s="121">
        <f>IF(A66="","",MONTH(A66))</f>
        <v/>
      </c>
      <c r="R66" s="116" t="n"/>
      <c r="S66" s="116" t="n"/>
      <c r="T66" s="120" t="n"/>
      <c r="U66" s="122" t="n">
        <v>0</v>
      </c>
      <c r="V66" s="123">
        <f>IF(B66="","",N66-U66)</f>
        <v/>
      </c>
      <c r="W66" s="116" t="n"/>
      <c r="X66" s="125">
        <f>IF(B66="","",IF(LEFT(B66,2)="NC",-1,1))</f>
        <v/>
      </c>
      <c r="Y66" s="123">
        <f>IF(B66="",0,N(I66)*X66)</f>
        <v/>
      </c>
      <c r="Z66" s="123">
        <f>IF(B66="",0,N(J66)*X66)</f>
        <v/>
      </c>
      <c r="AA66" s="123">
        <f>IF(B66="",0,N(K66)*X66)</f>
        <v/>
      </c>
      <c r="AB66" s="123">
        <f>IF(B66="",0,N(L66)*X66)</f>
        <v/>
      </c>
      <c r="AC66" s="123">
        <f>IF(B66="",0,N(N66)*X66)</f>
        <v/>
      </c>
    </row>
    <row r="67" ht="15" customHeight="1" s="83">
      <c r="A67" s="120" t="n"/>
      <c r="B67" s="116" t="n"/>
      <c r="C67" s="116" t="n"/>
      <c r="D67" s="116" t="n"/>
      <c r="E67" s="116" t="n"/>
      <c r="F67" s="116" t="n"/>
      <c r="G67" s="116" t="n"/>
      <c r="H67" s="121">
        <f>IF(G67="","",IF(ISNUMBER(SEARCH("CAPITA",UPPER(G67))),651110,IF(ISNUMBER(SEARCH("REFUERZO",UPPER(G67))),651110,IF(ISNUMBER(SEARCH("VACUNACION",UPPER(G67))),651110,IF(ISNUMBER(SEARCH("ENFERMERIA",UPPER(G67))),651110,IF(ISNUMBER(SEARCH("APORTES",UPPER(G67))),651110,IF(ISNUMBER(SEARCH("HONORARIOS",UPPER(G67))),702010,IF(ISNUMBER(SEARCH("ADMINISTRACION",UPPER(G67))),702010,IF(ISNUMBER(SEARCH("GERENCIAMIENTO",UPPER(G67))),702010,IF(ISNUMBER(SEARCH("ALQUILER",UPPER(G67))),702010,IF(ISNUMBER(SEARCH("AUDITORIA",UPPER(G67))),702010,IF(ISNUMBER(SEARCH("PRESTACIONAL",UPPER(G67))),702010,702010))))))))))))</f>
        <v/>
      </c>
      <c r="I67" s="122" t="n"/>
      <c r="J67" s="122" t="n"/>
      <c r="K67" s="123">
        <f>IF(N(I67)&gt;0,ROUND(N(I67)*IVA_general,2),0)</f>
        <v/>
      </c>
      <c r="L67" s="122" t="n">
        <v>0</v>
      </c>
      <c r="M67" s="122" t="n"/>
      <c r="N67" s="123">
        <f>IF(SUM(I67:M67)=0,"",SUM(I67:M67))</f>
        <v/>
      </c>
      <c r="O67" s="124">
        <f>IF(A67="","",TEXT(A67,"yyyy-mm"))</f>
        <v/>
      </c>
      <c r="P67" s="121">
        <f>IF(A67="","",YEAR(A67))</f>
        <v/>
      </c>
      <c r="Q67" s="121">
        <f>IF(A67="","",MONTH(A67))</f>
        <v/>
      </c>
      <c r="R67" s="116" t="n"/>
      <c r="S67" s="116" t="n"/>
      <c r="T67" s="120" t="n"/>
      <c r="U67" s="122" t="n">
        <v>0</v>
      </c>
      <c r="V67" s="123">
        <f>IF(B67="","",N67-U67)</f>
        <v/>
      </c>
      <c r="W67" s="116" t="n"/>
      <c r="X67" s="125">
        <f>IF(B67="","",IF(LEFT(B67,2)="NC",-1,1))</f>
        <v/>
      </c>
      <c r="Y67" s="123">
        <f>IF(B67="",0,N(I67)*X67)</f>
        <v/>
      </c>
      <c r="Z67" s="123">
        <f>IF(B67="",0,N(J67)*X67)</f>
        <v/>
      </c>
      <c r="AA67" s="123">
        <f>IF(B67="",0,N(K67)*X67)</f>
        <v/>
      </c>
      <c r="AB67" s="123">
        <f>IF(B67="",0,N(L67)*X67)</f>
        <v/>
      </c>
      <c r="AC67" s="123">
        <f>IF(B67="",0,N(N67)*X67)</f>
        <v/>
      </c>
    </row>
    <row r="68" ht="15" customHeight="1" s="83">
      <c r="A68" s="120" t="n"/>
      <c r="B68" s="116" t="n"/>
      <c r="C68" s="116" t="n"/>
      <c r="D68" s="116" t="n"/>
      <c r="E68" s="116" t="n"/>
      <c r="F68" s="116" t="n"/>
      <c r="G68" s="116" t="n"/>
      <c r="H68" s="121">
        <f>IF(G68="","",IF(ISNUMBER(SEARCH("CAPITA",UPPER(G68))),651110,IF(ISNUMBER(SEARCH("REFUERZO",UPPER(G68))),651110,IF(ISNUMBER(SEARCH("VACUNACION",UPPER(G68))),651110,IF(ISNUMBER(SEARCH("ENFERMERIA",UPPER(G68))),651110,IF(ISNUMBER(SEARCH("APORTES",UPPER(G68))),651110,IF(ISNUMBER(SEARCH("HONORARIOS",UPPER(G68))),702010,IF(ISNUMBER(SEARCH("ADMINISTRACION",UPPER(G68))),702010,IF(ISNUMBER(SEARCH("GERENCIAMIENTO",UPPER(G68))),702010,IF(ISNUMBER(SEARCH("ALQUILER",UPPER(G68))),702010,IF(ISNUMBER(SEARCH("AUDITORIA",UPPER(G68))),702010,IF(ISNUMBER(SEARCH("PRESTACIONAL",UPPER(G68))),702010,702010))))))))))))</f>
        <v/>
      </c>
      <c r="I68" s="122" t="n"/>
      <c r="J68" s="122" t="n"/>
      <c r="K68" s="123">
        <f>IF(N(I68)&gt;0,ROUND(N(I68)*IVA_general,2),0)</f>
        <v/>
      </c>
      <c r="L68" s="122" t="n">
        <v>0</v>
      </c>
      <c r="M68" s="122" t="n"/>
      <c r="N68" s="123">
        <f>IF(SUM(I68:M68)=0,"",SUM(I68:M68))</f>
        <v/>
      </c>
      <c r="O68" s="124">
        <f>IF(A68="","",TEXT(A68,"yyyy-mm"))</f>
        <v/>
      </c>
      <c r="P68" s="121">
        <f>IF(A68="","",YEAR(A68))</f>
        <v/>
      </c>
      <c r="Q68" s="121">
        <f>IF(A68="","",MONTH(A68))</f>
        <v/>
      </c>
      <c r="R68" s="116" t="n"/>
      <c r="S68" s="116" t="n"/>
      <c r="T68" s="120" t="n"/>
      <c r="U68" s="122" t="n">
        <v>0</v>
      </c>
      <c r="V68" s="123">
        <f>IF(B68="","",N68-U68)</f>
        <v/>
      </c>
      <c r="W68" s="116" t="n"/>
      <c r="X68" s="125">
        <f>IF(B68="","",IF(LEFT(B68,2)="NC",-1,1))</f>
        <v/>
      </c>
      <c r="Y68" s="123">
        <f>IF(B68="",0,N(I68)*X68)</f>
        <v/>
      </c>
      <c r="Z68" s="123">
        <f>IF(B68="",0,N(J68)*X68)</f>
        <v/>
      </c>
      <c r="AA68" s="123">
        <f>IF(B68="",0,N(K68)*X68)</f>
        <v/>
      </c>
      <c r="AB68" s="123">
        <f>IF(B68="",0,N(L68)*X68)</f>
        <v/>
      </c>
      <c r="AC68" s="123">
        <f>IF(B68="",0,N(N68)*X68)</f>
        <v/>
      </c>
    </row>
    <row r="69" ht="15" customHeight="1" s="83">
      <c r="A69" s="120" t="n"/>
      <c r="B69" s="116" t="n"/>
      <c r="C69" s="116" t="n"/>
      <c r="D69" s="116" t="n"/>
      <c r="E69" s="116" t="n"/>
      <c r="F69" s="116" t="n"/>
      <c r="G69" s="116" t="n"/>
      <c r="H69" s="121">
        <f>IF(G69="","",IF(ISNUMBER(SEARCH("CAPITA",UPPER(G69))),651110,IF(ISNUMBER(SEARCH("REFUERZO",UPPER(G69))),651110,IF(ISNUMBER(SEARCH("VACUNACION",UPPER(G69))),651110,IF(ISNUMBER(SEARCH("ENFERMERIA",UPPER(G69))),651110,IF(ISNUMBER(SEARCH("APORTES",UPPER(G69))),651110,IF(ISNUMBER(SEARCH("HONORARIOS",UPPER(G69))),702010,IF(ISNUMBER(SEARCH("ADMINISTRACION",UPPER(G69))),702010,IF(ISNUMBER(SEARCH("GERENCIAMIENTO",UPPER(G69))),702010,IF(ISNUMBER(SEARCH("ALQUILER",UPPER(G69))),702010,IF(ISNUMBER(SEARCH("AUDITORIA",UPPER(G69))),702010,IF(ISNUMBER(SEARCH("PRESTACIONAL",UPPER(G69))),702010,702010))))))))))))</f>
        <v/>
      </c>
      <c r="I69" s="122" t="n"/>
      <c r="J69" s="122" t="n"/>
      <c r="K69" s="123">
        <f>IF(N(I69)&gt;0,ROUND(N(I69)*IVA_general,2),0)</f>
        <v/>
      </c>
      <c r="L69" s="122" t="n">
        <v>0</v>
      </c>
      <c r="M69" s="122" t="n"/>
      <c r="N69" s="123">
        <f>IF(SUM(I69:M69)=0,"",SUM(I69:M69))</f>
        <v/>
      </c>
      <c r="O69" s="124">
        <f>IF(A69="","",TEXT(A69,"yyyy-mm"))</f>
        <v/>
      </c>
      <c r="P69" s="121">
        <f>IF(A69="","",YEAR(A69))</f>
        <v/>
      </c>
      <c r="Q69" s="121">
        <f>IF(A69="","",MONTH(A69))</f>
        <v/>
      </c>
      <c r="R69" s="116" t="n"/>
      <c r="S69" s="116" t="n"/>
      <c r="T69" s="120" t="n"/>
      <c r="U69" s="122" t="n">
        <v>0</v>
      </c>
      <c r="V69" s="123">
        <f>IF(B69="","",N69-U69)</f>
        <v/>
      </c>
      <c r="W69" s="116" t="n"/>
      <c r="X69" s="125">
        <f>IF(B69="","",IF(LEFT(B69,2)="NC",-1,1))</f>
        <v/>
      </c>
      <c r="Y69" s="123">
        <f>IF(B69="",0,N(I69)*X69)</f>
        <v/>
      </c>
      <c r="Z69" s="123">
        <f>IF(B69="",0,N(J69)*X69)</f>
        <v/>
      </c>
      <c r="AA69" s="123">
        <f>IF(B69="",0,N(K69)*X69)</f>
        <v/>
      </c>
      <c r="AB69" s="123">
        <f>IF(B69="",0,N(L69)*X69)</f>
        <v/>
      </c>
      <c r="AC69" s="123">
        <f>IF(B69="",0,N(N69)*X69)</f>
        <v/>
      </c>
    </row>
    <row r="70" ht="15" customHeight="1" s="83">
      <c r="A70" s="120" t="n"/>
      <c r="B70" s="116" t="n"/>
      <c r="C70" s="116" t="n"/>
      <c r="D70" s="116" t="n"/>
      <c r="E70" s="116" t="n"/>
      <c r="F70" s="116" t="n"/>
      <c r="G70" s="116" t="n"/>
      <c r="H70" s="121">
        <f>IF(G70="","",IF(ISNUMBER(SEARCH("CAPITA",UPPER(G70))),651110,IF(ISNUMBER(SEARCH("REFUERZO",UPPER(G70))),651110,IF(ISNUMBER(SEARCH("VACUNACION",UPPER(G70))),651110,IF(ISNUMBER(SEARCH("ENFERMERIA",UPPER(G70))),651110,IF(ISNUMBER(SEARCH("APORTES",UPPER(G70))),651110,IF(ISNUMBER(SEARCH("HONORARIOS",UPPER(G70))),702010,IF(ISNUMBER(SEARCH("ADMINISTRACION",UPPER(G70))),702010,IF(ISNUMBER(SEARCH("GERENCIAMIENTO",UPPER(G70))),702010,IF(ISNUMBER(SEARCH("ALQUILER",UPPER(G70))),702010,IF(ISNUMBER(SEARCH("AUDITORIA",UPPER(G70))),702010,IF(ISNUMBER(SEARCH("PRESTACIONAL",UPPER(G70))),702010,702010))))))))))))</f>
        <v/>
      </c>
      <c r="I70" s="122" t="n"/>
      <c r="J70" s="122" t="n"/>
      <c r="K70" s="123">
        <f>IF(N(I70)&gt;0,ROUND(N(I70)*IVA_general,2),0)</f>
        <v/>
      </c>
      <c r="L70" s="122" t="n">
        <v>0</v>
      </c>
      <c r="M70" s="122" t="n"/>
      <c r="N70" s="123">
        <f>IF(SUM(I70:M70)=0,"",SUM(I70:M70))</f>
        <v/>
      </c>
      <c r="O70" s="124">
        <f>IF(A70="","",TEXT(A70,"yyyy-mm"))</f>
        <v/>
      </c>
      <c r="P70" s="121">
        <f>IF(A70="","",YEAR(A70))</f>
        <v/>
      </c>
      <c r="Q70" s="121">
        <f>IF(A70="","",MONTH(A70))</f>
        <v/>
      </c>
      <c r="R70" s="116" t="n"/>
      <c r="S70" s="116" t="n"/>
      <c r="T70" s="120" t="n"/>
      <c r="U70" s="122" t="n">
        <v>0</v>
      </c>
      <c r="V70" s="123">
        <f>IF(B70="","",N70-U70)</f>
        <v/>
      </c>
      <c r="W70" s="116" t="n"/>
      <c r="X70" s="125">
        <f>IF(B70="","",IF(LEFT(B70,2)="NC",-1,1))</f>
        <v/>
      </c>
      <c r="Y70" s="123">
        <f>IF(B70="",0,N(I70)*X70)</f>
        <v/>
      </c>
      <c r="Z70" s="123">
        <f>IF(B70="",0,N(J70)*X70)</f>
        <v/>
      </c>
      <c r="AA70" s="123">
        <f>IF(B70="",0,N(K70)*X70)</f>
        <v/>
      </c>
      <c r="AB70" s="123">
        <f>IF(B70="",0,N(L70)*X70)</f>
        <v/>
      </c>
      <c r="AC70" s="123">
        <f>IF(B70="",0,N(N70)*X70)</f>
        <v/>
      </c>
    </row>
    <row r="71" ht="15" customHeight="1" s="83">
      <c r="A71" s="120" t="n"/>
      <c r="B71" s="116" t="n"/>
      <c r="C71" s="116" t="n"/>
      <c r="D71" s="116" t="n"/>
      <c r="E71" s="116" t="n"/>
      <c r="F71" s="116" t="n"/>
      <c r="G71" s="116" t="n"/>
      <c r="H71" s="121">
        <f>IF(G71="","",IF(ISNUMBER(SEARCH("CAPITA",UPPER(G71))),651110,IF(ISNUMBER(SEARCH("REFUERZO",UPPER(G71))),651110,IF(ISNUMBER(SEARCH("VACUNACION",UPPER(G71))),651110,IF(ISNUMBER(SEARCH("ENFERMERIA",UPPER(G71))),651110,IF(ISNUMBER(SEARCH("APORTES",UPPER(G71))),651110,IF(ISNUMBER(SEARCH("HONORARIOS",UPPER(G71))),702010,IF(ISNUMBER(SEARCH("ADMINISTRACION",UPPER(G71))),702010,IF(ISNUMBER(SEARCH("GERENCIAMIENTO",UPPER(G71))),702010,IF(ISNUMBER(SEARCH("ALQUILER",UPPER(G71))),702010,IF(ISNUMBER(SEARCH("AUDITORIA",UPPER(G71))),702010,IF(ISNUMBER(SEARCH("PRESTACIONAL",UPPER(G71))),702010,702010))))))))))))</f>
        <v/>
      </c>
      <c r="I71" s="122" t="n"/>
      <c r="J71" s="122" t="n"/>
      <c r="K71" s="123">
        <f>IF(N(I71)&gt;0,ROUND(N(I71)*IVA_general,2),0)</f>
        <v/>
      </c>
      <c r="L71" s="122" t="n">
        <v>0</v>
      </c>
      <c r="M71" s="122" t="n"/>
      <c r="N71" s="123">
        <f>IF(SUM(I71:M71)=0,"",SUM(I71:M71))</f>
        <v/>
      </c>
      <c r="O71" s="124">
        <f>IF(A71="","",TEXT(A71,"yyyy-mm"))</f>
        <v/>
      </c>
      <c r="P71" s="121">
        <f>IF(A71="","",YEAR(A71))</f>
        <v/>
      </c>
      <c r="Q71" s="121">
        <f>IF(A71="","",MONTH(A71))</f>
        <v/>
      </c>
      <c r="R71" s="116" t="n"/>
      <c r="S71" s="116" t="n"/>
      <c r="T71" s="120" t="n"/>
      <c r="U71" s="122" t="n">
        <v>0</v>
      </c>
      <c r="V71" s="123">
        <f>IF(B71="","",N71-U71)</f>
        <v/>
      </c>
      <c r="W71" s="116" t="n"/>
      <c r="X71" s="125">
        <f>IF(B71="","",IF(LEFT(B71,2)="NC",-1,1))</f>
        <v/>
      </c>
      <c r="Y71" s="123">
        <f>IF(B71="",0,N(I71)*X71)</f>
        <v/>
      </c>
      <c r="Z71" s="123">
        <f>IF(B71="",0,N(J71)*X71)</f>
        <v/>
      </c>
      <c r="AA71" s="123">
        <f>IF(B71="",0,N(K71)*X71)</f>
        <v/>
      </c>
      <c r="AB71" s="123">
        <f>IF(B71="",0,N(L71)*X71)</f>
        <v/>
      </c>
      <c r="AC71" s="123">
        <f>IF(B71="",0,N(N71)*X71)</f>
        <v/>
      </c>
    </row>
    <row r="72" ht="15" customHeight="1" s="83">
      <c r="A72" s="120" t="n"/>
      <c r="B72" s="116" t="n"/>
      <c r="C72" s="116" t="n"/>
      <c r="D72" s="116" t="n"/>
      <c r="E72" s="116" t="n"/>
      <c r="F72" s="116" t="n"/>
      <c r="G72" s="116" t="n"/>
      <c r="H72" s="121">
        <f>IF(G72="","",IF(ISNUMBER(SEARCH("CAPITA",UPPER(G72))),651110,IF(ISNUMBER(SEARCH("REFUERZO",UPPER(G72))),651110,IF(ISNUMBER(SEARCH("VACUNACION",UPPER(G72))),651110,IF(ISNUMBER(SEARCH("ENFERMERIA",UPPER(G72))),651110,IF(ISNUMBER(SEARCH("APORTES",UPPER(G72))),651110,IF(ISNUMBER(SEARCH("HONORARIOS",UPPER(G72))),702010,IF(ISNUMBER(SEARCH("ADMINISTRACION",UPPER(G72))),702010,IF(ISNUMBER(SEARCH("GERENCIAMIENTO",UPPER(G72))),702010,IF(ISNUMBER(SEARCH("ALQUILER",UPPER(G72))),702010,IF(ISNUMBER(SEARCH("AUDITORIA",UPPER(G72))),702010,IF(ISNUMBER(SEARCH("PRESTACIONAL",UPPER(G72))),702010,702010))))))))))))</f>
        <v/>
      </c>
      <c r="I72" s="122" t="n"/>
      <c r="J72" s="122" t="n"/>
      <c r="K72" s="123">
        <f>IF(N(I72)&gt;0,ROUND(N(I72)*IVA_general,2),0)</f>
        <v/>
      </c>
      <c r="L72" s="122" t="n">
        <v>0</v>
      </c>
      <c r="M72" s="122" t="n"/>
      <c r="N72" s="123">
        <f>IF(SUM(I72:M72)=0,"",SUM(I72:M72))</f>
        <v/>
      </c>
      <c r="O72" s="124">
        <f>IF(A72="","",TEXT(A72,"yyyy-mm"))</f>
        <v/>
      </c>
      <c r="P72" s="121">
        <f>IF(A72="","",YEAR(A72))</f>
        <v/>
      </c>
      <c r="Q72" s="121">
        <f>IF(A72="","",MONTH(A72))</f>
        <v/>
      </c>
      <c r="R72" s="116" t="n"/>
      <c r="S72" s="116" t="n"/>
      <c r="T72" s="120" t="n"/>
      <c r="U72" s="122" t="n">
        <v>0</v>
      </c>
      <c r="V72" s="123">
        <f>IF(B72="","",N72-U72)</f>
        <v/>
      </c>
      <c r="W72" s="116" t="n"/>
      <c r="X72" s="125">
        <f>IF(B72="","",IF(LEFT(B72,2)="NC",-1,1))</f>
        <v/>
      </c>
      <c r="Y72" s="123">
        <f>IF(B72="",0,N(I72)*X72)</f>
        <v/>
      </c>
      <c r="Z72" s="123">
        <f>IF(B72="",0,N(J72)*X72)</f>
        <v/>
      </c>
      <c r="AA72" s="123">
        <f>IF(B72="",0,N(K72)*X72)</f>
        <v/>
      </c>
      <c r="AB72" s="123">
        <f>IF(B72="",0,N(L72)*X72)</f>
        <v/>
      </c>
      <c r="AC72" s="123">
        <f>IF(B72="",0,N(N72)*X72)</f>
        <v/>
      </c>
    </row>
    <row r="73" ht="15" customHeight="1" s="83">
      <c r="A73" s="120" t="n"/>
      <c r="B73" s="116" t="n"/>
      <c r="C73" s="116" t="n"/>
      <c r="D73" s="116" t="n"/>
      <c r="E73" s="116" t="n"/>
      <c r="F73" s="116" t="n"/>
      <c r="G73" s="116" t="n"/>
      <c r="H73" s="121">
        <f>IF(G73="","",IF(ISNUMBER(SEARCH("CAPITA",UPPER(G73))),651110,IF(ISNUMBER(SEARCH("REFUERZO",UPPER(G73))),651110,IF(ISNUMBER(SEARCH("VACUNACION",UPPER(G73))),651110,IF(ISNUMBER(SEARCH("ENFERMERIA",UPPER(G73))),651110,IF(ISNUMBER(SEARCH("APORTES",UPPER(G73))),651110,IF(ISNUMBER(SEARCH("HONORARIOS",UPPER(G73))),702010,IF(ISNUMBER(SEARCH("ADMINISTRACION",UPPER(G73))),702010,IF(ISNUMBER(SEARCH("GERENCIAMIENTO",UPPER(G73))),702010,IF(ISNUMBER(SEARCH("ALQUILER",UPPER(G73))),702010,IF(ISNUMBER(SEARCH("AUDITORIA",UPPER(G73))),702010,IF(ISNUMBER(SEARCH("PRESTACIONAL",UPPER(G73))),702010,702010))))))))))))</f>
        <v/>
      </c>
      <c r="I73" s="122" t="n"/>
      <c r="J73" s="122" t="n"/>
      <c r="K73" s="123">
        <f>IF(N(I73)&gt;0,ROUND(N(I73)*IVA_general,2),0)</f>
        <v/>
      </c>
      <c r="L73" s="122" t="n">
        <v>0</v>
      </c>
      <c r="M73" s="122" t="n"/>
      <c r="N73" s="123">
        <f>IF(SUM(I73:M73)=0,"",SUM(I73:M73))</f>
        <v/>
      </c>
      <c r="O73" s="124">
        <f>IF(A73="","",TEXT(A73,"yyyy-mm"))</f>
        <v/>
      </c>
      <c r="P73" s="121">
        <f>IF(A73="","",YEAR(A73))</f>
        <v/>
      </c>
      <c r="Q73" s="121">
        <f>IF(A73="","",MONTH(A73))</f>
        <v/>
      </c>
      <c r="R73" s="116" t="n"/>
      <c r="S73" s="116" t="n"/>
      <c r="T73" s="120" t="n"/>
      <c r="U73" s="122" t="n">
        <v>0</v>
      </c>
      <c r="V73" s="123">
        <f>IF(B73="","",N73-U73)</f>
        <v/>
      </c>
      <c r="W73" s="116" t="n"/>
      <c r="X73" s="125">
        <f>IF(B73="","",IF(LEFT(B73,2)="NC",-1,1))</f>
        <v/>
      </c>
      <c r="Y73" s="123">
        <f>IF(B73="",0,N(I73)*X73)</f>
        <v/>
      </c>
      <c r="Z73" s="123">
        <f>IF(B73="",0,N(J73)*X73)</f>
        <v/>
      </c>
      <c r="AA73" s="123">
        <f>IF(B73="",0,N(K73)*X73)</f>
        <v/>
      </c>
      <c r="AB73" s="123">
        <f>IF(B73="",0,N(L73)*X73)</f>
        <v/>
      </c>
      <c r="AC73" s="123">
        <f>IF(B73="",0,N(N73)*X73)</f>
        <v/>
      </c>
    </row>
    <row r="74" ht="15" customHeight="1" s="83">
      <c r="A74" s="120" t="n"/>
      <c r="B74" s="116" t="n"/>
      <c r="C74" s="116" t="n"/>
      <c r="D74" s="116" t="n"/>
      <c r="E74" s="116" t="n"/>
      <c r="F74" s="116" t="n"/>
      <c r="G74" s="116" t="n"/>
      <c r="H74" s="121">
        <f>IF(G74="","",IF(ISNUMBER(SEARCH("CAPITA",UPPER(G74))),651110,IF(ISNUMBER(SEARCH("REFUERZO",UPPER(G74))),651110,IF(ISNUMBER(SEARCH("VACUNACION",UPPER(G74))),651110,IF(ISNUMBER(SEARCH("ENFERMERIA",UPPER(G74))),651110,IF(ISNUMBER(SEARCH("APORTES",UPPER(G74))),651110,IF(ISNUMBER(SEARCH("HONORARIOS",UPPER(G74))),702010,IF(ISNUMBER(SEARCH("ADMINISTRACION",UPPER(G74))),702010,IF(ISNUMBER(SEARCH("GERENCIAMIENTO",UPPER(G74))),702010,IF(ISNUMBER(SEARCH("ALQUILER",UPPER(G74))),702010,IF(ISNUMBER(SEARCH("AUDITORIA",UPPER(G74))),702010,IF(ISNUMBER(SEARCH("PRESTACIONAL",UPPER(G74))),702010,702010))))))))))))</f>
        <v/>
      </c>
      <c r="I74" s="122" t="n"/>
      <c r="J74" s="122" t="n"/>
      <c r="K74" s="123">
        <f>IF(N(I74)&gt;0,ROUND(N(I74)*IVA_general,2),0)</f>
        <v/>
      </c>
      <c r="L74" s="122" t="n">
        <v>0</v>
      </c>
      <c r="M74" s="122" t="n"/>
      <c r="N74" s="123">
        <f>IF(SUM(I74:M74)=0,"",SUM(I74:M74))</f>
        <v/>
      </c>
      <c r="O74" s="124">
        <f>IF(A74="","",TEXT(A74,"yyyy-mm"))</f>
        <v/>
      </c>
      <c r="P74" s="121">
        <f>IF(A74="","",YEAR(A74))</f>
        <v/>
      </c>
      <c r="Q74" s="121">
        <f>IF(A74="","",MONTH(A74))</f>
        <v/>
      </c>
      <c r="R74" s="116" t="n"/>
      <c r="S74" s="116" t="n"/>
      <c r="T74" s="120" t="n"/>
      <c r="U74" s="122" t="n">
        <v>0</v>
      </c>
      <c r="V74" s="123">
        <f>IF(B74="","",N74-U74)</f>
        <v/>
      </c>
      <c r="W74" s="116" t="n"/>
      <c r="X74" s="125">
        <f>IF(B74="","",IF(LEFT(B74,2)="NC",-1,1))</f>
        <v/>
      </c>
      <c r="Y74" s="123">
        <f>IF(B74="",0,N(I74)*X74)</f>
        <v/>
      </c>
      <c r="Z74" s="123">
        <f>IF(B74="",0,N(J74)*X74)</f>
        <v/>
      </c>
      <c r="AA74" s="123">
        <f>IF(B74="",0,N(K74)*X74)</f>
        <v/>
      </c>
      <c r="AB74" s="123">
        <f>IF(B74="",0,N(L74)*X74)</f>
        <v/>
      </c>
      <c r="AC74" s="123">
        <f>IF(B74="",0,N(N74)*X74)</f>
        <v/>
      </c>
    </row>
    <row r="75" ht="15" customHeight="1" s="83">
      <c r="A75" s="120" t="n"/>
      <c r="B75" s="116" t="n"/>
      <c r="C75" s="116" t="n"/>
      <c r="D75" s="116" t="n"/>
      <c r="E75" s="116" t="n"/>
      <c r="F75" s="116" t="n"/>
      <c r="G75" s="116" t="n"/>
      <c r="H75" s="121">
        <f>IF(G75="","",IF(ISNUMBER(SEARCH("CAPITA",UPPER(G75))),651110,IF(ISNUMBER(SEARCH("REFUERZO",UPPER(G75))),651110,IF(ISNUMBER(SEARCH("VACUNACION",UPPER(G75))),651110,IF(ISNUMBER(SEARCH("ENFERMERIA",UPPER(G75))),651110,IF(ISNUMBER(SEARCH("APORTES",UPPER(G75))),651110,IF(ISNUMBER(SEARCH("HONORARIOS",UPPER(G75))),702010,IF(ISNUMBER(SEARCH("ADMINISTRACION",UPPER(G75))),702010,IF(ISNUMBER(SEARCH("GERENCIAMIENTO",UPPER(G75))),702010,IF(ISNUMBER(SEARCH("ALQUILER",UPPER(G75))),702010,IF(ISNUMBER(SEARCH("AUDITORIA",UPPER(G75))),702010,IF(ISNUMBER(SEARCH("PRESTACIONAL",UPPER(G75))),702010,702010))))))))))))</f>
        <v/>
      </c>
      <c r="I75" s="122" t="n"/>
      <c r="J75" s="122" t="n"/>
      <c r="K75" s="123">
        <f>IF(N(I75)&gt;0,ROUND(N(I75)*IVA_general,2),0)</f>
        <v/>
      </c>
      <c r="L75" s="122" t="n">
        <v>0</v>
      </c>
      <c r="M75" s="122" t="n"/>
      <c r="N75" s="123">
        <f>IF(SUM(I75:M75)=0,"",SUM(I75:M75))</f>
        <v/>
      </c>
      <c r="O75" s="124">
        <f>IF(A75="","",TEXT(A75,"yyyy-mm"))</f>
        <v/>
      </c>
      <c r="P75" s="121">
        <f>IF(A75="","",YEAR(A75))</f>
        <v/>
      </c>
      <c r="Q75" s="121">
        <f>IF(A75="","",MONTH(A75))</f>
        <v/>
      </c>
      <c r="R75" s="116" t="n"/>
      <c r="S75" s="116" t="n"/>
      <c r="T75" s="120" t="n"/>
      <c r="U75" s="122" t="n">
        <v>0</v>
      </c>
      <c r="V75" s="123">
        <f>IF(B75="","",N75-U75)</f>
        <v/>
      </c>
      <c r="W75" s="116" t="n"/>
      <c r="X75" s="125">
        <f>IF(B75="","",IF(LEFT(B75,2)="NC",-1,1))</f>
        <v/>
      </c>
      <c r="Y75" s="123">
        <f>IF(B75="",0,N(I75)*X75)</f>
        <v/>
      </c>
      <c r="Z75" s="123">
        <f>IF(B75="",0,N(J75)*X75)</f>
        <v/>
      </c>
      <c r="AA75" s="123">
        <f>IF(B75="",0,N(K75)*X75)</f>
        <v/>
      </c>
      <c r="AB75" s="123">
        <f>IF(B75="",0,N(L75)*X75)</f>
        <v/>
      </c>
      <c r="AC75" s="123">
        <f>IF(B75="",0,N(N75)*X75)</f>
        <v/>
      </c>
    </row>
    <row r="76" ht="15" customHeight="1" s="83">
      <c r="A76" s="120" t="n"/>
      <c r="B76" s="116" t="n"/>
      <c r="C76" s="116" t="n"/>
      <c r="D76" s="116" t="n"/>
      <c r="E76" s="116" t="n"/>
      <c r="F76" s="116" t="n"/>
      <c r="G76" s="116" t="n"/>
      <c r="H76" s="121">
        <f>IF(G76="","",IF(ISNUMBER(SEARCH("CAPITA",UPPER(G76))),651110,IF(ISNUMBER(SEARCH("REFUERZO",UPPER(G76))),651110,IF(ISNUMBER(SEARCH("VACUNACION",UPPER(G76))),651110,IF(ISNUMBER(SEARCH("ENFERMERIA",UPPER(G76))),651110,IF(ISNUMBER(SEARCH("APORTES",UPPER(G76))),651110,IF(ISNUMBER(SEARCH("HONORARIOS",UPPER(G76))),702010,IF(ISNUMBER(SEARCH("ADMINISTRACION",UPPER(G76))),702010,IF(ISNUMBER(SEARCH("GERENCIAMIENTO",UPPER(G76))),702010,IF(ISNUMBER(SEARCH("ALQUILER",UPPER(G76))),702010,IF(ISNUMBER(SEARCH("AUDITORIA",UPPER(G76))),702010,IF(ISNUMBER(SEARCH("PRESTACIONAL",UPPER(G76))),702010,702010))))))))))))</f>
        <v/>
      </c>
      <c r="I76" s="122" t="n"/>
      <c r="J76" s="122" t="n"/>
      <c r="K76" s="123">
        <f>IF(N(I76)&gt;0,ROUND(N(I76)*IVA_general,2),0)</f>
        <v/>
      </c>
      <c r="L76" s="122" t="n">
        <v>0</v>
      </c>
      <c r="M76" s="122" t="n"/>
      <c r="N76" s="123">
        <f>IF(SUM(I76:M76)=0,"",SUM(I76:M76))</f>
        <v/>
      </c>
      <c r="O76" s="124">
        <f>IF(A76="","",TEXT(A76,"yyyy-mm"))</f>
        <v/>
      </c>
      <c r="P76" s="121">
        <f>IF(A76="","",YEAR(A76))</f>
        <v/>
      </c>
      <c r="Q76" s="121">
        <f>IF(A76="","",MONTH(A76))</f>
        <v/>
      </c>
      <c r="R76" s="116" t="n"/>
      <c r="S76" s="116" t="n"/>
      <c r="T76" s="120" t="n"/>
      <c r="U76" s="122" t="n">
        <v>0</v>
      </c>
      <c r="V76" s="123">
        <f>IF(B76="","",N76-U76)</f>
        <v/>
      </c>
      <c r="W76" s="116" t="n"/>
      <c r="X76" s="125">
        <f>IF(B76="","",IF(LEFT(B76,2)="NC",-1,1))</f>
        <v/>
      </c>
      <c r="Y76" s="123">
        <f>IF(B76="",0,N(I76)*X76)</f>
        <v/>
      </c>
      <c r="Z76" s="123">
        <f>IF(B76="",0,N(J76)*X76)</f>
        <v/>
      </c>
      <c r="AA76" s="123">
        <f>IF(B76="",0,N(K76)*X76)</f>
        <v/>
      </c>
      <c r="AB76" s="123">
        <f>IF(B76="",0,N(L76)*X76)</f>
        <v/>
      </c>
      <c r="AC76" s="123">
        <f>IF(B76="",0,N(N76)*X76)</f>
        <v/>
      </c>
    </row>
    <row r="77" ht="15" customHeight="1" s="83">
      <c r="A77" s="120" t="n"/>
      <c r="B77" s="116" t="n"/>
      <c r="C77" s="116" t="n"/>
      <c r="D77" s="116" t="n"/>
      <c r="E77" s="116" t="n"/>
      <c r="F77" s="116" t="n"/>
      <c r="G77" s="116" t="n"/>
      <c r="H77" s="121">
        <f>IF(G77="","",IF(ISNUMBER(SEARCH("CAPITA",UPPER(G77))),651110,IF(ISNUMBER(SEARCH("REFUERZO",UPPER(G77))),651110,IF(ISNUMBER(SEARCH("VACUNACION",UPPER(G77))),651110,IF(ISNUMBER(SEARCH("ENFERMERIA",UPPER(G77))),651110,IF(ISNUMBER(SEARCH("APORTES",UPPER(G77))),651110,IF(ISNUMBER(SEARCH("HONORARIOS",UPPER(G77))),702010,IF(ISNUMBER(SEARCH("ADMINISTRACION",UPPER(G77))),702010,IF(ISNUMBER(SEARCH("GERENCIAMIENTO",UPPER(G77))),702010,IF(ISNUMBER(SEARCH("ALQUILER",UPPER(G77))),702010,IF(ISNUMBER(SEARCH("AUDITORIA",UPPER(G77))),702010,IF(ISNUMBER(SEARCH("PRESTACIONAL",UPPER(G77))),702010,702010))))))))))))</f>
        <v/>
      </c>
      <c r="I77" s="122" t="n"/>
      <c r="J77" s="122" t="n"/>
      <c r="K77" s="123">
        <f>IF(N(I77)&gt;0,ROUND(N(I77)*IVA_general,2),0)</f>
        <v/>
      </c>
      <c r="L77" s="122" t="n">
        <v>0</v>
      </c>
      <c r="M77" s="122" t="n"/>
      <c r="N77" s="123">
        <f>IF(SUM(I77:M77)=0,"",SUM(I77:M77))</f>
        <v/>
      </c>
      <c r="O77" s="124">
        <f>IF(A77="","",TEXT(A77,"yyyy-mm"))</f>
        <v/>
      </c>
      <c r="P77" s="121">
        <f>IF(A77="","",YEAR(A77))</f>
        <v/>
      </c>
      <c r="Q77" s="121">
        <f>IF(A77="","",MONTH(A77))</f>
        <v/>
      </c>
      <c r="R77" s="116" t="n"/>
      <c r="S77" s="116" t="n"/>
      <c r="T77" s="120" t="n"/>
      <c r="U77" s="122" t="n">
        <v>0</v>
      </c>
      <c r="V77" s="123">
        <f>IF(B77="","",N77-U77)</f>
        <v/>
      </c>
      <c r="W77" s="116" t="n"/>
      <c r="X77" s="125">
        <f>IF(B77="","",IF(LEFT(B77,2)="NC",-1,1))</f>
        <v/>
      </c>
      <c r="Y77" s="123">
        <f>IF(B77="",0,N(I77)*X77)</f>
        <v/>
      </c>
      <c r="Z77" s="123">
        <f>IF(B77="",0,N(J77)*X77)</f>
        <v/>
      </c>
      <c r="AA77" s="123">
        <f>IF(B77="",0,N(K77)*X77)</f>
        <v/>
      </c>
      <c r="AB77" s="123">
        <f>IF(B77="",0,N(L77)*X77)</f>
        <v/>
      </c>
      <c r="AC77" s="123">
        <f>IF(B77="",0,N(N77)*X77)</f>
        <v/>
      </c>
    </row>
    <row r="78" ht="15" customHeight="1" s="83">
      <c r="A78" s="120" t="n"/>
      <c r="B78" s="116" t="n"/>
      <c r="C78" s="116" t="n"/>
      <c r="D78" s="116" t="n"/>
      <c r="E78" s="116" t="n"/>
      <c r="F78" s="116" t="n"/>
      <c r="G78" s="116" t="n"/>
      <c r="H78" s="121">
        <f>IF(G78="","",IF(ISNUMBER(SEARCH("CAPITA",UPPER(G78))),651110,IF(ISNUMBER(SEARCH("REFUERZO",UPPER(G78))),651110,IF(ISNUMBER(SEARCH("VACUNACION",UPPER(G78))),651110,IF(ISNUMBER(SEARCH("ENFERMERIA",UPPER(G78))),651110,IF(ISNUMBER(SEARCH("APORTES",UPPER(G78))),651110,IF(ISNUMBER(SEARCH("HONORARIOS",UPPER(G78))),702010,IF(ISNUMBER(SEARCH("ADMINISTRACION",UPPER(G78))),702010,IF(ISNUMBER(SEARCH("GERENCIAMIENTO",UPPER(G78))),702010,IF(ISNUMBER(SEARCH("ALQUILER",UPPER(G78))),702010,IF(ISNUMBER(SEARCH("AUDITORIA",UPPER(G78))),702010,IF(ISNUMBER(SEARCH("PRESTACIONAL",UPPER(G78))),702010,702010))))))))))))</f>
        <v/>
      </c>
      <c r="I78" s="122" t="n"/>
      <c r="J78" s="122" t="n"/>
      <c r="K78" s="123">
        <f>IF(N(I78)&gt;0,ROUND(N(I78)*IVA_general,2),0)</f>
        <v/>
      </c>
      <c r="L78" s="122" t="n">
        <v>0</v>
      </c>
      <c r="M78" s="122" t="n"/>
      <c r="N78" s="123">
        <f>IF(SUM(I78:M78)=0,"",SUM(I78:M78))</f>
        <v/>
      </c>
      <c r="O78" s="124">
        <f>IF(A78="","",TEXT(A78,"yyyy-mm"))</f>
        <v/>
      </c>
      <c r="P78" s="121">
        <f>IF(A78="","",YEAR(A78))</f>
        <v/>
      </c>
      <c r="Q78" s="121">
        <f>IF(A78="","",MONTH(A78))</f>
        <v/>
      </c>
      <c r="R78" s="116" t="n"/>
      <c r="S78" s="116" t="n"/>
      <c r="T78" s="120" t="n"/>
      <c r="U78" s="122" t="n">
        <v>0</v>
      </c>
      <c r="V78" s="123">
        <f>IF(B78="","",N78-U78)</f>
        <v/>
      </c>
      <c r="W78" s="116" t="n"/>
      <c r="X78" s="125">
        <f>IF(B78="","",IF(LEFT(B78,2)="NC",-1,1))</f>
        <v/>
      </c>
      <c r="Y78" s="123">
        <f>IF(B78="",0,N(I78)*X78)</f>
        <v/>
      </c>
      <c r="Z78" s="123">
        <f>IF(B78="",0,N(J78)*X78)</f>
        <v/>
      </c>
      <c r="AA78" s="123">
        <f>IF(B78="",0,N(K78)*X78)</f>
        <v/>
      </c>
      <c r="AB78" s="123">
        <f>IF(B78="",0,N(L78)*X78)</f>
        <v/>
      </c>
      <c r="AC78" s="123">
        <f>IF(B78="",0,N(N78)*X78)</f>
        <v/>
      </c>
    </row>
    <row r="79" ht="15" customHeight="1" s="83">
      <c r="A79" s="120" t="n"/>
      <c r="B79" s="116" t="n"/>
      <c r="C79" s="116" t="n"/>
      <c r="D79" s="116" t="n"/>
      <c r="E79" s="116" t="n"/>
      <c r="F79" s="116" t="n"/>
      <c r="G79" s="116" t="n"/>
      <c r="H79" s="121">
        <f>IF(G79="","",IF(ISNUMBER(SEARCH("CAPITA",UPPER(G79))),651110,IF(ISNUMBER(SEARCH("REFUERZO",UPPER(G79))),651110,IF(ISNUMBER(SEARCH("VACUNACION",UPPER(G79))),651110,IF(ISNUMBER(SEARCH("ENFERMERIA",UPPER(G79))),651110,IF(ISNUMBER(SEARCH("APORTES",UPPER(G79))),651110,IF(ISNUMBER(SEARCH("HONORARIOS",UPPER(G79))),702010,IF(ISNUMBER(SEARCH("ADMINISTRACION",UPPER(G79))),702010,IF(ISNUMBER(SEARCH("GERENCIAMIENTO",UPPER(G79))),702010,IF(ISNUMBER(SEARCH("ALQUILER",UPPER(G79))),702010,IF(ISNUMBER(SEARCH("AUDITORIA",UPPER(G79))),702010,IF(ISNUMBER(SEARCH("PRESTACIONAL",UPPER(G79))),702010,702010))))))))))))</f>
        <v/>
      </c>
      <c r="I79" s="122" t="n"/>
      <c r="J79" s="122" t="n"/>
      <c r="K79" s="123">
        <f>IF(N(I79)&gt;0,ROUND(N(I79)*IVA_general,2),0)</f>
        <v/>
      </c>
      <c r="L79" s="122" t="n">
        <v>0</v>
      </c>
      <c r="M79" s="122" t="n"/>
      <c r="N79" s="123">
        <f>IF(SUM(I79:M79)=0,"",SUM(I79:M79))</f>
        <v/>
      </c>
      <c r="O79" s="124">
        <f>IF(A79="","",TEXT(A79,"yyyy-mm"))</f>
        <v/>
      </c>
      <c r="P79" s="121">
        <f>IF(A79="","",YEAR(A79))</f>
        <v/>
      </c>
      <c r="Q79" s="121">
        <f>IF(A79="","",MONTH(A79))</f>
        <v/>
      </c>
      <c r="R79" s="116" t="n"/>
      <c r="S79" s="116" t="n"/>
      <c r="T79" s="120" t="n"/>
      <c r="U79" s="122" t="n">
        <v>0</v>
      </c>
      <c r="V79" s="123">
        <f>IF(B79="","",N79-U79)</f>
        <v/>
      </c>
      <c r="W79" s="116" t="n"/>
      <c r="X79" s="125">
        <f>IF(B79="","",IF(LEFT(B79,2)="NC",-1,1))</f>
        <v/>
      </c>
      <c r="Y79" s="123">
        <f>IF(B79="",0,N(I79)*X79)</f>
        <v/>
      </c>
      <c r="Z79" s="123">
        <f>IF(B79="",0,N(J79)*X79)</f>
        <v/>
      </c>
      <c r="AA79" s="123">
        <f>IF(B79="",0,N(K79)*X79)</f>
        <v/>
      </c>
      <c r="AB79" s="123">
        <f>IF(B79="",0,N(L79)*X79)</f>
        <v/>
      </c>
      <c r="AC79" s="123">
        <f>IF(B79="",0,N(N79)*X79)</f>
        <v/>
      </c>
    </row>
    <row r="80" ht="15" customHeight="1" s="83">
      <c r="A80" s="120" t="n"/>
      <c r="B80" s="116" t="n"/>
      <c r="C80" s="116" t="n"/>
      <c r="D80" s="116" t="n"/>
      <c r="E80" s="116" t="n"/>
      <c r="F80" s="116" t="n"/>
      <c r="G80" s="116" t="n"/>
      <c r="H80" s="121">
        <f>IF(G80="","",IF(ISNUMBER(SEARCH("CAPITA",UPPER(G80))),651110,IF(ISNUMBER(SEARCH("REFUERZO",UPPER(G80))),651110,IF(ISNUMBER(SEARCH("VACUNACION",UPPER(G80))),651110,IF(ISNUMBER(SEARCH("ENFERMERIA",UPPER(G80))),651110,IF(ISNUMBER(SEARCH("APORTES",UPPER(G80))),651110,IF(ISNUMBER(SEARCH("HONORARIOS",UPPER(G80))),702010,IF(ISNUMBER(SEARCH("ADMINISTRACION",UPPER(G80))),702010,IF(ISNUMBER(SEARCH("GERENCIAMIENTO",UPPER(G80))),702010,IF(ISNUMBER(SEARCH("ALQUILER",UPPER(G80))),702010,IF(ISNUMBER(SEARCH("AUDITORIA",UPPER(G80))),702010,IF(ISNUMBER(SEARCH("PRESTACIONAL",UPPER(G80))),702010,702010))))))))))))</f>
        <v/>
      </c>
      <c r="I80" s="122" t="n"/>
      <c r="J80" s="122" t="n"/>
      <c r="K80" s="123">
        <f>IF(N(I80)&gt;0,ROUND(N(I80)*IVA_general,2),0)</f>
        <v/>
      </c>
      <c r="L80" s="122" t="n">
        <v>0</v>
      </c>
      <c r="M80" s="122" t="n"/>
      <c r="N80" s="123">
        <f>IF(SUM(I80:M80)=0,"",SUM(I80:M80))</f>
        <v/>
      </c>
      <c r="O80" s="124">
        <f>IF(A80="","",TEXT(A80,"yyyy-mm"))</f>
        <v/>
      </c>
      <c r="P80" s="121">
        <f>IF(A80="","",YEAR(A80))</f>
        <v/>
      </c>
      <c r="Q80" s="121">
        <f>IF(A80="","",MONTH(A80))</f>
        <v/>
      </c>
      <c r="R80" s="116" t="n"/>
      <c r="S80" s="116" t="n"/>
      <c r="T80" s="120" t="n"/>
      <c r="U80" s="122" t="n">
        <v>0</v>
      </c>
      <c r="V80" s="123">
        <f>IF(B80="","",N80-U80)</f>
        <v/>
      </c>
      <c r="W80" s="116" t="n"/>
      <c r="X80" s="125">
        <f>IF(B80="","",IF(LEFT(B80,2)="NC",-1,1))</f>
        <v/>
      </c>
      <c r="Y80" s="123">
        <f>IF(B80="",0,N(I80)*X80)</f>
        <v/>
      </c>
      <c r="Z80" s="123">
        <f>IF(B80="",0,N(J80)*X80)</f>
        <v/>
      </c>
      <c r="AA80" s="123">
        <f>IF(B80="",0,N(K80)*X80)</f>
        <v/>
      </c>
      <c r="AB80" s="123">
        <f>IF(B80="",0,N(L80)*X80)</f>
        <v/>
      </c>
      <c r="AC80" s="123">
        <f>IF(B80="",0,N(N80)*X80)</f>
        <v/>
      </c>
    </row>
    <row r="81" ht="15" customHeight="1" s="83">
      <c r="A81" s="120" t="n"/>
      <c r="B81" s="116" t="n"/>
      <c r="C81" s="116" t="n"/>
      <c r="D81" s="116" t="n"/>
      <c r="E81" s="116" t="n"/>
      <c r="F81" s="116" t="n"/>
      <c r="G81" s="116" t="n"/>
      <c r="H81" s="121">
        <f>IF(G81="","",IF(ISNUMBER(SEARCH("CAPITA",UPPER(G81))),651110,IF(ISNUMBER(SEARCH("REFUERZO",UPPER(G81))),651110,IF(ISNUMBER(SEARCH("VACUNACION",UPPER(G81))),651110,IF(ISNUMBER(SEARCH("ENFERMERIA",UPPER(G81))),651110,IF(ISNUMBER(SEARCH("APORTES",UPPER(G81))),651110,IF(ISNUMBER(SEARCH("HONORARIOS",UPPER(G81))),702010,IF(ISNUMBER(SEARCH("ADMINISTRACION",UPPER(G81))),702010,IF(ISNUMBER(SEARCH("GERENCIAMIENTO",UPPER(G81))),702010,IF(ISNUMBER(SEARCH("ALQUILER",UPPER(G81))),702010,IF(ISNUMBER(SEARCH("AUDITORIA",UPPER(G81))),702010,IF(ISNUMBER(SEARCH("PRESTACIONAL",UPPER(G81))),702010,702010))))))))))))</f>
        <v/>
      </c>
      <c r="I81" s="122" t="n"/>
      <c r="J81" s="122" t="n"/>
      <c r="K81" s="123">
        <f>IF(N(I81)&gt;0,ROUND(N(I81)*IVA_general,2),0)</f>
        <v/>
      </c>
      <c r="L81" s="122" t="n">
        <v>0</v>
      </c>
      <c r="M81" s="122" t="n"/>
      <c r="N81" s="123">
        <f>IF(SUM(I81:M81)=0,"",SUM(I81:M81))</f>
        <v/>
      </c>
      <c r="O81" s="124">
        <f>IF(A81="","",TEXT(A81,"yyyy-mm"))</f>
        <v/>
      </c>
      <c r="P81" s="121">
        <f>IF(A81="","",YEAR(A81))</f>
        <v/>
      </c>
      <c r="Q81" s="121">
        <f>IF(A81="","",MONTH(A81))</f>
        <v/>
      </c>
      <c r="R81" s="116" t="n"/>
      <c r="S81" s="116" t="n"/>
      <c r="T81" s="120" t="n"/>
      <c r="U81" s="122" t="n">
        <v>0</v>
      </c>
      <c r="V81" s="123">
        <f>IF(B81="","",N81-U81)</f>
        <v/>
      </c>
      <c r="W81" s="116" t="n"/>
      <c r="X81" s="125">
        <f>IF(B81="","",IF(LEFT(B81,2)="NC",-1,1))</f>
        <v/>
      </c>
      <c r="Y81" s="123">
        <f>IF(B81="",0,N(I81)*X81)</f>
        <v/>
      </c>
      <c r="Z81" s="123">
        <f>IF(B81="",0,N(J81)*X81)</f>
        <v/>
      </c>
      <c r="AA81" s="123">
        <f>IF(B81="",0,N(K81)*X81)</f>
        <v/>
      </c>
      <c r="AB81" s="123">
        <f>IF(B81="",0,N(L81)*X81)</f>
        <v/>
      </c>
      <c r="AC81" s="123">
        <f>IF(B81="",0,N(N81)*X81)</f>
        <v/>
      </c>
    </row>
    <row r="82" ht="15" customHeight="1" s="83">
      <c r="A82" s="120" t="n"/>
      <c r="B82" s="116" t="n"/>
      <c r="C82" s="116" t="n"/>
      <c r="D82" s="116" t="n"/>
      <c r="E82" s="116" t="n"/>
      <c r="F82" s="116" t="n"/>
      <c r="G82" s="116" t="n"/>
      <c r="H82" s="121">
        <f>IF(G82="","",IF(ISNUMBER(SEARCH("CAPITA",UPPER(G82))),651110,IF(ISNUMBER(SEARCH("REFUERZO",UPPER(G82))),651110,IF(ISNUMBER(SEARCH("VACUNACION",UPPER(G82))),651110,IF(ISNUMBER(SEARCH("ENFERMERIA",UPPER(G82))),651110,IF(ISNUMBER(SEARCH("APORTES",UPPER(G82))),651110,IF(ISNUMBER(SEARCH("HONORARIOS",UPPER(G82))),702010,IF(ISNUMBER(SEARCH("ADMINISTRACION",UPPER(G82))),702010,IF(ISNUMBER(SEARCH("GERENCIAMIENTO",UPPER(G82))),702010,IF(ISNUMBER(SEARCH("ALQUILER",UPPER(G82))),702010,IF(ISNUMBER(SEARCH("AUDITORIA",UPPER(G82))),702010,IF(ISNUMBER(SEARCH("PRESTACIONAL",UPPER(G82))),702010,702010))))))))))))</f>
        <v/>
      </c>
      <c r="I82" s="122" t="n"/>
      <c r="J82" s="122" t="n"/>
      <c r="K82" s="123">
        <f>IF(N(I82)&gt;0,ROUND(N(I82)*IVA_general,2),0)</f>
        <v/>
      </c>
      <c r="L82" s="122" t="n">
        <v>0</v>
      </c>
      <c r="M82" s="122" t="n"/>
      <c r="N82" s="123">
        <f>IF(SUM(I82:M82)=0,"",SUM(I82:M82))</f>
        <v/>
      </c>
      <c r="O82" s="124">
        <f>IF(A82="","",TEXT(A82,"yyyy-mm"))</f>
        <v/>
      </c>
      <c r="P82" s="121">
        <f>IF(A82="","",YEAR(A82))</f>
        <v/>
      </c>
      <c r="Q82" s="121">
        <f>IF(A82="","",MONTH(A82))</f>
        <v/>
      </c>
      <c r="R82" s="116" t="n"/>
      <c r="S82" s="116" t="n"/>
      <c r="T82" s="120" t="n"/>
      <c r="U82" s="122" t="n">
        <v>0</v>
      </c>
      <c r="V82" s="123">
        <f>IF(B82="","",N82-U82)</f>
        <v/>
      </c>
      <c r="W82" s="116" t="n"/>
      <c r="X82" s="125">
        <f>IF(B82="","",IF(LEFT(B82,2)="NC",-1,1))</f>
        <v/>
      </c>
      <c r="Y82" s="123">
        <f>IF(B82="",0,N(I82)*X82)</f>
        <v/>
      </c>
      <c r="Z82" s="123">
        <f>IF(B82="",0,N(J82)*X82)</f>
        <v/>
      </c>
      <c r="AA82" s="123">
        <f>IF(B82="",0,N(K82)*X82)</f>
        <v/>
      </c>
      <c r="AB82" s="123">
        <f>IF(B82="",0,N(L82)*X82)</f>
        <v/>
      </c>
      <c r="AC82" s="123">
        <f>IF(B82="",0,N(N82)*X82)</f>
        <v/>
      </c>
    </row>
    <row r="83" ht="15" customHeight="1" s="83">
      <c r="A83" s="120" t="n"/>
      <c r="B83" s="116" t="n"/>
      <c r="C83" s="116" t="n"/>
      <c r="D83" s="116" t="n"/>
      <c r="E83" s="116" t="n"/>
      <c r="F83" s="116" t="n"/>
      <c r="G83" s="116" t="n"/>
      <c r="H83" s="121">
        <f>IF(G83="","",IF(ISNUMBER(SEARCH("CAPITA",UPPER(G83))),651110,IF(ISNUMBER(SEARCH("REFUERZO",UPPER(G83))),651110,IF(ISNUMBER(SEARCH("VACUNACION",UPPER(G83))),651110,IF(ISNUMBER(SEARCH("ENFERMERIA",UPPER(G83))),651110,IF(ISNUMBER(SEARCH("APORTES",UPPER(G83))),651110,IF(ISNUMBER(SEARCH("HONORARIOS",UPPER(G83))),702010,IF(ISNUMBER(SEARCH("ADMINISTRACION",UPPER(G83))),702010,IF(ISNUMBER(SEARCH("GERENCIAMIENTO",UPPER(G83))),702010,IF(ISNUMBER(SEARCH("ALQUILER",UPPER(G83))),702010,IF(ISNUMBER(SEARCH("AUDITORIA",UPPER(G83))),702010,IF(ISNUMBER(SEARCH("PRESTACIONAL",UPPER(G83))),702010,702010))))))))))))</f>
        <v/>
      </c>
      <c r="I83" s="122" t="n"/>
      <c r="J83" s="122" t="n"/>
      <c r="K83" s="123">
        <f>IF(N(I83)&gt;0,ROUND(N(I83)*IVA_general,2),0)</f>
        <v/>
      </c>
      <c r="L83" s="122" t="n">
        <v>0</v>
      </c>
      <c r="M83" s="122" t="n"/>
      <c r="N83" s="123">
        <f>IF(SUM(I83:M83)=0,"",SUM(I83:M83))</f>
        <v/>
      </c>
      <c r="O83" s="124">
        <f>IF(A83="","",TEXT(A83,"yyyy-mm"))</f>
        <v/>
      </c>
      <c r="P83" s="121">
        <f>IF(A83="","",YEAR(A83))</f>
        <v/>
      </c>
      <c r="Q83" s="121">
        <f>IF(A83="","",MONTH(A83))</f>
        <v/>
      </c>
      <c r="R83" s="116" t="n"/>
      <c r="S83" s="116" t="n"/>
      <c r="T83" s="120" t="n"/>
      <c r="U83" s="122" t="n">
        <v>0</v>
      </c>
      <c r="V83" s="123">
        <f>IF(B83="","",N83-U83)</f>
        <v/>
      </c>
      <c r="W83" s="116" t="n"/>
      <c r="X83" s="125">
        <f>IF(B83="","",IF(LEFT(B83,2)="NC",-1,1))</f>
        <v/>
      </c>
      <c r="Y83" s="123">
        <f>IF(B83="",0,N(I83)*X83)</f>
        <v/>
      </c>
      <c r="Z83" s="123">
        <f>IF(B83="",0,N(J83)*X83)</f>
        <v/>
      </c>
      <c r="AA83" s="123">
        <f>IF(B83="",0,N(K83)*X83)</f>
        <v/>
      </c>
      <c r="AB83" s="123">
        <f>IF(B83="",0,N(L83)*X83)</f>
        <v/>
      </c>
      <c r="AC83" s="123">
        <f>IF(B83="",0,N(N83)*X83)</f>
        <v/>
      </c>
    </row>
    <row r="84" ht="15" customHeight="1" s="83">
      <c r="A84" s="120" t="n"/>
      <c r="B84" s="116" t="n"/>
      <c r="C84" s="116" t="n"/>
      <c r="D84" s="116" t="n"/>
      <c r="E84" s="116" t="n"/>
      <c r="F84" s="116" t="n"/>
      <c r="G84" s="116" t="n"/>
      <c r="H84" s="121">
        <f>IF(G84="","",IF(ISNUMBER(SEARCH("CAPITA",UPPER(G84))),651110,IF(ISNUMBER(SEARCH("REFUERZO",UPPER(G84))),651110,IF(ISNUMBER(SEARCH("VACUNACION",UPPER(G84))),651110,IF(ISNUMBER(SEARCH("ENFERMERIA",UPPER(G84))),651110,IF(ISNUMBER(SEARCH("APORTES",UPPER(G84))),651110,IF(ISNUMBER(SEARCH("HONORARIOS",UPPER(G84))),702010,IF(ISNUMBER(SEARCH("ADMINISTRACION",UPPER(G84))),702010,IF(ISNUMBER(SEARCH("GERENCIAMIENTO",UPPER(G84))),702010,IF(ISNUMBER(SEARCH("ALQUILER",UPPER(G84))),702010,IF(ISNUMBER(SEARCH("AUDITORIA",UPPER(G84))),702010,IF(ISNUMBER(SEARCH("PRESTACIONAL",UPPER(G84))),702010,702010))))))))))))</f>
        <v/>
      </c>
      <c r="I84" s="122" t="n"/>
      <c r="J84" s="122" t="n"/>
      <c r="K84" s="123">
        <f>IF(N(I84)&gt;0,ROUND(N(I84)*IVA_general,2),0)</f>
        <v/>
      </c>
      <c r="L84" s="122" t="n">
        <v>0</v>
      </c>
      <c r="M84" s="122" t="n"/>
      <c r="N84" s="123">
        <f>IF(SUM(I84:M84)=0,"",SUM(I84:M84))</f>
        <v/>
      </c>
      <c r="O84" s="124">
        <f>IF(A84="","",TEXT(A84,"yyyy-mm"))</f>
        <v/>
      </c>
      <c r="P84" s="121">
        <f>IF(A84="","",YEAR(A84))</f>
        <v/>
      </c>
      <c r="Q84" s="121">
        <f>IF(A84="","",MONTH(A84))</f>
        <v/>
      </c>
      <c r="R84" s="116" t="n"/>
      <c r="S84" s="116" t="n"/>
      <c r="T84" s="120" t="n"/>
      <c r="U84" s="122" t="n">
        <v>0</v>
      </c>
      <c r="V84" s="123">
        <f>IF(B84="","",N84-U84)</f>
        <v/>
      </c>
      <c r="W84" s="116" t="n"/>
      <c r="X84" s="125">
        <f>IF(B84="","",IF(LEFT(B84,2)="NC",-1,1))</f>
        <v/>
      </c>
      <c r="Y84" s="123">
        <f>IF(B84="",0,N(I84)*X84)</f>
        <v/>
      </c>
      <c r="Z84" s="123">
        <f>IF(B84="",0,N(J84)*X84)</f>
        <v/>
      </c>
      <c r="AA84" s="123">
        <f>IF(B84="",0,N(K84)*X84)</f>
        <v/>
      </c>
      <c r="AB84" s="123">
        <f>IF(B84="",0,N(L84)*X84)</f>
        <v/>
      </c>
      <c r="AC84" s="123">
        <f>IF(B84="",0,N(N84)*X84)</f>
        <v/>
      </c>
    </row>
    <row r="85" ht="15" customHeight="1" s="83">
      <c r="A85" s="120" t="n"/>
      <c r="B85" s="116" t="n"/>
      <c r="C85" s="116" t="n"/>
      <c r="D85" s="116" t="n"/>
      <c r="E85" s="116" t="n"/>
      <c r="F85" s="116" t="n"/>
      <c r="G85" s="116" t="n"/>
      <c r="H85" s="121">
        <f>IF(G85="","",IF(ISNUMBER(SEARCH("CAPITA",UPPER(G85))),651110,IF(ISNUMBER(SEARCH("REFUERZO",UPPER(G85))),651110,IF(ISNUMBER(SEARCH("VACUNACION",UPPER(G85))),651110,IF(ISNUMBER(SEARCH("ENFERMERIA",UPPER(G85))),651110,IF(ISNUMBER(SEARCH("APORTES",UPPER(G85))),651110,IF(ISNUMBER(SEARCH("HONORARIOS",UPPER(G85))),702010,IF(ISNUMBER(SEARCH("ADMINISTRACION",UPPER(G85))),702010,IF(ISNUMBER(SEARCH("GERENCIAMIENTO",UPPER(G85))),702010,IF(ISNUMBER(SEARCH("ALQUILER",UPPER(G85))),702010,IF(ISNUMBER(SEARCH("AUDITORIA",UPPER(G85))),702010,IF(ISNUMBER(SEARCH("PRESTACIONAL",UPPER(G85))),702010,702010))))))))))))</f>
        <v/>
      </c>
      <c r="I85" s="122" t="n"/>
      <c r="J85" s="122" t="n"/>
      <c r="K85" s="123">
        <f>IF(N(I85)&gt;0,ROUND(N(I85)*IVA_general,2),0)</f>
        <v/>
      </c>
      <c r="L85" s="122" t="n">
        <v>0</v>
      </c>
      <c r="M85" s="122" t="n"/>
      <c r="N85" s="123">
        <f>IF(SUM(I85:M85)=0,"",SUM(I85:M85))</f>
        <v/>
      </c>
      <c r="O85" s="124">
        <f>IF(A85="","",TEXT(A85,"yyyy-mm"))</f>
        <v/>
      </c>
      <c r="P85" s="121">
        <f>IF(A85="","",YEAR(A85))</f>
        <v/>
      </c>
      <c r="Q85" s="121">
        <f>IF(A85="","",MONTH(A85))</f>
        <v/>
      </c>
      <c r="R85" s="116" t="n"/>
      <c r="S85" s="116" t="n"/>
      <c r="T85" s="120" t="n"/>
      <c r="U85" s="122" t="n">
        <v>0</v>
      </c>
      <c r="V85" s="123">
        <f>IF(B85="","",N85-U85)</f>
        <v/>
      </c>
      <c r="W85" s="116" t="n"/>
      <c r="X85" s="125">
        <f>IF(B85="","",IF(LEFT(B85,2)="NC",-1,1))</f>
        <v/>
      </c>
      <c r="Y85" s="123">
        <f>IF(B85="",0,N(I85)*X85)</f>
        <v/>
      </c>
      <c r="Z85" s="123">
        <f>IF(B85="",0,N(J85)*X85)</f>
        <v/>
      </c>
      <c r="AA85" s="123">
        <f>IF(B85="",0,N(K85)*X85)</f>
        <v/>
      </c>
      <c r="AB85" s="123">
        <f>IF(B85="",0,N(L85)*X85)</f>
        <v/>
      </c>
      <c r="AC85" s="123">
        <f>IF(B85="",0,N(N85)*X85)</f>
        <v/>
      </c>
    </row>
    <row r="86" ht="15" customHeight="1" s="83">
      <c r="A86" s="120" t="n"/>
      <c r="B86" s="116" t="n"/>
      <c r="C86" s="116" t="n"/>
      <c r="D86" s="116" t="n"/>
      <c r="E86" s="116" t="n"/>
      <c r="F86" s="116" t="n"/>
      <c r="G86" s="116" t="n"/>
      <c r="H86" s="121">
        <f>IF(G86="","",IF(ISNUMBER(SEARCH("CAPITA",UPPER(G86))),651110,IF(ISNUMBER(SEARCH("REFUERZO",UPPER(G86))),651110,IF(ISNUMBER(SEARCH("VACUNACION",UPPER(G86))),651110,IF(ISNUMBER(SEARCH("ENFERMERIA",UPPER(G86))),651110,IF(ISNUMBER(SEARCH("APORTES",UPPER(G86))),651110,IF(ISNUMBER(SEARCH("HONORARIOS",UPPER(G86))),702010,IF(ISNUMBER(SEARCH("ADMINISTRACION",UPPER(G86))),702010,IF(ISNUMBER(SEARCH("GERENCIAMIENTO",UPPER(G86))),702010,IF(ISNUMBER(SEARCH("ALQUILER",UPPER(G86))),702010,IF(ISNUMBER(SEARCH("AUDITORIA",UPPER(G86))),702010,IF(ISNUMBER(SEARCH("PRESTACIONAL",UPPER(G86))),702010,702010))))))))))))</f>
        <v/>
      </c>
      <c r="I86" s="122" t="n"/>
      <c r="J86" s="122" t="n"/>
      <c r="K86" s="123">
        <f>IF(N(I86)&gt;0,ROUND(N(I86)*IVA_general,2),0)</f>
        <v/>
      </c>
      <c r="L86" s="122" t="n">
        <v>0</v>
      </c>
      <c r="M86" s="122" t="n"/>
      <c r="N86" s="123">
        <f>IF(SUM(I86:M86)=0,"",SUM(I86:M86))</f>
        <v/>
      </c>
      <c r="O86" s="124">
        <f>IF(A86="","",TEXT(A86,"yyyy-mm"))</f>
        <v/>
      </c>
      <c r="P86" s="121">
        <f>IF(A86="","",YEAR(A86))</f>
        <v/>
      </c>
      <c r="Q86" s="121">
        <f>IF(A86="","",MONTH(A86))</f>
        <v/>
      </c>
      <c r="R86" s="116" t="n"/>
      <c r="S86" s="116" t="n"/>
      <c r="T86" s="120" t="n"/>
      <c r="U86" s="122" t="n">
        <v>0</v>
      </c>
      <c r="V86" s="123">
        <f>IF(B86="","",N86-U86)</f>
        <v/>
      </c>
      <c r="W86" s="116" t="n"/>
      <c r="X86" s="125">
        <f>IF(B86="","",IF(LEFT(B86,2)="NC",-1,1))</f>
        <v/>
      </c>
      <c r="Y86" s="123">
        <f>IF(B86="",0,N(I86)*X86)</f>
        <v/>
      </c>
      <c r="Z86" s="123">
        <f>IF(B86="",0,N(J86)*X86)</f>
        <v/>
      </c>
      <c r="AA86" s="123">
        <f>IF(B86="",0,N(K86)*X86)</f>
        <v/>
      </c>
      <c r="AB86" s="123">
        <f>IF(B86="",0,N(L86)*X86)</f>
        <v/>
      </c>
      <c r="AC86" s="123">
        <f>IF(B86="",0,N(N86)*X86)</f>
        <v/>
      </c>
    </row>
    <row r="87" ht="15" customHeight="1" s="83">
      <c r="A87" s="120" t="n"/>
      <c r="B87" s="116" t="n"/>
      <c r="C87" s="116" t="n"/>
      <c r="D87" s="116" t="n"/>
      <c r="E87" s="116" t="n"/>
      <c r="F87" s="116" t="n"/>
      <c r="G87" s="116" t="n"/>
      <c r="H87" s="121">
        <f>IF(G87="","",IF(ISNUMBER(SEARCH("CAPITA",UPPER(G87))),651110,IF(ISNUMBER(SEARCH("REFUERZO",UPPER(G87))),651110,IF(ISNUMBER(SEARCH("VACUNACION",UPPER(G87))),651110,IF(ISNUMBER(SEARCH("ENFERMERIA",UPPER(G87))),651110,IF(ISNUMBER(SEARCH("APORTES",UPPER(G87))),651110,IF(ISNUMBER(SEARCH("HONORARIOS",UPPER(G87))),702010,IF(ISNUMBER(SEARCH("ADMINISTRACION",UPPER(G87))),702010,IF(ISNUMBER(SEARCH("GERENCIAMIENTO",UPPER(G87))),702010,IF(ISNUMBER(SEARCH("ALQUILER",UPPER(G87))),702010,IF(ISNUMBER(SEARCH("AUDITORIA",UPPER(G87))),702010,IF(ISNUMBER(SEARCH("PRESTACIONAL",UPPER(G87))),702010,702010))))))))))))</f>
        <v/>
      </c>
      <c r="I87" s="122" t="n"/>
      <c r="J87" s="122" t="n"/>
      <c r="K87" s="123">
        <f>IF(N(I87)&gt;0,ROUND(N(I87)*IVA_general,2),0)</f>
        <v/>
      </c>
      <c r="L87" s="122" t="n">
        <v>0</v>
      </c>
      <c r="M87" s="122" t="n"/>
      <c r="N87" s="123">
        <f>IF(SUM(I87:M87)=0,"",SUM(I87:M87))</f>
        <v/>
      </c>
      <c r="O87" s="124">
        <f>IF(A87="","",TEXT(A87,"yyyy-mm"))</f>
        <v/>
      </c>
      <c r="P87" s="121">
        <f>IF(A87="","",YEAR(A87))</f>
        <v/>
      </c>
      <c r="Q87" s="121">
        <f>IF(A87="","",MONTH(A87))</f>
        <v/>
      </c>
      <c r="R87" s="116" t="n"/>
      <c r="S87" s="116" t="n"/>
      <c r="T87" s="120" t="n"/>
      <c r="U87" s="122" t="n">
        <v>0</v>
      </c>
      <c r="V87" s="123">
        <f>IF(B87="","",N87-U87)</f>
        <v/>
      </c>
      <c r="W87" s="116" t="n"/>
      <c r="X87" s="125">
        <f>IF(B87="","",IF(LEFT(B87,2)="NC",-1,1))</f>
        <v/>
      </c>
      <c r="Y87" s="123">
        <f>IF(B87="",0,N(I87)*X87)</f>
        <v/>
      </c>
      <c r="Z87" s="123">
        <f>IF(B87="",0,N(J87)*X87)</f>
        <v/>
      </c>
      <c r="AA87" s="123">
        <f>IF(B87="",0,N(K87)*X87)</f>
        <v/>
      </c>
      <c r="AB87" s="123">
        <f>IF(B87="",0,N(L87)*X87)</f>
        <v/>
      </c>
      <c r="AC87" s="123">
        <f>IF(B87="",0,N(N87)*X87)</f>
        <v/>
      </c>
    </row>
    <row r="88" ht="15" customHeight="1" s="83">
      <c r="A88" s="120" t="n"/>
      <c r="B88" s="116" t="n"/>
      <c r="C88" s="116" t="n"/>
      <c r="D88" s="116" t="n"/>
      <c r="E88" s="116" t="n"/>
      <c r="F88" s="116" t="n"/>
      <c r="G88" s="116" t="n"/>
      <c r="H88" s="121">
        <f>IF(G88="","",IF(ISNUMBER(SEARCH("CAPITA",UPPER(G88))),651110,IF(ISNUMBER(SEARCH("REFUERZO",UPPER(G88))),651110,IF(ISNUMBER(SEARCH("VACUNACION",UPPER(G88))),651110,IF(ISNUMBER(SEARCH("ENFERMERIA",UPPER(G88))),651110,IF(ISNUMBER(SEARCH("APORTES",UPPER(G88))),651110,IF(ISNUMBER(SEARCH("HONORARIOS",UPPER(G88))),702010,IF(ISNUMBER(SEARCH("ADMINISTRACION",UPPER(G88))),702010,IF(ISNUMBER(SEARCH("GERENCIAMIENTO",UPPER(G88))),702010,IF(ISNUMBER(SEARCH("ALQUILER",UPPER(G88))),702010,IF(ISNUMBER(SEARCH("AUDITORIA",UPPER(G88))),702010,IF(ISNUMBER(SEARCH("PRESTACIONAL",UPPER(G88))),702010,702010))))))))))))</f>
        <v/>
      </c>
      <c r="I88" s="122" t="n"/>
      <c r="J88" s="122" t="n"/>
      <c r="K88" s="123">
        <f>IF(N(I88)&gt;0,ROUND(N(I88)*IVA_general,2),0)</f>
        <v/>
      </c>
      <c r="L88" s="122" t="n">
        <v>0</v>
      </c>
      <c r="M88" s="122" t="n"/>
      <c r="N88" s="123">
        <f>IF(SUM(I88:M88)=0,"",SUM(I88:M88))</f>
        <v/>
      </c>
      <c r="O88" s="124">
        <f>IF(A88="","",TEXT(A88,"yyyy-mm"))</f>
        <v/>
      </c>
      <c r="P88" s="121">
        <f>IF(A88="","",YEAR(A88))</f>
        <v/>
      </c>
      <c r="Q88" s="121">
        <f>IF(A88="","",MONTH(A88))</f>
        <v/>
      </c>
      <c r="R88" s="116" t="n"/>
      <c r="S88" s="116" t="n"/>
      <c r="T88" s="120" t="n"/>
      <c r="U88" s="122" t="n">
        <v>0</v>
      </c>
      <c r="V88" s="123">
        <f>IF(B88="","",N88-U88)</f>
        <v/>
      </c>
      <c r="W88" s="116" t="n"/>
      <c r="X88" s="125">
        <f>IF(B88="","",IF(LEFT(B88,2)="NC",-1,1))</f>
        <v/>
      </c>
      <c r="Y88" s="123">
        <f>IF(B88="",0,N(I88)*X88)</f>
        <v/>
      </c>
      <c r="Z88" s="123">
        <f>IF(B88="",0,N(J88)*X88)</f>
        <v/>
      </c>
      <c r="AA88" s="123">
        <f>IF(B88="",0,N(K88)*X88)</f>
        <v/>
      </c>
      <c r="AB88" s="123">
        <f>IF(B88="",0,N(L88)*X88)</f>
        <v/>
      </c>
      <c r="AC88" s="123">
        <f>IF(B88="",0,N(N88)*X88)</f>
        <v/>
      </c>
    </row>
    <row r="89" ht="15" customHeight="1" s="83">
      <c r="A89" s="120" t="n"/>
      <c r="B89" s="116" t="n"/>
      <c r="C89" s="116" t="n"/>
      <c r="D89" s="116" t="n"/>
      <c r="E89" s="116" t="n"/>
      <c r="F89" s="116" t="n"/>
      <c r="G89" s="116" t="n"/>
      <c r="H89" s="121">
        <f>IF(G89="","",IF(ISNUMBER(SEARCH("CAPITA",UPPER(G89))),651110,IF(ISNUMBER(SEARCH("REFUERZO",UPPER(G89))),651110,IF(ISNUMBER(SEARCH("VACUNACION",UPPER(G89))),651110,IF(ISNUMBER(SEARCH("ENFERMERIA",UPPER(G89))),651110,IF(ISNUMBER(SEARCH("APORTES",UPPER(G89))),651110,IF(ISNUMBER(SEARCH("HONORARIOS",UPPER(G89))),702010,IF(ISNUMBER(SEARCH("ADMINISTRACION",UPPER(G89))),702010,IF(ISNUMBER(SEARCH("GERENCIAMIENTO",UPPER(G89))),702010,IF(ISNUMBER(SEARCH("ALQUILER",UPPER(G89))),702010,IF(ISNUMBER(SEARCH("AUDITORIA",UPPER(G89))),702010,IF(ISNUMBER(SEARCH("PRESTACIONAL",UPPER(G89))),702010,702010))))))))))))</f>
        <v/>
      </c>
      <c r="I89" s="122" t="n"/>
      <c r="J89" s="122" t="n"/>
      <c r="K89" s="123">
        <f>IF(N(I89)&gt;0,ROUND(N(I89)*IVA_general,2),0)</f>
        <v/>
      </c>
      <c r="L89" s="122" t="n">
        <v>0</v>
      </c>
      <c r="M89" s="122" t="n"/>
      <c r="N89" s="123">
        <f>IF(SUM(I89:M89)=0,"",SUM(I89:M89))</f>
        <v/>
      </c>
      <c r="O89" s="124">
        <f>IF(A89="","",TEXT(A89,"yyyy-mm"))</f>
        <v/>
      </c>
      <c r="P89" s="121">
        <f>IF(A89="","",YEAR(A89))</f>
        <v/>
      </c>
      <c r="Q89" s="121">
        <f>IF(A89="","",MONTH(A89))</f>
        <v/>
      </c>
      <c r="R89" s="116" t="n"/>
      <c r="S89" s="116" t="n"/>
      <c r="T89" s="120" t="n"/>
      <c r="U89" s="122" t="n">
        <v>0</v>
      </c>
      <c r="V89" s="123">
        <f>IF(B89="","",N89-U89)</f>
        <v/>
      </c>
      <c r="W89" s="116" t="n"/>
      <c r="X89" s="125">
        <f>IF(B89="","",IF(LEFT(B89,2)="NC",-1,1))</f>
        <v/>
      </c>
      <c r="Y89" s="123">
        <f>IF(B89="",0,N(I89)*X89)</f>
        <v/>
      </c>
      <c r="Z89" s="123">
        <f>IF(B89="",0,N(J89)*X89)</f>
        <v/>
      </c>
      <c r="AA89" s="123">
        <f>IF(B89="",0,N(K89)*X89)</f>
        <v/>
      </c>
      <c r="AB89" s="123">
        <f>IF(B89="",0,N(L89)*X89)</f>
        <v/>
      </c>
      <c r="AC89" s="123">
        <f>IF(B89="",0,N(N89)*X89)</f>
        <v/>
      </c>
    </row>
    <row r="90" ht="15" customHeight="1" s="83">
      <c r="A90" s="120" t="n"/>
      <c r="B90" s="116" t="n"/>
      <c r="C90" s="116" t="n"/>
      <c r="D90" s="116" t="n"/>
      <c r="E90" s="116" t="n"/>
      <c r="F90" s="116" t="n"/>
      <c r="G90" s="116" t="n"/>
      <c r="H90" s="121">
        <f>IF(G90="","",IF(ISNUMBER(SEARCH("CAPITA",UPPER(G90))),651110,IF(ISNUMBER(SEARCH("REFUERZO",UPPER(G90))),651110,IF(ISNUMBER(SEARCH("VACUNACION",UPPER(G90))),651110,IF(ISNUMBER(SEARCH("ENFERMERIA",UPPER(G90))),651110,IF(ISNUMBER(SEARCH("APORTES",UPPER(G90))),651110,IF(ISNUMBER(SEARCH("HONORARIOS",UPPER(G90))),702010,IF(ISNUMBER(SEARCH("ADMINISTRACION",UPPER(G90))),702010,IF(ISNUMBER(SEARCH("GERENCIAMIENTO",UPPER(G90))),702010,IF(ISNUMBER(SEARCH("ALQUILER",UPPER(G90))),702010,IF(ISNUMBER(SEARCH("AUDITORIA",UPPER(G90))),702010,IF(ISNUMBER(SEARCH("PRESTACIONAL",UPPER(G90))),702010,702010))))))))))))</f>
        <v/>
      </c>
      <c r="I90" s="122" t="n"/>
      <c r="J90" s="122" t="n"/>
      <c r="K90" s="123">
        <f>IF(N(I90)&gt;0,ROUND(N(I90)*IVA_general,2),0)</f>
        <v/>
      </c>
      <c r="L90" s="122" t="n">
        <v>0</v>
      </c>
      <c r="M90" s="122" t="n"/>
      <c r="N90" s="123">
        <f>IF(SUM(I90:M90)=0,"",SUM(I90:M90))</f>
        <v/>
      </c>
      <c r="O90" s="124">
        <f>IF(A90="","",TEXT(A90,"yyyy-mm"))</f>
        <v/>
      </c>
      <c r="P90" s="121">
        <f>IF(A90="","",YEAR(A90))</f>
        <v/>
      </c>
      <c r="Q90" s="121">
        <f>IF(A90="","",MONTH(A90))</f>
        <v/>
      </c>
      <c r="R90" s="116" t="n"/>
      <c r="S90" s="116" t="n"/>
      <c r="T90" s="120" t="n"/>
      <c r="U90" s="122" t="n">
        <v>0</v>
      </c>
      <c r="V90" s="123">
        <f>IF(B90="","",N90-U90)</f>
        <v/>
      </c>
      <c r="W90" s="116" t="n"/>
      <c r="X90" s="125">
        <f>IF(B90="","",IF(LEFT(B90,2)="NC",-1,1))</f>
        <v/>
      </c>
      <c r="Y90" s="123">
        <f>IF(B90="",0,N(I90)*X90)</f>
        <v/>
      </c>
      <c r="Z90" s="123">
        <f>IF(B90="",0,N(J90)*X90)</f>
        <v/>
      </c>
      <c r="AA90" s="123">
        <f>IF(B90="",0,N(K90)*X90)</f>
        <v/>
      </c>
      <c r="AB90" s="123">
        <f>IF(B90="",0,N(L90)*X90)</f>
        <v/>
      </c>
      <c r="AC90" s="123">
        <f>IF(B90="",0,N(N90)*X90)</f>
        <v/>
      </c>
    </row>
    <row r="91" ht="15" customHeight="1" s="83">
      <c r="A91" s="120" t="n"/>
      <c r="B91" s="116" t="n"/>
      <c r="C91" s="116" t="n"/>
      <c r="D91" s="116" t="n"/>
      <c r="E91" s="116" t="n"/>
      <c r="F91" s="116" t="n"/>
      <c r="G91" s="116" t="n"/>
      <c r="H91" s="121">
        <f>IF(G91="","",IF(ISNUMBER(SEARCH("CAPITA",UPPER(G91))),651110,IF(ISNUMBER(SEARCH("REFUERZO",UPPER(G91))),651110,IF(ISNUMBER(SEARCH("VACUNACION",UPPER(G91))),651110,IF(ISNUMBER(SEARCH("ENFERMERIA",UPPER(G91))),651110,IF(ISNUMBER(SEARCH("APORTES",UPPER(G91))),651110,IF(ISNUMBER(SEARCH("HONORARIOS",UPPER(G91))),702010,IF(ISNUMBER(SEARCH("ADMINISTRACION",UPPER(G91))),702010,IF(ISNUMBER(SEARCH("GERENCIAMIENTO",UPPER(G91))),702010,IF(ISNUMBER(SEARCH("ALQUILER",UPPER(G91))),702010,IF(ISNUMBER(SEARCH("AUDITORIA",UPPER(G91))),702010,IF(ISNUMBER(SEARCH("PRESTACIONAL",UPPER(G91))),702010,702010))))))))))))</f>
        <v/>
      </c>
      <c r="I91" s="122" t="n"/>
      <c r="J91" s="122" t="n"/>
      <c r="K91" s="123">
        <f>IF(N(I91)&gt;0,ROUND(N(I91)*IVA_general,2),0)</f>
        <v/>
      </c>
      <c r="L91" s="122" t="n">
        <v>0</v>
      </c>
      <c r="M91" s="122" t="n"/>
      <c r="N91" s="123">
        <f>IF(SUM(I91:M91)=0,"",SUM(I91:M91))</f>
        <v/>
      </c>
      <c r="O91" s="124">
        <f>IF(A91="","",TEXT(A91,"yyyy-mm"))</f>
        <v/>
      </c>
      <c r="P91" s="121">
        <f>IF(A91="","",YEAR(A91))</f>
        <v/>
      </c>
      <c r="Q91" s="121">
        <f>IF(A91="","",MONTH(A91))</f>
        <v/>
      </c>
      <c r="R91" s="116" t="n"/>
      <c r="S91" s="116" t="n"/>
      <c r="T91" s="120" t="n"/>
      <c r="U91" s="122" t="n">
        <v>0</v>
      </c>
      <c r="V91" s="123">
        <f>IF(B91="","",N91-U91)</f>
        <v/>
      </c>
      <c r="W91" s="116" t="n"/>
      <c r="X91" s="125">
        <f>IF(B91="","",IF(LEFT(B91,2)="NC",-1,1))</f>
        <v/>
      </c>
      <c r="Y91" s="123">
        <f>IF(B91="",0,N(I91)*X91)</f>
        <v/>
      </c>
      <c r="Z91" s="123">
        <f>IF(B91="",0,N(J91)*X91)</f>
        <v/>
      </c>
      <c r="AA91" s="123">
        <f>IF(B91="",0,N(K91)*X91)</f>
        <v/>
      </c>
      <c r="AB91" s="123">
        <f>IF(B91="",0,N(L91)*X91)</f>
        <v/>
      </c>
      <c r="AC91" s="123">
        <f>IF(B91="",0,N(N91)*X91)</f>
        <v/>
      </c>
    </row>
    <row r="92" ht="15" customHeight="1" s="83">
      <c r="A92" s="120" t="n"/>
      <c r="B92" s="116" t="n"/>
      <c r="C92" s="116" t="n"/>
      <c r="D92" s="116" t="n"/>
      <c r="E92" s="116" t="n"/>
      <c r="F92" s="116" t="n"/>
      <c r="G92" s="116" t="n"/>
      <c r="H92" s="121">
        <f>IF(G92="","",IF(ISNUMBER(SEARCH("CAPITA",UPPER(G92))),651110,IF(ISNUMBER(SEARCH("REFUERZO",UPPER(G92))),651110,IF(ISNUMBER(SEARCH("VACUNACION",UPPER(G92))),651110,IF(ISNUMBER(SEARCH("ENFERMERIA",UPPER(G92))),651110,IF(ISNUMBER(SEARCH("APORTES",UPPER(G92))),651110,IF(ISNUMBER(SEARCH("HONORARIOS",UPPER(G92))),702010,IF(ISNUMBER(SEARCH("ADMINISTRACION",UPPER(G92))),702010,IF(ISNUMBER(SEARCH("GERENCIAMIENTO",UPPER(G92))),702010,IF(ISNUMBER(SEARCH("ALQUILER",UPPER(G92))),702010,IF(ISNUMBER(SEARCH("AUDITORIA",UPPER(G92))),702010,IF(ISNUMBER(SEARCH("PRESTACIONAL",UPPER(G92))),702010,702010))))))))))))</f>
        <v/>
      </c>
      <c r="I92" s="122" t="n"/>
      <c r="J92" s="122" t="n"/>
      <c r="K92" s="123">
        <f>IF(N(I92)&gt;0,ROUND(N(I92)*IVA_general,2),0)</f>
        <v/>
      </c>
      <c r="L92" s="122" t="n">
        <v>0</v>
      </c>
      <c r="M92" s="122" t="n"/>
      <c r="N92" s="123">
        <f>IF(SUM(I92:M92)=0,"",SUM(I92:M92))</f>
        <v/>
      </c>
      <c r="O92" s="124">
        <f>IF(A92="","",TEXT(A92,"yyyy-mm"))</f>
        <v/>
      </c>
      <c r="P92" s="121">
        <f>IF(A92="","",YEAR(A92))</f>
        <v/>
      </c>
      <c r="Q92" s="121">
        <f>IF(A92="","",MONTH(A92))</f>
        <v/>
      </c>
      <c r="R92" s="116" t="n"/>
      <c r="S92" s="116" t="n"/>
      <c r="T92" s="120" t="n"/>
      <c r="U92" s="122" t="n">
        <v>0</v>
      </c>
      <c r="V92" s="123">
        <f>IF(B92="","",N92-U92)</f>
        <v/>
      </c>
      <c r="W92" s="116" t="n"/>
      <c r="X92" s="125">
        <f>IF(B92="","",IF(LEFT(B92,2)="NC",-1,1))</f>
        <v/>
      </c>
      <c r="Y92" s="123">
        <f>IF(B92="",0,N(I92)*X92)</f>
        <v/>
      </c>
      <c r="Z92" s="123">
        <f>IF(B92="",0,N(J92)*X92)</f>
        <v/>
      </c>
      <c r="AA92" s="123">
        <f>IF(B92="",0,N(K92)*X92)</f>
        <v/>
      </c>
      <c r="AB92" s="123">
        <f>IF(B92="",0,N(L92)*X92)</f>
        <v/>
      </c>
      <c r="AC92" s="123">
        <f>IF(B92="",0,N(N92)*X92)</f>
        <v/>
      </c>
    </row>
    <row r="93" ht="15" customHeight="1" s="83">
      <c r="A93" s="120" t="n"/>
      <c r="B93" s="116" t="n"/>
      <c r="C93" s="116" t="n"/>
      <c r="D93" s="116" t="n"/>
      <c r="E93" s="116" t="n"/>
      <c r="F93" s="116" t="n"/>
      <c r="G93" s="116" t="n"/>
      <c r="H93" s="121">
        <f>IF(G93="","",IF(ISNUMBER(SEARCH("CAPITA",UPPER(G93))),651110,IF(ISNUMBER(SEARCH("REFUERZO",UPPER(G93))),651110,IF(ISNUMBER(SEARCH("VACUNACION",UPPER(G93))),651110,IF(ISNUMBER(SEARCH("ENFERMERIA",UPPER(G93))),651110,IF(ISNUMBER(SEARCH("APORTES",UPPER(G93))),651110,IF(ISNUMBER(SEARCH("HONORARIOS",UPPER(G93))),702010,IF(ISNUMBER(SEARCH("ADMINISTRACION",UPPER(G93))),702010,IF(ISNUMBER(SEARCH("GERENCIAMIENTO",UPPER(G93))),702010,IF(ISNUMBER(SEARCH("ALQUILER",UPPER(G93))),702010,IF(ISNUMBER(SEARCH("AUDITORIA",UPPER(G93))),702010,IF(ISNUMBER(SEARCH("PRESTACIONAL",UPPER(G93))),702010,702010))))))))))))</f>
        <v/>
      </c>
      <c r="I93" s="122" t="n"/>
      <c r="J93" s="122" t="n"/>
      <c r="K93" s="123">
        <f>IF(N(I93)&gt;0,ROUND(N(I93)*IVA_general,2),0)</f>
        <v/>
      </c>
      <c r="L93" s="122" t="n">
        <v>0</v>
      </c>
      <c r="M93" s="122" t="n"/>
      <c r="N93" s="123">
        <f>IF(SUM(I93:M93)=0,"",SUM(I93:M93))</f>
        <v/>
      </c>
      <c r="O93" s="124">
        <f>IF(A93="","",TEXT(A93,"yyyy-mm"))</f>
        <v/>
      </c>
      <c r="P93" s="121">
        <f>IF(A93="","",YEAR(A93))</f>
        <v/>
      </c>
      <c r="Q93" s="121">
        <f>IF(A93="","",MONTH(A93))</f>
        <v/>
      </c>
      <c r="R93" s="116" t="n"/>
      <c r="S93" s="116" t="n"/>
      <c r="T93" s="120" t="n"/>
      <c r="U93" s="122" t="n">
        <v>0</v>
      </c>
      <c r="V93" s="123">
        <f>IF(B93="","",N93-U93)</f>
        <v/>
      </c>
      <c r="W93" s="116" t="n"/>
      <c r="X93" s="125">
        <f>IF(B93="","",IF(LEFT(B93,2)="NC",-1,1))</f>
        <v/>
      </c>
      <c r="Y93" s="123">
        <f>IF(B93="",0,N(I93)*X93)</f>
        <v/>
      </c>
      <c r="Z93" s="123">
        <f>IF(B93="",0,N(J93)*X93)</f>
        <v/>
      </c>
      <c r="AA93" s="123">
        <f>IF(B93="",0,N(K93)*X93)</f>
        <v/>
      </c>
      <c r="AB93" s="123">
        <f>IF(B93="",0,N(L93)*X93)</f>
        <v/>
      </c>
      <c r="AC93" s="123">
        <f>IF(B93="",0,N(N93)*X93)</f>
        <v/>
      </c>
    </row>
    <row r="94" ht="15" customHeight="1" s="83">
      <c r="A94" s="120" t="n"/>
      <c r="B94" s="116" t="n"/>
      <c r="C94" s="116" t="n"/>
      <c r="D94" s="116" t="n"/>
      <c r="E94" s="116" t="n"/>
      <c r="F94" s="116" t="n"/>
      <c r="G94" s="116" t="n"/>
      <c r="H94" s="121">
        <f>IF(G94="","",IF(ISNUMBER(SEARCH("CAPITA",UPPER(G94))),651110,IF(ISNUMBER(SEARCH("REFUERZO",UPPER(G94))),651110,IF(ISNUMBER(SEARCH("VACUNACION",UPPER(G94))),651110,IF(ISNUMBER(SEARCH("ENFERMERIA",UPPER(G94))),651110,IF(ISNUMBER(SEARCH("APORTES",UPPER(G94))),651110,IF(ISNUMBER(SEARCH("HONORARIOS",UPPER(G94))),702010,IF(ISNUMBER(SEARCH("ADMINISTRACION",UPPER(G94))),702010,IF(ISNUMBER(SEARCH("GERENCIAMIENTO",UPPER(G94))),702010,IF(ISNUMBER(SEARCH("ALQUILER",UPPER(G94))),702010,IF(ISNUMBER(SEARCH("AUDITORIA",UPPER(G94))),702010,IF(ISNUMBER(SEARCH("PRESTACIONAL",UPPER(G94))),702010,702010))))))))))))</f>
        <v/>
      </c>
      <c r="I94" s="122" t="n"/>
      <c r="J94" s="122" t="n"/>
      <c r="K94" s="123">
        <f>IF(N(I94)&gt;0,ROUND(N(I94)*IVA_general,2),0)</f>
        <v/>
      </c>
      <c r="L94" s="122" t="n">
        <v>0</v>
      </c>
      <c r="M94" s="122" t="n"/>
      <c r="N94" s="123">
        <f>IF(SUM(I94:M94)=0,"",SUM(I94:M94))</f>
        <v/>
      </c>
      <c r="O94" s="124">
        <f>IF(A94="","",TEXT(A94,"yyyy-mm"))</f>
        <v/>
      </c>
      <c r="P94" s="121">
        <f>IF(A94="","",YEAR(A94))</f>
        <v/>
      </c>
      <c r="Q94" s="121">
        <f>IF(A94="","",MONTH(A94))</f>
        <v/>
      </c>
      <c r="R94" s="116" t="n"/>
      <c r="S94" s="116" t="n"/>
      <c r="T94" s="120" t="n"/>
      <c r="U94" s="122" t="n">
        <v>0</v>
      </c>
      <c r="V94" s="123">
        <f>IF(B94="","",N94-U94)</f>
        <v/>
      </c>
      <c r="W94" s="116" t="n"/>
      <c r="X94" s="125">
        <f>IF(B94="","",IF(LEFT(B94,2)="NC",-1,1))</f>
        <v/>
      </c>
      <c r="Y94" s="123">
        <f>IF(B94="",0,N(I94)*X94)</f>
        <v/>
      </c>
      <c r="Z94" s="123">
        <f>IF(B94="",0,N(J94)*X94)</f>
        <v/>
      </c>
      <c r="AA94" s="123">
        <f>IF(B94="",0,N(K94)*X94)</f>
        <v/>
      </c>
      <c r="AB94" s="123">
        <f>IF(B94="",0,N(L94)*X94)</f>
        <v/>
      </c>
      <c r="AC94" s="123">
        <f>IF(B94="",0,N(N94)*X94)</f>
        <v/>
      </c>
    </row>
    <row r="95" ht="15" customHeight="1" s="83">
      <c r="A95" s="120" t="n"/>
      <c r="B95" s="116" t="n"/>
      <c r="C95" s="116" t="n"/>
      <c r="D95" s="116" t="n"/>
      <c r="E95" s="116" t="n"/>
      <c r="F95" s="116" t="n"/>
      <c r="G95" s="116" t="n"/>
      <c r="H95" s="121">
        <f>IF(G95="","",IF(ISNUMBER(SEARCH("CAPITA",UPPER(G95))),651110,IF(ISNUMBER(SEARCH("REFUERZO",UPPER(G95))),651110,IF(ISNUMBER(SEARCH("VACUNACION",UPPER(G95))),651110,IF(ISNUMBER(SEARCH("ENFERMERIA",UPPER(G95))),651110,IF(ISNUMBER(SEARCH("APORTES",UPPER(G95))),651110,IF(ISNUMBER(SEARCH("HONORARIOS",UPPER(G95))),702010,IF(ISNUMBER(SEARCH("ADMINISTRACION",UPPER(G95))),702010,IF(ISNUMBER(SEARCH("GERENCIAMIENTO",UPPER(G95))),702010,IF(ISNUMBER(SEARCH("ALQUILER",UPPER(G95))),702010,IF(ISNUMBER(SEARCH("AUDITORIA",UPPER(G95))),702010,IF(ISNUMBER(SEARCH("PRESTACIONAL",UPPER(G95))),702010,702010))))))))))))</f>
        <v/>
      </c>
      <c r="I95" s="122" t="n"/>
      <c r="J95" s="122" t="n"/>
      <c r="K95" s="123">
        <f>IF(N(I95)&gt;0,ROUND(N(I95)*IVA_general,2),0)</f>
        <v/>
      </c>
      <c r="L95" s="122" t="n">
        <v>0</v>
      </c>
      <c r="M95" s="122" t="n"/>
      <c r="N95" s="123">
        <f>IF(SUM(I95:M95)=0,"",SUM(I95:M95))</f>
        <v/>
      </c>
      <c r="O95" s="124">
        <f>IF(A95="","",TEXT(A95,"yyyy-mm"))</f>
        <v/>
      </c>
      <c r="P95" s="121">
        <f>IF(A95="","",YEAR(A95))</f>
        <v/>
      </c>
      <c r="Q95" s="121">
        <f>IF(A95="","",MONTH(A95))</f>
        <v/>
      </c>
      <c r="R95" s="116" t="n"/>
      <c r="S95" s="116" t="n"/>
      <c r="T95" s="120" t="n"/>
      <c r="U95" s="122" t="n">
        <v>0</v>
      </c>
      <c r="V95" s="123">
        <f>IF(B95="","",N95-U95)</f>
        <v/>
      </c>
      <c r="W95" s="116" t="n"/>
      <c r="X95" s="125">
        <f>IF(B95="","",IF(LEFT(B95,2)="NC",-1,1))</f>
        <v/>
      </c>
      <c r="Y95" s="123">
        <f>IF(B95="",0,N(I95)*X95)</f>
        <v/>
      </c>
      <c r="Z95" s="123">
        <f>IF(B95="",0,N(J95)*X95)</f>
        <v/>
      </c>
      <c r="AA95" s="123">
        <f>IF(B95="",0,N(K95)*X95)</f>
        <v/>
      </c>
      <c r="AB95" s="123">
        <f>IF(B95="",0,N(L95)*X95)</f>
        <v/>
      </c>
      <c r="AC95" s="123">
        <f>IF(B95="",0,N(N95)*X95)</f>
        <v/>
      </c>
    </row>
    <row r="96" ht="15" customHeight="1" s="83">
      <c r="A96" s="120" t="n"/>
      <c r="B96" s="116" t="n"/>
      <c r="C96" s="116" t="n"/>
      <c r="D96" s="116" t="n"/>
      <c r="E96" s="116" t="n"/>
      <c r="F96" s="116" t="n"/>
      <c r="G96" s="116" t="n"/>
      <c r="H96" s="121">
        <f>IF(G96="","",IF(ISNUMBER(SEARCH("CAPITA",UPPER(G96))),651110,IF(ISNUMBER(SEARCH("REFUERZO",UPPER(G96))),651110,IF(ISNUMBER(SEARCH("VACUNACION",UPPER(G96))),651110,IF(ISNUMBER(SEARCH("ENFERMERIA",UPPER(G96))),651110,IF(ISNUMBER(SEARCH("APORTES",UPPER(G96))),651110,IF(ISNUMBER(SEARCH("HONORARIOS",UPPER(G96))),702010,IF(ISNUMBER(SEARCH("ADMINISTRACION",UPPER(G96))),702010,IF(ISNUMBER(SEARCH("GERENCIAMIENTO",UPPER(G96))),702010,IF(ISNUMBER(SEARCH("ALQUILER",UPPER(G96))),702010,IF(ISNUMBER(SEARCH("AUDITORIA",UPPER(G96))),702010,IF(ISNUMBER(SEARCH("PRESTACIONAL",UPPER(G96))),702010,702010))))))))))))</f>
        <v/>
      </c>
      <c r="I96" s="122" t="n"/>
      <c r="J96" s="122" t="n"/>
      <c r="K96" s="123">
        <f>IF(N(I96)&gt;0,ROUND(N(I96)*IVA_general,2),0)</f>
        <v/>
      </c>
      <c r="L96" s="122" t="n">
        <v>0</v>
      </c>
      <c r="M96" s="122" t="n"/>
      <c r="N96" s="123">
        <f>IF(SUM(I96:M96)=0,"",SUM(I96:M96))</f>
        <v/>
      </c>
      <c r="O96" s="124">
        <f>IF(A96="","",TEXT(A96,"yyyy-mm"))</f>
        <v/>
      </c>
      <c r="P96" s="121">
        <f>IF(A96="","",YEAR(A96))</f>
        <v/>
      </c>
      <c r="Q96" s="121">
        <f>IF(A96="","",MONTH(A96))</f>
        <v/>
      </c>
      <c r="R96" s="116" t="n"/>
      <c r="S96" s="116" t="n"/>
      <c r="T96" s="120" t="n"/>
      <c r="U96" s="122" t="n">
        <v>0</v>
      </c>
      <c r="V96" s="123">
        <f>IF(B96="","",N96-U96)</f>
        <v/>
      </c>
      <c r="W96" s="116" t="n"/>
      <c r="X96" s="125">
        <f>IF(B96="","",IF(LEFT(B96,2)="NC",-1,1))</f>
        <v/>
      </c>
      <c r="Y96" s="123">
        <f>IF(B96="",0,N(I96)*X96)</f>
        <v/>
      </c>
      <c r="Z96" s="123">
        <f>IF(B96="",0,N(J96)*X96)</f>
        <v/>
      </c>
      <c r="AA96" s="123">
        <f>IF(B96="",0,N(K96)*X96)</f>
        <v/>
      </c>
      <c r="AB96" s="123">
        <f>IF(B96="",0,N(L96)*X96)</f>
        <v/>
      </c>
      <c r="AC96" s="123">
        <f>IF(B96="",0,N(N96)*X96)</f>
        <v/>
      </c>
    </row>
    <row r="97" ht="15" customHeight="1" s="83">
      <c r="A97" s="120" t="n"/>
      <c r="B97" s="116" t="n"/>
      <c r="C97" s="116" t="n"/>
      <c r="D97" s="116" t="n"/>
      <c r="E97" s="116" t="n"/>
      <c r="F97" s="116" t="n"/>
      <c r="G97" s="116" t="n"/>
      <c r="H97" s="121">
        <f>IF(G97="","",IF(ISNUMBER(SEARCH("CAPITA",UPPER(G97))),651110,IF(ISNUMBER(SEARCH("REFUERZO",UPPER(G97))),651110,IF(ISNUMBER(SEARCH("VACUNACION",UPPER(G97))),651110,IF(ISNUMBER(SEARCH("ENFERMERIA",UPPER(G97))),651110,IF(ISNUMBER(SEARCH("APORTES",UPPER(G97))),651110,IF(ISNUMBER(SEARCH("HONORARIOS",UPPER(G97))),702010,IF(ISNUMBER(SEARCH("ADMINISTRACION",UPPER(G97))),702010,IF(ISNUMBER(SEARCH("GERENCIAMIENTO",UPPER(G97))),702010,IF(ISNUMBER(SEARCH("ALQUILER",UPPER(G97))),702010,IF(ISNUMBER(SEARCH("AUDITORIA",UPPER(G97))),702010,IF(ISNUMBER(SEARCH("PRESTACIONAL",UPPER(G97))),702010,702010))))))))))))</f>
        <v/>
      </c>
      <c r="I97" s="122" t="n"/>
      <c r="J97" s="122" t="n"/>
      <c r="K97" s="123">
        <f>IF(N(I97)&gt;0,ROUND(N(I97)*IVA_general,2),0)</f>
        <v/>
      </c>
      <c r="L97" s="122" t="n">
        <v>0</v>
      </c>
      <c r="M97" s="122" t="n"/>
      <c r="N97" s="123">
        <f>IF(SUM(I97:M97)=0,"",SUM(I97:M97))</f>
        <v/>
      </c>
      <c r="O97" s="124">
        <f>IF(A97="","",TEXT(A97,"yyyy-mm"))</f>
        <v/>
      </c>
      <c r="P97" s="121">
        <f>IF(A97="","",YEAR(A97))</f>
        <v/>
      </c>
      <c r="Q97" s="121">
        <f>IF(A97="","",MONTH(A97))</f>
        <v/>
      </c>
      <c r="R97" s="116" t="n"/>
      <c r="S97" s="116" t="n"/>
      <c r="T97" s="120" t="n"/>
      <c r="U97" s="122" t="n">
        <v>0</v>
      </c>
      <c r="V97" s="123">
        <f>IF(B97="","",N97-U97)</f>
        <v/>
      </c>
      <c r="W97" s="116" t="n"/>
      <c r="X97" s="125">
        <f>IF(B97="","",IF(LEFT(B97,2)="NC",-1,1))</f>
        <v/>
      </c>
      <c r="Y97" s="123">
        <f>IF(B97="",0,N(I97)*X97)</f>
        <v/>
      </c>
      <c r="Z97" s="123">
        <f>IF(B97="",0,N(J97)*X97)</f>
        <v/>
      </c>
      <c r="AA97" s="123">
        <f>IF(B97="",0,N(K97)*X97)</f>
        <v/>
      </c>
      <c r="AB97" s="123">
        <f>IF(B97="",0,N(L97)*X97)</f>
        <v/>
      </c>
      <c r="AC97" s="123">
        <f>IF(B97="",0,N(N97)*X97)</f>
        <v/>
      </c>
    </row>
    <row r="98" ht="15" customHeight="1" s="83">
      <c r="A98" s="120" t="n"/>
      <c r="B98" s="116" t="n"/>
      <c r="C98" s="116" t="n"/>
      <c r="D98" s="116" t="n"/>
      <c r="E98" s="116" t="n"/>
      <c r="F98" s="116" t="n"/>
      <c r="G98" s="116" t="n"/>
      <c r="H98" s="121">
        <f>IF(G98="","",IF(ISNUMBER(SEARCH("CAPITA",UPPER(G98))),651110,IF(ISNUMBER(SEARCH("REFUERZO",UPPER(G98))),651110,IF(ISNUMBER(SEARCH("VACUNACION",UPPER(G98))),651110,IF(ISNUMBER(SEARCH("ENFERMERIA",UPPER(G98))),651110,IF(ISNUMBER(SEARCH("APORTES",UPPER(G98))),651110,IF(ISNUMBER(SEARCH("HONORARIOS",UPPER(G98))),702010,IF(ISNUMBER(SEARCH("ADMINISTRACION",UPPER(G98))),702010,IF(ISNUMBER(SEARCH("GERENCIAMIENTO",UPPER(G98))),702010,IF(ISNUMBER(SEARCH("ALQUILER",UPPER(G98))),702010,IF(ISNUMBER(SEARCH("AUDITORIA",UPPER(G98))),702010,IF(ISNUMBER(SEARCH("PRESTACIONAL",UPPER(G98))),702010,702010))))))))))))</f>
        <v/>
      </c>
      <c r="I98" s="122" t="n"/>
      <c r="J98" s="122" t="n"/>
      <c r="K98" s="123">
        <f>IF(N(I98)&gt;0,ROUND(N(I98)*IVA_general,2),0)</f>
        <v/>
      </c>
      <c r="L98" s="122" t="n">
        <v>0</v>
      </c>
      <c r="M98" s="122" t="n"/>
      <c r="N98" s="123">
        <f>IF(SUM(I98:M98)=0,"",SUM(I98:M98))</f>
        <v/>
      </c>
      <c r="O98" s="124">
        <f>IF(A98="","",TEXT(A98,"yyyy-mm"))</f>
        <v/>
      </c>
      <c r="P98" s="121">
        <f>IF(A98="","",YEAR(A98))</f>
        <v/>
      </c>
      <c r="Q98" s="121">
        <f>IF(A98="","",MONTH(A98))</f>
        <v/>
      </c>
      <c r="R98" s="116" t="n"/>
      <c r="S98" s="116" t="n"/>
      <c r="T98" s="120" t="n"/>
      <c r="U98" s="122" t="n">
        <v>0</v>
      </c>
      <c r="V98" s="123">
        <f>IF(B98="","",N98-U98)</f>
        <v/>
      </c>
      <c r="W98" s="116" t="n"/>
      <c r="X98" s="125">
        <f>IF(B98="","",IF(LEFT(B98,2)="NC",-1,1))</f>
        <v/>
      </c>
      <c r="Y98" s="123">
        <f>IF(B98="",0,N(I98)*X98)</f>
        <v/>
      </c>
      <c r="Z98" s="123">
        <f>IF(B98="",0,N(J98)*X98)</f>
        <v/>
      </c>
      <c r="AA98" s="123">
        <f>IF(B98="",0,N(K98)*X98)</f>
        <v/>
      </c>
      <c r="AB98" s="123">
        <f>IF(B98="",0,N(L98)*X98)</f>
        <v/>
      </c>
      <c r="AC98" s="123">
        <f>IF(B98="",0,N(N98)*X98)</f>
        <v/>
      </c>
    </row>
    <row r="99" ht="15" customHeight="1" s="83">
      <c r="A99" s="120" t="n"/>
      <c r="B99" s="116" t="n"/>
      <c r="C99" s="116" t="n"/>
      <c r="D99" s="116" t="n"/>
      <c r="E99" s="116" t="n"/>
      <c r="F99" s="116" t="n"/>
      <c r="G99" s="116" t="n"/>
      <c r="H99" s="121">
        <f>IF(G99="","",IF(ISNUMBER(SEARCH("CAPITA",UPPER(G99))),651110,IF(ISNUMBER(SEARCH("REFUERZO",UPPER(G99))),651110,IF(ISNUMBER(SEARCH("VACUNACION",UPPER(G99))),651110,IF(ISNUMBER(SEARCH("ENFERMERIA",UPPER(G99))),651110,IF(ISNUMBER(SEARCH("APORTES",UPPER(G99))),651110,IF(ISNUMBER(SEARCH("HONORARIOS",UPPER(G99))),702010,IF(ISNUMBER(SEARCH("ADMINISTRACION",UPPER(G99))),702010,IF(ISNUMBER(SEARCH("GERENCIAMIENTO",UPPER(G99))),702010,IF(ISNUMBER(SEARCH("ALQUILER",UPPER(G99))),702010,IF(ISNUMBER(SEARCH("AUDITORIA",UPPER(G99))),702010,IF(ISNUMBER(SEARCH("PRESTACIONAL",UPPER(G99))),702010,702010))))))))))))</f>
        <v/>
      </c>
      <c r="I99" s="122" t="n"/>
      <c r="J99" s="122" t="n"/>
      <c r="K99" s="123">
        <f>IF(N(I99)&gt;0,ROUND(N(I99)*IVA_general,2),0)</f>
        <v/>
      </c>
      <c r="L99" s="122" t="n">
        <v>0</v>
      </c>
      <c r="M99" s="122" t="n"/>
      <c r="N99" s="123">
        <f>IF(SUM(I99:M99)=0,"",SUM(I99:M99))</f>
        <v/>
      </c>
      <c r="O99" s="124">
        <f>IF(A99="","",TEXT(A99,"yyyy-mm"))</f>
        <v/>
      </c>
      <c r="P99" s="121">
        <f>IF(A99="","",YEAR(A99))</f>
        <v/>
      </c>
      <c r="Q99" s="121">
        <f>IF(A99="","",MONTH(A99))</f>
        <v/>
      </c>
      <c r="R99" s="116" t="n"/>
      <c r="S99" s="116" t="n"/>
      <c r="T99" s="120" t="n"/>
      <c r="U99" s="122" t="n">
        <v>0</v>
      </c>
      <c r="V99" s="123">
        <f>IF(B99="","",N99-U99)</f>
        <v/>
      </c>
      <c r="W99" s="116" t="n"/>
      <c r="X99" s="125">
        <f>IF(B99="","",IF(LEFT(B99,2)="NC",-1,1))</f>
        <v/>
      </c>
      <c r="Y99" s="123">
        <f>IF(B99="",0,N(I99)*X99)</f>
        <v/>
      </c>
      <c r="Z99" s="123">
        <f>IF(B99="",0,N(J99)*X99)</f>
        <v/>
      </c>
      <c r="AA99" s="123">
        <f>IF(B99="",0,N(K99)*X99)</f>
        <v/>
      </c>
      <c r="AB99" s="123">
        <f>IF(B99="",0,N(L99)*X99)</f>
        <v/>
      </c>
      <c r="AC99" s="123">
        <f>IF(B99="",0,N(N99)*X99)</f>
        <v/>
      </c>
    </row>
    <row r="100" ht="15" customHeight="1" s="83">
      <c r="A100" s="120" t="n"/>
      <c r="B100" s="116" t="n"/>
      <c r="C100" s="116" t="n"/>
      <c r="D100" s="116" t="n"/>
      <c r="E100" s="116" t="n"/>
      <c r="F100" s="116" t="n"/>
      <c r="G100" s="116" t="n"/>
      <c r="H100" s="121">
        <f>IF(G100="","",IF(ISNUMBER(SEARCH("CAPITA",UPPER(G100))),651110,IF(ISNUMBER(SEARCH("REFUERZO",UPPER(G100))),651110,IF(ISNUMBER(SEARCH("VACUNACION",UPPER(G100))),651110,IF(ISNUMBER(SEARCH("ENFERMERIA",UPPER(G100))),651110,IF(ISNUMBER(SEARCH("APORTES",UPPER(G100))),651110,IF(ISNUMBER(SEARCH("HONORARIOS",UPPER(G100))),702010,IF(ISNUMBER(SEARCH("ADMINISTRACION",UPPER(G100))),702010,IF(ISNUMBER(SEARCH("GERENCIAMIENTO",UPPER(G100))),702010,IF(ISNUMBER(SEARCH("ALQUILER",UPPER(G100))),702010,IF(ISNUMBER(SEARCH("AUDITORIA",UPPER(G100))),702010,IF(ISNUMBER(SEARCH("PRESTACIONAL",UPPER(G100))),702010,702010))))))))))))</f>
        <v/>
      </c>
      <c r="I100" s="122" t="n"/>
      <c r="J100" s="122" t="n"/>
      <c r="K100" s="123">
        <f>IF(N(I100)&gt;0,ROUND(N(I100)*IVA_general,2),0)</f>
        <v/>
      </c>
      <c r="L100" s="122" t="n">
        <v>0</v>
      </c>
      <c r="M100" s="122" t="n"/>
      <c r="N100" s="123">
        <f>IF(SUM(I100:M100)=0,"",SUM(I100:M100))</f>
        <v/>
      </c>
      <c r="O100" s="124">
        <f>IF(A100="","",TEXT(A100,"yyyy-mm"))</f>
        <v/>
      </c>
      <c r="P100" s="121">
        <f>IF(A100="","",YEAR(A100))</f>
        <v/>
      </c>
      <c r="Q100" s="121">
        <f>IF(A100="","",MONTH(A100))</f>
        <v/>
      </c>
      <c r="R100" s="116" t="n"/>
      <c r="S100" s="116" t="n"/>
      <c r="T100" s="120" t="n"/>
      <c r="U100" s="122" t="n">
        <v>0</v>
      </c>
      <c r="V100" s="123">
        <f>IF(B100="","",N100-U100)</f>
        <v/>
      </c>
      <c r="W100" s="116" t="n"/>
      <c r="X100" s="125">
        <f>IF(B100="","",IF(LEFT(B100,2)="NC",-1,1))</f>
        <v/>
      </c>
      <c r="Y100" s="123">
        <f>IF(B100="",0,N(I100)*X100)</f>
        <v/>
      </c>
      <c r="Z100" s="123">
        <f>IF(B100="",0,N(J100)*X100)</f>
        <v/>
      </c>
      <c r="AA100" s="123">
        <f>IF(B100="",0,N(K100)*X100)</f>
        <v/>
      </c>
      <c r="AB100" s="123">
        <f>IF(B100="",0,N(L100)*X100)</f>
        <v/>
      </c>
      <c r="AC100" s="123">
        <f>IF(B100="",0,N(N100)*X100)</f>
        <v/>
      </c>
    </row>
    <row r="101" ht="15" customHeight="1" s="83">
      <c r="A101" s="120" t="n"/>
      <c r="B101" s="116" t="n"/>
      <c r="C101" s="116" t="n"/>
      <c r="D101" s="116" t="n"/>
      <c r="E101" s="116" t="n"/>
      <c r="F101" s="116" t="n"/>
      <c r="G101" s="116" t="n"/>
      <c r="H101" s="121">
        <f>IF(G101="","",IF(ISNUMBER(SEARCH("CAPITA",UPPER(G101))),651110,IF(ISNUMBER(SEARCH("REFUERZO",UPPER(G101))),651110,IF(ISNUMBER(SEARCH("VACUNACION",UPPER(G101))),651110,IF(ISNUMBER(SEARCH("ENFERMERIA",UPPER(G101))),651110,IF(ISNUMBER(SEARCH("APORTES",UPPER(G101))),651110,IF(ISNUMBER(SEARCH("HONORARIOS",UPPER(G101))),702010,IF(ISNUMBER(SEARCH("ADMINISTRACION",UPPER(G101))),702010,IF(ISNUMBER(SEARCH("GERENCIAMIENTO",UPPER(G101))),702010,IF(ISNUMBER(SEARCH("ALQUILER",UPPER(G101))),702010,IF(ISNUMBER(SEARCH("AUDITORIA",UPPER(G101))),702010,IF(ISNUMBER(SEARCH("PRESTACIONAL",UPPER(G101))),702010,702010))))))))))))</f>
        <v/>
      </c>
      <c r="I101" s="122" t="n"/>
      <c r="J101" s="122" t="n"/>
      <c r="K101" s="123">
        <f>IF(N(I101)&gt;0,ROUND(N(I101)*IVA_general,2),0)</f>
        <v/>
      </c>
      <c r="L101" s="122" t="n">
        <v>0</v>
      </c>
      <c r="M101" s="122" t="n"/>
      <c r="N101" s="123">
        <f>IF(SUM(I101:M101)=0,"",SUM(I101:M101))</f>
        <v/>
      </c>
      <c r="O101" s="124">
        <f>IF(A101="","",TEXT(A101,"yyyy-mm"))</f>
        <v/>
      </c>
      <c r="P101" s="121">
        <f>IF(A101="","",YEAR(A101))</f>
        <v/>
      </c>
      <c r="Q101" s="121">
        <f>IF(A101="","",MONTH(A101))</f>
        <v/>
      </c>
      <c r="R101" s="116" t="n"/>
      <c r="S101" s="116" t="n"/>
      <c r="T101" s="120" t="n"/>
      <c r="U101" s="122" t="n">
        <v>0</v>
      </c>
      <c r="V101" s="123">
        <f>IF(B101="","",N101-U101)</f>
        <v/>
      </c>
      <c r="W101" s="116" t="n"/>
      <c r="X101" s="125">
        <f>IF(B101="","",IF(LEFT(B101,2)="NC",-1,1))</f>
        <v/>
      </c>
      <c r="Y101" s="123">
        <f>IF(B101="",0,N(I101)*X101)</f>
        <v/>
      </c>
      <c r="Z101" s="123">
        <f>IF(B101="",0,N(J101)*X101)</f>
        <v/>
      </c>
      <c r="AA101" s="123">
        <f>IF(B101="",0,N(K101)*X101)</f>
        <v/>
      </c>
      <c r="AB101" s="123">
        <f>IF(B101="",0,N(L101)*X101)</f>
        <v/>
      </c>
      <c r="AC101" s="123">
        <f>IF(B101="",0,N(N101)*X101)</f>
        <v/>
      </c>
    </row>
    <row r="102" ht="15" customHeight="1" s="83">
      <c r="A102" s="120" t="n"/>
      <c r="B102" s="116" t="n"/>
      <c r="C102" s="116" t="n"/>
      <c r="D102" s="116" t="n"/>
      <c r="E102" s="116" t="n"/>
      <c r="F102" s="116" t="n"/>
      <c r="G102" s="116" t="n"/>
      <c r="H102" s="121">
        <f>IF(G102="","",IF(ISNUMBER(SEARCH("CAPITA",UPPER(G102))),651110,IF(ISNUMBER(SEARCH("REFUERZO",UPPER(G102))),651110,IF(ISNUMBER(SEARCH("VACUNACION",UPPER(G102))),651110,IF(ISNUMBER(SEARCH("ENFERMERIA",UPPER(G102))),651110,IF(ISNUMBER(SEARCH("APORTES",UPPER(G102))),651110,IF(ISNUMBER(SEARCH("HONORARIOS",UPPER(G102))),702010,IF(ISNUMBER(SEARCH("ADMINISTRACION",UPPER(G102))),702010,IF(ISNUMBER(SEARCH("GERENCIAMIENTO",UPPER(G102))),702010,IF(ISNUMBER(SEARCH("ALQUILER",UPPER(G102))),702010,IF(ISNUMBER(SEARCH("AUDITORIA",UPPER(G102))),702010,IF(ISNUMBER(SEARCH("PRESTACIONAL",UPPER(G102))),702010,702010))))))))))))</f>
        <v/>
      </c>
      <c r="I102" s="122" t="n"/>
      <c r="J102" s="122" t="n"/>
      <c r="K102" s="123">
        <f>IF(N(I102)&gt;0,ROUND(N(I102)*IVA_general,2),0)</f>
        <v/>
      </c>
      <c r="L102" s="122" t="n">
        <v>0</v>
      </c>
      <c r="M102" s="122" t="n"/>
      <c r="N102" s="123">
        <f>IF(SUM(I102:M102)=0,"",SUM(I102:M102))</f>
        <v/>
      </c>
      <c r="O102" s="124">
        <f>IF(A102="","",TEXT(A102,"yyyy-mm"))</f>
        <v/>
      </c>
      <c r="P102" s="121">
        <f>IF(A102="","",YEAR(A102))</f>
        <v/>
      </c>
      <c r="Q102" s="121">
        <f>IF(A102="","",MONTH(A102))</f>
        <v/>
      </c>
      <c r="R102" s="116" t="n"/>
      <c r="S102" s="116" t="n"/>
      <c r="T102" s="120" t="n"/>
      <c r="U102" s="122" t="n">
        <v>0</v>
      </c>
      <c r="V102" s="123">
        <f>IF(B102="","",N102-U102)</f>
        <v/>
      </c>
      <c r="W102" s="116" t="n"/>
      <c r="X102" s="125">
        <f>IF(B102="","",IF(LEFT(B102,2)="NC",-1,1))</f>
        <v/>
      </c>
      <c r="Y102" s="123">
        <f>IF(B102="",0,N(I102)*X102)</f>
        <v/>
      </c>
      <c r="Z102" s="123">
        <f>IF(B102="",0,N(J102)*X102)</f>
        <v/>
      </c>
      <c r="AA102" s="123">
        <f>IF(B102="",0,N(K102)*X102)</f>
        <v/>
      </c>
      <c r="AB102" s="123">
        <f>IF(B102="",0,N(L102)*X102)</f>
        <v/>
      </c>
      <c r="AC102" s="123">
        <f>IF(B102="",0,N(N102)*X102)</f>
        <v/>
      </c>
    </row>
    <row r="103" ht="15" customHeight="1" s="83">
      <c r="A103" s="120" t="n"/>
      <c r="B103" s="116" t="n"/>
      <c r="C103" s="116" t="n"/>
      <c r="D103" s="116" t="n"/>
      <c r="E103" s="116" t="n"/>
      <c r="F103" s="116" t="n"/>
      <c r="G103" s="116" t="n"/>
      <c r="H103" s="121">
        <f>IF(G103="","",IF(ISNUMBER(SEARCH("CAPITA",UPPER(G103))),651110,IF(ISNUMBER(SEARCH("REFUERZO",UPPER(G103))),651110,IF(ISNUMBER(SEARCH("VACUNACION",UPPER(G103))),651110,IF(ISNUMBER(SEARCH("ENFERMERIA",UPPER(G103))),651110,IF(ISNUMBER(SEARCH("APORTES",UPPER(G103))),651110,IF(ISNUMBER(SEARCH("HONORARIOS",UPPER(G103))),702010,IF(ISNUMBER(SEARCH("ADMINISTRACION",UPPER(G103))),702010,IF(ISNUMBER(SEARCH("GERENCIAMIENTO",UPPER(G103))),702010,IF(ISNUMBER(SEARCH("ALQUILER",UPPER(G103))),702010,IF(ISNUMBER(SEARCH("AUDITORIA",UPPER(G103))),702010,IF(ISNUMBER(SEARCH("PRESTACIONAL",UPPER(G103))),702010,702010))))))))))))</f>
        <v/>
      </c>
      <c r="I103" s="122" t="n"/>
      <c r="J103" s="122" t="n"/>
      <c r="K103" s="123">
        <f>IF(N(I103)&gt;0,ROUND(N(I103)*IVA_general,2),0)</f>
        <v/>
      </c>
      <c r="L103" s="122" t="n">
        <v>0</v>
      </c>
      <c r="M103" s="122" t="n"/>
      <c r="N103" s="123">
        <f>IF(SUM(I103:M103)=0,"",SUM(I103:M103))</f>
        <v/>
      </c>
      <c r="O103" s="124">
        <f>IF(A103="","",TEXT(A103,"yyyy-mm"))</f>
        <v/>
      </c>
      <c r="P103" s="121">
        <f>IF(A103="","",YEAR(A103))</f>
        <v/>
      </c>
      <c r="Q103" s="121">
        <f>IF(A103="","",MONTH(A103))</f>
        <v/>
      </c>
      <c r="R103" s="116" t="n"/>
      <c r="S103" s="116" t="n"/>
      <c r="T103" s="120" t="n"/>
      <c r="U103" s="122" t="n">
        <v>0</v>
      </c>
      <c r="V103" s="123">
        <f>IF(B103="","",N103-U103)</f>
        <v/>
      </c>
      <c r="W103" s="116" t="n"/>
      <c r="X103" s="125">
        <f>IF(B103="","",IF(LEFT(B103,2)="NC",-1,1))</f>
        <v/>
      </c>
      <c r="Y103" s="123">
        <f>IF(B103="",0,N(I103)*X103)</f>
        <v/>
      </c>
      <c r="Z103" s="123">
        <f>IF(B103="",0,N(J103)*X103)</f>
        <v/>
      </c>
      <c r="AA103" s="123">
        <f>IF(B103="",0,N(K103)*X103)</f>
        <v/>
      </c>
      <c r="AB103" s="123">
        <f>IF(B103="",0,N(L103)*X103)</f>
        <v/>
      </c>
      <c r="AC103" s="123">
        <f>IF(B103="",0,N(N103)*X103)</f>
        <v/>
      </c>
    </row>
    <row r="104" ht="15" customHeight="1" s="83">
      <c r="A104" s="120" t="n"/>
      <c r="B104" s="116" t="n"/>
      <c r="C104" s="116" t="n"/>
      <c r="D104" s="116" t="n"/>
      <c r="E104" s="116" t="n"/>
      <c r="F104" s="116" t="n"/>
      <c r="G104" s="116" t="n"/>
      <c r="H104" s="121">
        <f>IF(G104="","",IF(ISNUMBER(SEARCH("CAPITA",UPPER(G104))),651110,IF(ISNUMBER(SEARCH("REFUERZO",UPPER(G104))),651110,IF(ISNUMBER(SEARCH("VACUNACION",UPPER(G104))),651110,IF(ISNUMBER(SEARCH("ENFERMERIA",UPPER(G104))),651110,IF(ISNUMBER(SEARCH("APORTES",UPPER(G104))),651110,IF(ISNUMBER(SEARCH("HONORARIOS",UPPER(G104))),702010,IF(ISNUMBER(SEARCH("ADMINISTRACION",UPPER(G104))),702010,IF(ISNUMBER(SEARCH("GERENCIAMIENTO",UPPER(G104))),702010,IF(ISNUMBER(SEARCH("ALQUILER",UPPER(G104))),702010,IF(ISNUMBER(SEARCH("AUDITORIA",UPPER(G104))),702010,IF(ISNUMBER(SEARCH("PRESTACIONAL",UPPER(G104))),702010,702010))))))))))))</f>
        <v/>
      </c>
      <c r="I104" s="122" t="n"/>
      <c r="J104" s="122" t="n"/>
      <c r="K104" s="123">
        <f>IF(N(I104)&gt;0,ROUND(N(I104)*IVA_general,2),0)</f>
        <v/>
      </c>
      <c r="L104" s="122" t="n">
        <v>0</v>
      </c>
      <c r="M104" s="122" t="n"/>
      <c r="N104" s="123">
        <f>IF(SUM(I104:M104)=0,"",SUM(I104:M104))</f>
        <v/>
      </c>
      <c r="O104" s="124">
        <f>IF(A104="","",TEXT(A104,"yyyy-mm"))</f>
        <v/>
      </c>
      <c r="P104" s="121">
        <f>IF(A104="","",YEAR(A104))</f>
        <v/>
      </c>
      <c r="Q104" s="121">
        <f>IF(A104="","",MONTH(A104))</f>
        <v/>
      </c>
      <c r="R104" s="116" t="n"/>
      <c r="S104" s="116" t="n"/>
      <c r="T104" s="120" t="n"/>
      <c r="U104" s="122" t="n">
        <v>0</v>
      </c>
      <c r="V104" s="123">
        <f>IF(B104="","",N104-U104)</f>
        <v/>
      </c>
      <c r="W104" s="116" t="n"/>
      <c r="X104" s="125">
        <f>IF(B104="","",IF(LEFT(B104,2)="NC",-1,1))</f>
        <v/>
      </c>
      <c r="Y104" s="123">
        <f>IF(B104="",0,N(I104)*X104)</f>
        <v/>
      </c>
      <c r="Z104" s="123">
        <f>IF(B104="",0,N(J104)*X104)</f>
        <v/>
      </c>
      <c r="AA104" s="123">
        <f>IF(B104="",0,N(K104)*X104)</f>
        <v/>
      </c>
      <c r="AB104" s="123">
        <f>IF(B104="",0,N(L104)*X104)</f>
        <v/>
      </c>
      <c r="AC104" s="123">
        <f>IF(B104="",0,N(N104)*X104)</f>
        <v/>
      </c>
    </row>
    <row r="105" ht="15" customHeight="1" s="83">
      <c r="A105" s="120" t="n"/>
      <c r="B105" s="116" t="n"/>
      <c r="C105" s="116" t="n"/>
      <c r="D105" s="116" t="n"/>
      <c r="E105" s="116" t="n"/>
      <c r="F105" s="116" t="n"/>
      <c r="G105" s="116" t="n"/>
      <c r="H105" s="121">
        <f>IF(G105="","",IF(ISNUMBER(SEARCH("CAPITA",UPPER(G105))),651110,IF(ISNUMBER(SEARCH("REFUERZO",UPPER(G105))),651110,IF(ISNUMBER(SEARCH("VACUNACION",UPPER(G105))),651110,IF(ISNUMBER(SEARCH("ENFERMERIA",UPPER(G105))),651110,IF(ISNUMBER(SEARCH("APORTES",UPPER(G105))),651110,IF(ISNUMBER(SEARCH("HONORARIOS",UPPER(G105))),702010,IF(ISNUMBER(SEARCH("ADMINISTRACION",UPPER(G105))),702010,IF(ISNUMBER(SEARCH("GERENCIAMIENTO",UPPER(G105))),702010,IF(ISNUMBER(SEARCH("ALQUILER",UPPER(G105))),702010,IF(ISNUMBER(SEARCH("AUDITORIA",UPPER(G105))),702010,IF(ISNUMBER(SEARCH("PRESTACIONAL",UPPER(G105))),702010,702010))))))))))))</f>
        <v/>
      </c>
      <c r="I105" s="122" t="n"/>
      <c r="J105" s="122" t="n"/>
      <c r="K105" s="123">
        <f>IF(N(I105)&gt;0,ROUND(N(I105)*IVA_general,2),0)</f>
        <v/>
      </c>
      <c r="L105" s="122" t="n">
        <v>0</v>
      </c>
      <c r="M105" s="122" t="n"/>
      <c r="N105" s="123">
        <f>IF(SUM(I105:M105)=0,"",SUM(I105:M105))</f>
        <v/>
      </c>
      <c r="O105" s="124">
        <f>IF(A105="","",TEXT(A105,"yyyy-mm"))</f>
        <v/>
      </c>
      <c r="P105" s="121">
        <f>IF(A105="","",YEAR(A105))</f>
        <v/>
      </c>
      <c r="Q105" s="121">
        <f>IF(A105="","",MONTH(A105))</f>
        <v/>
      </c>
      <c r="R105" s="116" t="n"/>
      <c r="S105" s="116" t="n"/>
      <c r="T105" s="120" t="n"/>
      <c r="U105" s="122" t="n">
        <v>0</v>
      </c>
      <c r="V105" s="123">
        <f>IF(B105="","",N105-U105)</f>
        <v/>
      </c>
      <c r="W105" s="116" t="n"/>
      <c r="X105" s="125">
        <f>IF(B105="","",IF(LEFT(B105,2)="NC",-1,1))</f>
        <v/>
      </c>
      <c r="Y105" s="123">
        <f>IF(B105="",0,N(I105)*X105)</f>
        <v/>
      </c>
      <c r="Z105" s="123">
        <f>IF(B105="",0,N(J105)*X105)</f>
        <v/>
      </c>
      <c r="AA105" s="123">
        <f>IF(B105="",0,N(K105)*X105)</f>
        <v/>
      </c>
      <c r="AB105" s="123">
        <f>IF(B105="",0,N(L105)*X105)</f>
        <v/>
      </c>
      <c r="AC105" s="123">
        <f>IF(B105="",0,N(N105)*X105)</f>
        <v/>
      </c>
    </row>
    <row r="106" ht="15" customHeight="1" s="83">
      <c r="A106" s="120" t="n"/>
      <c r="B106" s="116" t="n"/>
      <c r="C106" s="116" t="n"/>
      <c r="D106" s="116" t="n"/>
      <c r="E106" s="116" t="n"/>
      <c r="F106" s="116" t="n"/>
      <c r="G106" s="116" t="n"/>
      <c r="H106" s="121">
        <f>IF(G106="","",IF(ISNUMBER(SEARCH("CAPITA",UPPER(G106))),651110,IF(ISNUMBER(SEARCH("REFUERZO",UPPER(G106))),651110,IF(ISNUMBER(SEARCH("VACUNACION",UPPER(G106))),651110,IF(ISNUMBER(SEARCH("ENFERMERIA",UPPER(G106))),651110,IF(ISNUMBER(SEARCH("APORTES",UPPER(G106))),651110,IF(ISNUMBER(SEARCH("HONORARIOS",UPPER(G106))),702010,IF(ISNUMBER(SEARCH("ADMINISTRACION",UPPER(G106))),702010,IF(ISNUMBER(SEARCH("GERENCIAMIENTO",UPPER(G106))),702010,IF(ISNUMBER(SEARCH("ALQUILER",UPPER(G106))),702010,IF(ISNUMBER(SEARCH("AUDITORIA",UPPER(G106))),702010,IF(ISNUMBER(SEARCH("PRESTACIONAL",UPPER(G106))),702010,702010))))))))))))</f>
        <v/>
      </c>
      <c r="I106" s="122" t="n"/>
      <c r="J106" s="122" t="n"/>
      <c r="K106" s="123">
        <f>IF(N(I106)&gt;0,ROUND(N(I106)*IVA_general,2),0)</f>
        <v/>
      </c>
      <c r="L106" s="122" t="n">
        <v>0</v>
      </c>
      <c r="M106" s="122" t="n"/>
      <c r="N106" s="123">
        <f>IF(SUM(I106:M106)=0,"",SUM(I106:M106))</f>
        <v/>
      </c>
      <c r="O106" s="124">
        <f>IF(A106="","",TEXT(A106,"yyyy-mm"))</f>
        <v/>
      </c>
      <c r="P106" s="121">
        <f>IF(A106="","",YEAR(A106))</f>
        <v/>
      </c>
      <c r="Q106" s="121">
        <f>IF(A106="","",MONTH(A106))</f>
        <v/>
      </c>
      <c r="R106" s="116" t="n"/>
      <c r="S106" s="116" t="n"/>
      <c r="T106" s="120" t="n"/>
      <c r="U106" s="122" t="n">
        <v>0</v>
      </c>
      <c r="V106" s="123">
        <f>IF(B106="","",N106-U106)</f>
        <v/>
      </c>
      <c r="W106" s="116" t="n"/>
      <c r="X106" s="125">
        <f>IF(B106="","",IF(LEFT(B106,2)="NC",-1,1))</f>
        <v/>
      </c>
      <c r="Y106" s="123">
        <f>IF(B106="",0,N(I106)*X106)</f>
        <v/>
      </c>
      <c r="Z106" s="123">
        <f>IF(B106="",0,N(J106)*X106)</f>
        <v/>
      </c>
      <c r="AA106" s="123">
        <f>IF(B106="",0,N(K106)*X106)</f>
        <v/>
      </c>
      <c r="AB106" s="123">
        <f>IF(B106="",0,N(L106)*X106)</f>
        <v/>
      </c>
      <c r="AC106" s="123">
        <f>IF(B106="",0,N(N106)*X106)</f>
        <v/>
      </c>
    </row>
    <row r="107" ht="15" customHeight="1" s="83">
      <c r="A107" s="120" t="n"/>
      <c r="B107" s="116" t="n"/>
      <c r="C107" s="116" t="n"/>
      <c r="D107" s="116" t="n"/>
      <c r="E107" s="116" t="n"/>
      <c r="F107" s="116" t="n"/>
      <c r="G107" s="116" t="n"/>
      <c r="H107" s="121">
        <f>IF(G107="","",IF(ISNUMBER(SEARCH("CAPITA",UPPER(G107))),651110,IF(ISNUMBER(SEARCH("REFUERZO",UPPER(G107))),651110,IF(ISNUMBER(SEARCH("VACUNACION",UPPER(G107))),651110,IF(ISNUMBER(SEARCH("ENFERMERIA",UPPER(G107))),651110,IF(ISNUMBER(SEARCH("APORTES",UPPER(G107))),651110,IF(ISNUMBER(SEARCH("HONORARIOS",UPPER(G107))),702010,IF(ISNUMBER(SEARCH("ADMINISTRACION",UPPER(G107))),702010,IF(ISNUMBER(SEARCH("GERENCIAMIENTO",UPPER(G107))),702010,IF(ISNUMBER(SEARCH("ALQUILER",UPPER(G107))),702010,IF(ISNUMBER(SEARCH("AUDITORIA",UPPER(G107))),702010,IF(ISNUMBER(SEARCH("PRESTACIONAL",UPPER(G107))),702010,702010))))))))))))</f>
        <v/>
      </c>
      <c r="I107" s="122" t="n"/>
      <c r="J107" s="122" t="n"/>
      <c r="K107" s="123">
        <f>IF(N(I107)&gt;0,ROUND(N(I107)*IVA_general,2),0)</f>
        <v/>
      </c>
      <c r="L107" s="122" t="n">
        <v>0</v>
      </c>
      <c r="M107" s="122" t="n"/>
      <c r="N107" s="123">
        <f>IF(SUM(I107:M107)=0,"",SUM(I107:M107))</f>
        <v/>
      </c>
      <c r="O107" s="124">
        <f>IF(A107="","",TEXT(A107,"yyyy-mm"))</f>
        <v/>
      </c>
      <c r="P107" s="121">
        <f>IF(A107="","",YEAR(A107))</f>
        <v/>
      </c>
      <c r="Q107" s="121">
        <f>IF(A107="","",MONTH(A107))</f>
        <v/>
      </c>
      <c r="R107" s="116" t="n"/>
      <c r="S107" s="116" t="n"/>
      <c r="T107" s="120" t="n"/>
      <c r="U107" s="122" t="n">
        <v>0</v>
      </c>
      <c r="V107" s="123">
        <f>IF(B107="","",N107-U107)</f>
        <v/>
      </c>
      <c r="W107" s="116" t="n"/>
      <c r="X107" s="125">
        <f>IF(B107="","",IF(LEFT(B107,2)="NC",-1,1))</f>
        <v/>
      </c>
      <c r="Y107" s="123">
        <f>IF(B107="",0,N(I107)*X107)</f>
        <v/>
      </c>
      <c r="Z107" s="123">
        <f>IF(B107="",0,N(J107)*X107)</f>
        <v/>
      </c>
      <c r="AA107" s="123">
        <f>IF(B107="",0,N(K107)*X107)</f>
        <v/>
      </c>
      <c r="AB107" s="123">
        <f>IF(B107="",0,N(L107)*X107)</f>
        <v/>
      </c>
      <c r="AC107" s="123">
        <f>IF(B107="",0,N(N107)*X107)</f>
        <v/>
      </c>
    </row>
    <row r="108" ht="15" customHeight="1" s="83">
      <c r="A108" s="120" t="n"/>
      <c r="B108" s="116" t="n"/>
      <c r="C108" s="116" t="n"/>
      <c r="D108" s="116" t="n"/>
      <c r="E108" s="116" t="n"/>
      <c r="F108" s="116" t="n"/>
      <c r="G108" s="116" t="n"/>
      <c r="H108" s="121">
        <f>IF(G108="","",IF(ISNUMBER(SEARCH("CAPITA",UPPER(G108))),651110,IF(ISNUMBER(SEARCH("REFUERZO",UPPER(G108))),651110,IF(ISNUMBER(SEARCH("VACUNACION",UPPER(G108))),651110,IF(ISNUMBER(SEARCH("ENFERMERIA",UPPER(G108))),651110,IF(ISNUMBER(SEARCH("APORTES",UPPER(G108))),651110,IF(ISNUMBER(SEARCH("HONORARIOS",UPPER(G108))),702010,IF(ISNUMBER(SEARCH("ADMINISTRACION",UPPER(G108))),702010,IF(ISNUMBER(SEARCH("GERENCIAMIENTO",UPPER(G108))),702010,IF(ISNUMBER(SEARCH("ALQUILER",UPPER(G108))),702010,IF(ISNUMBER(SEARCH("AUDITORIA",UPPER(G108))),702010,IF(ISNUMBER(SEARCH("PRESTACIONAL",UPPER(G108))),702010,702010))))))))))))</f>
        <v/>
      </c>
      <c r="I108" s="122" t="n"/>
      <c r="J108" s="122" t="n"/>
      <c r="K108" s="123">
        <f>IF(N(I108)&gt;0,ROUND(N(I108)*IVA_general,2),0)</f>
        <v/>
      </c>
      <c r="L108" s="122" t="n">
        <v>0</v>
      </c>
      <c r="M108" s="122" t="n"/>
      <c r="N108" s="123">
        <f>IF(SUM(I108:M108)=0,"",SUM(I108:M108))</f>
        <v/>
      </c>
      <c r="O108" s="124">
        <f>IF(A108="","",TEXT(A108,"yyyy-mm"))</f>
        <v/>
      </c>
      <c r="P108" s="121">
        <f>IF(A108="","",YEAR(A108))</f>
        <v/>
      </c>
      <c r="Q108" s="121">
        <f>IF(A108="","",MONTH(A108))</f>
        <v/>
      </c>
      <c r="R108" s="116" t="n"/>
      <c r="S108" s="116" t="n"/>
      <c r="T108" s="120" t="n"/>
      <c r="U108" s="122" t="n">
        <v>0</v>
      </c>
      <c r="V108" s="123">
        <f>IF(B108="","",N108-U108)</f>
        <v/>
      </c>
      <c r="W108" s="116" t="n"/>
      <c r="X108" s="125">
        <f>IF(B108="","",IF(LEFT(B108,2)="NC",-1,1))</f>
        <v/>
      </c>
      <c r="Y108" s="123">
        <f>IF(B108="",0,N(I108)*X108)</f>
        <v/>
      </c>
      <c r="Z108" s="123">
        <f>IF(B108="",0,N(J108)*X108)</f>
        <v/>
      </c>
      <c r="AA108" s="123">
        <f>IF(B108="",0,N(K108)*X108)</f>
        <v/>
      </c>
      <c r="AB108" s="123">
        <f>IF(B108="",0,N(L108)*X108)</f>
        <v/>
      </c>
      <c r="AC108" s="123">
        <f>IF(B108="",0,N(N108)*X108)</f>
        <v/>
      </c>
    </row>
    <row r="109" ht="15" customHeight="1" s="83">
      <c r="A109" s="120" t="n"/>
      <c r="B109" s="116" t="n"/>
      <c r="C109" s="116" t="n"/>
      <c r="D109" s="116" t="n"/>
      <c r="E109" s="116" t="n"/>
      <c r="F109" s="116" t="n"/>
      <c r="G109" s="116" t="n"/>
      <c r="H109" s="121">
        <f>IF(G109="","",IF(ISNUMBER(SEARCH("CAPITA",UPPER(G109))),651110,IF(ISNUMBER(SEARCH("REFUERZO",UPPER(G109))),651110,IF(ISNUMBER(SEARCH("VACUNACION",UPPER(G109))),651110,IF(ISNUMBER(SEARCH("ENFERMERIA",UPPER(G109))),651110,IF(ISNUMBER(SEARCH("APORTES",UPPER(G109))),651110,IF(ISNUMBER(SEARCH("HONORARIOS",UPPER(G109))),702010,IF(ISNUMBER(SEARCH("ADMINISTRACION",UPPER(G109))),702010,IF(ISNUMBER(SEARCH("GERENCIAMIENTO",UPPER(G109))),702010,IF(ISNUMBER(SEARCH("ALQUILER",UPPER(G109))),702010,IF(ISNUMBER(SEARCH("AUDITORIA",UPPER(G109))),702010,IF(ISNUMBER(SEARCH("PRESTACIONAL",UPPER(G109))),702010,702010))))))))))))</f>
        <v/>
      </c>
      <c r="I109" s="122" t="n"/>
      <c r="J109" s="122" t="n"/>
      <c r="K109" s="123">
        <f>IF(N(I109)&gt;0,ROUND(N(I109)*IVA_general,2),0)</f>
        <v/>
      </c>
      <c r="L109" s="122" t="n">
        <v>0</v>
      </c>
      <c r="M109" s="122" t="n"/>
      <c r="N109" s="123">
        <f>IF(SUM(I109:M109)=0,"",SUM(I109:M109))</f>
        <v/>
      </c>
      <c r="O109" s="124">
        <f>IF(A109="","",TEXT(A109,"yyyy-mm"))</f>
        <v/>
      </c>
      <c r="P109" s="121">
        <f>IF(A109="","",YEAR(A109))</f>
        <v/>
      </c>
      <c r="Q109" s="121">
        <f>IF(A109="","",MONTH(A109))</f>
        <v/>
      </c>
      <c r="R109" s="116" t="n"/>
      <c r="S109" s="116" t="n"/>
      <c r="T109" s="120" t="n"/>
      <c r="U109" s="122" t="n">
        <v>0</v>
      </c>
      <c r="V109" s="123">
        <f>IF(B109="","",N109-U109)</f>
        <v/>
      </c>
      <c r="W109" s="116" t="n"/>
      <c r="X109" s="125">
        <f>IF(B109="","",IF(LEFT(B109,2)="NC",-1,1))</f>
        <v/>
      </c>
      <c r="Y109" s="123">
        <f>IF(B109="",0,N(I109)*X109)</f>
        <v/>
      </c>
      <c r="Z109" s="123">
        <f>IF(B109="",0,N(J109)*X109)</f>
        <v/>
      </c>
      <c r="AA109" s="123">
        <f>IF(B109="",0,N(K109)*X109)</f>
        <v/>
      </c>
      <c r="AB109" s="123">
        <f>IF(B109="",0,N(L109)*X109)</f>
        <v/>
      </c>
      <c r="AC109" s="123">
        <f>IF(B109="",0,N(N109)*X109)</f>
        <v/>
      </c>
    </row>
    <row r="110" ht="15" customHeight="1" s="83">
      <c r="A110" s="120" t="n"/>
      <c r="B110" s="116" t="n"/>
      <c r="C110" s="116" t="n"/>
      <c r="D110" s="116" t="n"/>
      <c r="E110" s="116" t="n"/>
      <c r="F110" s="116" t="n"/>
      <c r="G110" s="116" t="n"/>
      <c r="H110" s="121">
        <f>IF(G110="","",IF(ISNUMBER(SEARCH("CAPITA",UPPER(G110))),651110,IF(ISNUMBER(SEARCH("REFUERZO",UPPER(G110))),651110,IF(ISNUMBER(SEARCH("VACUNACION",UPPER(G110))),651110,IF(ISNUMBER(SEARCH("ENFERMERIA",UPPER(G110))),651110,IF(ISNUMBER(SEARCH("APORTES",UPPER(G110))),651110,IF(ISNUMBER(SEARCH("HONORARIOS",UPPER(G110))),702010,IF(ISNUMBER(SEARCH("ADMINISTRACION",UPPER(G110))),702010,IF(ISNUMBER(SEARCH("GERENCIAMIENTO",UPPER(G110))),702010,IF(ISNUMBER(SEARCH("ALQUILER",UPPER(G110))),702010,IF(ISNUMBER(SEARCH("AUDITORIA",UPPER(G110))),702010,IF(ISNUMBER(SEARCH("PRESTACIONAL",UPPER(G110))),702010,702010))))))))))))</f>
        <v/>
      </c>
      <c r="I110" s="122" t="n"/>
      <c r="J110" s="122" t="n"/>
      <c r="K110" s="123">
        <f>IF(N(I110)&gt;0,ROUND(N(I110)*IVA_general,2),0)</f>
        <v/>
      </c>
      <c r="L110" s="122" t="n">
        <v>0</v>
      </c>
      <c r="M110" s="122" t="n"/>
      <c r="N110" s="123">
        <f>IF(SUM(I110:M110)=0,"",SUM(I110:M110))</f>
        <v/>
      </c>
      <c r="O110" s="124">
        <f>IF(A110="","",TEXT(A110,"yyyy-mm"))</f>
        <v/>
      </c>
      <c r="P110" s="121">
        <f>IF(A110="","",YEAR(A110))</f>
        <v/>
      </c>
      <c r="Q110" s="121">
        <f>IF(A110="","",MONTH(A110))</f>
        <v/>
      </c>
      <c r="R110" s="116" t="n"/>
      <c r="S110" s="116" t="n"/>
      <c r="T110" s="120" t="n"/>
      <c r="U110" s="122" t="n">
        <v>0</v>
      </c>
      <c r="V110" s="123">
        <f>IF(B110="","",N110-U110)</f>
        <v/>
      </c>
      <c r="W110" s="116" t="n"/>
      <c r="X110" s="125">
        <f>IF(B110="","",IF(LEFT(B110,2)="NC",-1,1))</f>
        <v/>
      </c>
      <c r="Y110" s="123">
        <f>IF(B110="",0,N(I110)*X110)</f>
        <v/>
      </c>
      <c r="Z110" s="123">
        <f>IF(B110="",0,N(J110)*X110)</f>
        <v/>
      </c>
      <c r="AA110" s="123">
        <f>IF(B110="",0,N(K110)*X110)</f>
        <v/>
      </c>
      <c r="AB110" s="123">
        <f>IF(B110="",0,N(L110)*X110)</f>
        <v/>
      </c>
      <c r="AC110" s="123">
        <f>IF(B110="",0,N(N110)*X110)</f>
        <v/>
      </c>
    </row>
    <row r="111" ht="15" customHeight="1" s="83">
      <c r="A111" s="120" t="n"/>
      <c r="B111" s="116" t="n"/>
      <c r="C111" s="116" t="n"/>
      <c r="D111" s="116" t="n"/>
      <c r="E111" s="116" t="n"/>
      <c r="F111" s="116" t="n"/>
      <c r="G111" s="116" t="n"/>
      <c r="H111" s="121">
        <f>IF(G111="","",IF(ISNUMBER(SEARCH("CAPITA",UPPER(G111))),651110,IF(ISNUMBER(SEARCH("REFUERZO",UPPER(G111))),651110,IF(ISNUMBER(SEARCH("VACUNACION",UPPER(G111))),651110,IF(ISNUMBER(SEARCH("ENFERMERIA",UPPER(G111))),651110,IF(ISNUMBER(SEARCH("APORTES",UPPER(G111))),651110,IF(ISNUMBER(SEARCH("HONORARIOS",UPPER(G111))),702010,IF(ISNUMBER(SEARCH("ADMINISTRACION",UPPER(G111))),702010,IF(ISNUMBER(SEARCH("GERENCIAMIENTO",UPPER(G111))),702010,IF(ISNUMBER(SEARCH("ALQUILER",UPPER(G111))),702010,IF(ISNUMBER(SEARCH("AUDITORIA",UPPER(G111))),702010,IF(ISNUMBER(SEARCH("PRESTACIONAL",UPPER(G111))),702010,702010))))))))))))</f>
        <v/>
      </c>
      <c r="I111" s="122" t="n"/>
      <c r="J111" s="122" t="n"/>
      <c r="K111" s="123">
        <f>IF(N(I111)&gt;0,ROUND(N(I111)*IVA_general,2),0)</f>
        <v/>
      </c>
      <c r="L111" s="122" t="n">
        <v>0</v>
      </c>
      <c r="M111" s="122" t="n"/>
      <c r="N111" s="123">
        <f>IF(SUM(I111:M111)=0,"",SUM(I111:M111))</f>
        <v/>
      </c>
      <c r="O111" s="124">
        <f>IF(A111="","",TEXT(A111,"yyyy-mm"))</f>
        <v/>
      </c>
      <c r="P111" s="121">
        <f>IF(A111="","",YEAR(A111))</f>
        <v/>
      </c>
      <c r="Q111" s="121">
        <f>IF(A111="","",MONTH(A111))</f>
        <v/>
      </c>
      <c r="R111" s="116" t="n"/>
      <c r="S111" s="116" t="n"/>
      <c r="T111" s="120" t="n"/>
      <c r="U111" s="122" t="n">
        <v>0</v>
      </c>
      <c r="V111" s="123">
        <f>IF(B111="","",N111-U111)</f>
        <v/>
      </c>
      <c r="W111" s="116" t="n"/>
      <c r="X111" s="125">
        <f>IF(B111="","",IF(LEFT(B111,2)="NC",-1,1))</f>
        <v/>
      </c>
      <c r="Y111" s="123">
        <f>IF(B111="",0,N(I111)*X111)</f>
        <v/>
      </c>
      <c r="Z111" s="123">
        <f>IF(B111="",0,N(J111)*X111)</f>
        <v/>
      </c>
      <c r="AA111" s="123">
        <f>IF(B111="",0,N(K111)*X111)</f>
        <v/>
      </c>
      <c r="AB111" s="123">
        <f>IF(B111="",0,N(L111)*X111)</f>
        <v/>
      </c>
      <c r="AC111" s="123">
        <f>IF(B111="",0,N(N111)*X111)</f>
        <v/>
      </c>
    </row>
    <row r="112" ht="15" customHeight="1" s="83">
      <c r="A112" s="120" t="n"/>
      <c r="B112" s="116" t="n"/>
      <c r="C112" s="116" t="n"/>
      <c r="D112" s="116" t="n"/>
      <c r="E112" s="116" t="n"/>
      <c r="F112" s="116" t="n"/>
      <c r="G112" s="116" t="n"/>
      <c r="H112" s="121">
        <f>IF(G112="","",IF(ISNUMBER(SEARCH("CAPITA",UPPER(G112))),651110,IF(ISNUMBER(SEARCH("REFUERZO",UPPER(G112))),651110,IF(ISNUMBER(SEARCH("VACUNACION",UPPER(G112))),651110,IF(ISNUMBER(SEARCH("ENFERMERIA",UPPER(G112))),651110,IF(ISNUMBER(SEARCH("APORTES",UPPER(G112))),651110,IF(ISNUMBER(SEARCH("HONORARIOS",UPPER(G112))),702010,IF(ISNUMBER(SEARCH("ADMINISTRACION",UPPER(G112))),702010,IF(ISNUMBER(SEARCH("GERENCIAMIENTO",UPPER(G112))),702010,IF(ISNUMBER(SEARCH("ALQUILER",UPPER(G112))),702010,IF(ISNUMBER(SEARCH("AUDITORIA",UPPER(G112))),702010,IF(ISNUMBER(SEARCH("PRESTACIONAL",UPPER(G112))),702010,702010))))))))))))</f>
        <v/>
      </c>
      <c r="I112" s="122" t="n"/>
      <c r="J112" s="122" t="n"/>
      <c r="K112" s="123">
        <f>IF(N(I112)&gt;0,ROUND(N(I112)*IVA_general,2),0)</f>
        <v/>
      </c>
      <c r="L112" s="122" t="n">
        <v>0</v>
      </c>
      <c r="M112" s="122" t="n"/>
      <c r="N112" s="123">
        <f>IF(SUM(I112:M112)=0,"",SUM(I112:M112))</f>
        <v/>
      </c>
      <c r="O112" s="124">
        <f>IF(A112="","",TEXT(A112,"yyyy-mm"))</f>
        <v/>
      </c>
      <c r="P112" s="121">
        <f>IF(A112="","",YEAR(A112))</f>
        <v/>
      </c>
      <c r="Q112" s="121">
        <f>IF(A112="","",MONTH(A112))</f>
        <v/>
      </c>
      <c r="R112" s="116" t="n"/>
      <c r="S112" s="116" t="n"/>
      <c r="T112" s="120" t="n"/>
      <c r="U112" s="122" t="n">
        <v>0</v>
      </c>
      <c r="V112" s="123">
        <f>IF(B112="","",N112-U112)</f>
        <v/>
      </c>
      <c r="W112" s="116" t="n"/>
      <c r="X112" s="125">
        <f>IF(B112="","",IF(LEFT(B112,2)="NC",-1,1))</f>
        <v/>
      </c>
      <c r="Y112" s="123">
        <f>IF(B112="",0,N(I112)*X112)</f>
        <v/>
      </c>
      <c r="Z112" s="123">
        <f>IF(B112="",0,N(J112)*X112)</f>
        <v/>
      </c>
      <c r="AA112" s="123">
        <f>IF(B112="",0,N(K112)*X112)</f>
        <v/>
      </c>
      <c r="AB112" s="123">
        <f>IF(B112="",0,N(L112)*X112)</f>
        <v/>
      </c>
      <c r="AC112" s="123">
        <f>IF(B112="",0,N(N112)*X112)</f>
        <v/>
      </c>
    </row>
    <row r="113" ht="15" customHeight="1" s="83">
      <c r="A113" s="120" t="n"/>
      <c r="B113" s="116" t="n"/>
      <c r="C113" s="116" t="n"/>
      <c r="D113" s="116" t="n"/>
      <c r="E113" s="116" t="n"/>
      <c r="F113" s="116" t="n"/>
      <c r="G113" s="116" t="n"/>
      <c r="H113" s="121">
        <f>IF(G113="","",IF(ISNUMBER(SEARCH("CAPITA",UPPER(G113))),651110,IF(ISNUMBER(SEARCH("REFUERZO",UPPER(G113))),651110,IF(ISNUMBER(SEARCH("VACUNACION",UPPER(G113))),651110,IF(ISNUMBER(SEARCH("ENFERMERIA",UPPER(G113))),651110,IF(ISNUMBER(SEARCH("APORTES",UPPER(G113))),651110,IF(ISNUMBER(SEARCH("HONORARIOS",UPPER(G113))),702010,IF(ISNUMBER(SEARCH("ADMINISTRACION",UPPER(G113))),702010,IF(ISNUMBER(SEARCH("GERENCIAMIENTO",UPPER(G113))),702010,IF(ISNUMBER(SEARCH("ALQUILER",UPPER(G113))),702010,IF(ISNUMBER(SEARCH("AUDITORIA",UPPER(G113))),702010,IF(ISNUMBER(SEARCH("PRESTACIONAL",UPPER(G113))),702010,702010))))))))))))</f>
        <v/>
      </c>
      <c r="I113" s="122" t="n"/>
      <c r="J113" s="122" t="n"/>
      <c r="K113" s="123">
        <f>IF(N(I113)&gt;0,ROUND(N(I113)*IVA_general,2),0)</f>
        <v/>
      </c>
      <c r="L113" s="122" t="n">
        <v>0</v>
      </c>
      <c r="M113" s="122" t="n"/>
      <c r="N113" s="123">
        <f>IF(SUM(I113:M113)=0,"",SUM(I113:M113))</f>
        <v/>
      </c>
      <c r="O113" s="124">
        <f>IF(A113="","",TEXT(A113,"yyyy-mm"))</f>
        <v/>
      </c>
      <c r="P113" s="121">
        <f>IF(A113="","",YEAR(A113))</f>
        <v/>
      </c>
      <c r="Q113" s="121">
        <f>IF(A113="","",MONTH(A113))</f>
        <v/>
      </c>
      <c r="R113" s="116" t="n"/>
      <c r="S113" s="116" t="n"/>
      <c r="T113" s="120" t="n"/>
      <c r="U113" s="122" t="n">
        <v>0</v>
      </c>
      <c r="V113" s="123">
        <f>IF(B113="","",N113-U113)</f>
        <v/>
      </c>
      <c r="W113" s="116" t="n"/>
      <c r="X113" s="125">
        <f>IF(B113="","",IF(LEFT(B113,2)="NC",-1,1))</f>
        <v/>
      </c>
      <c r="Y113" s="123">
        <f>IF(B113="",0,N(I113)*X113)</f>
        <v/>
      </c>
      <c r="Z113" s="123">
        <f>IF(B113="",0,N(J113)*X113)</f>
        <v/>
      </c>
      <c r="AA113" s="123">
        <f>IF(B113="",0,N(K113)*X113)</f>
        <v/>
      </c>
      <c r="AB113" s="123">
        <f>IF(B113="",0,N(L113)*X113)</f>
        <v/>
      </c>
      <c r="AC113" s="123">
        <f>IF(B113="",0,N(N113)*X113)</f>
        <v/>
      </c>
    </row>
    <row r="114" ht="15" customHeight="1" s="83">
      <c r="A114" s="120" t="n"/>
      <c r="B114" s="116" t="n"/>
      <c r="C114" s="116" t="n"/>
      <c r="D114" s="116" t="n"/>
      <c r="E114" s="116" t="n"/>
      <c r="F114" s="116" t="n"/>
      <c r="G114" s="116" t="n"/>
      <c r="H114" s="121">
        <f>IF(G114="","",IF(ISNUMBER(SEARCH("CAPITA",UPPER(G114))),651110,IF(ISNUMBER(SEARCH("REFUERZO",UPPER(G114))),651110,IF(ISNUMBER(SEARCH("VACUNACION",UPPER(G114))),651110,IF(ISNUMBER(SEARCH("ENFERMERIA",UPPER(G114))),651110,IF(ISNUMBER(SEARCH("APORTES",UPPER(G114))),651110,IF(ISNUMBER(SEARCH("HONORARIOS",UPPER(G114))),702010,IF(ISNUMBER(SEARCH("ADMINISTRACION",UPPER(G114))),702010,IF(ISNUMBER(SEARCH("GERENCIAMIENTO",UPPER(G114))),702010,IF(ISNUMBER(SEARCH("ALQUILER",UPPER(G114))),702010,IF(ISNUMBER(SEARCH("AUDITORIA",UPPER(G114))),702010,IF(ISNUMBER(SEARCH("PRESTACIONAL",UPPER(G114))),702010,702010))))))))))))</f>
        <v/>
      </c>
      <c r="I114" s="122" t="n"/>
      <c r="J114" s="122" t="n"/>
      <c r="K114" s="123">
        <f>IF(N(I114)&gt;0,ROUND(N(I114)*IVA_general,2),0)</f>
        <v/>
      </c>
      <c r="L114" s="122" t="n">
        <v>0</v>
      </c>
      <c r="M114" s="122" t="n"/>
      <c r="N114" s="123">
        <f>IF(SUM(I114:M114)=0,"",SUM(I114:M114))</f>
        <v/>
      </c>
      <c r="O114" s="124">
        <f>IF(A114="","",TEXT(A114,"yyyy-mm"))</f>
        <v/>
      </c>
      <c r="P114" s="121">
        <f>IF(A114="","",YEAR(A114))</f>
        <v/>
      </c>
      <c r="Q114" s="121">
        <f>IF(A114="","",MONTH(A114))</f>
        <v/>
      </c>
      <c r="R114" s="116" t="n"/>
      <c r="S114" s="116" t="n"/>
      <c r="T114" s="120" t="n"/>
      <c r="U114" s="122" t="n">
        <v>0</v>
      </c>
      <c r="V114" s="123">
        <f>IF(B114="","",N114-U114)</f>
        <v/>
      </c>
      <c r="W114" s="116" t="n"/>
      <c r="X114" s="125">
        <f>IF(B114="","",IF(LEFT(B114,2)="NC",-1,1))</f>
        <v/>
      </c>
      <c r="Y114" s="123">
        <f>IF(B114="",0,N(I114)*X114)</f>
        <v/>
      </c>
      <c r="Z114" s="123">
        <f>IF(B114="",0,N(J114)*X114)</f>
        <v/>
      </c>
      <c r="AA114" s="123">
        <f>IF(B114="",0,N(K114)*X114)</f>
        <v/>
      </c>
      <c r="AB114" s="123">
        <f>IF(B114="",0,N(L114)*X114)</f>
        <v/>
      </c>
      <c r="AC114" s="123">
        <f>IF(B114="",0,N(N114)*X114)</f>
        <v/>
      </c>
    </row>
    <row r="115" ht="15" customHeight="1" s="83">
      <c r="A115" s="120" t="n"/>
      <c r="B115" s="116" t="n"/>
      <c r="C115" s="116" t="n"/>
      <c r="D115" s="116" t="n"/>
      <c r="E115" s="116" t="n"/>
      <c r="F115" s="116" t="n"/>
      <c r="G115" s="116" t="n"/>
      <c r="H115" s="121">
        <f>IF(G115="","",IF(ISNUMBER(SEARCH("CAPITA",UPPER(G115))),651110,IF(ISNUMBER(SEARCH("REFUERZO",UPPER(G115))),651110,IF(ISNUMBER(SEARCH("VACUNACION",UPPER(G115))),651110,IF(ISNUMBER(SEARCH("ENFERMERIA",UPPER(G115))),651110,IF(ISNUMBER(SEARCH("APORTES",UPPER(G115))),651110,IF(ISNUMBER(SEARCH("HONORARIOS",UPPER(G115))),702010,IF(ISNUMBER(SEARCH("ADMINISTRACION",UPPER(G115))),702010,IF(ISNUMBER(SEARCH("GERENCIAMIENTO",UPPER(G115))),702010,IF(ISNUMBER(SEARCH("ALQUILER",UPPER(G115))),702010,IF(ISNUMBER(SEARCH("AUDITORIA",UPPER(G115))),702010,IF(ISNUMBER(SEARCH("PRESTACIONAL",UPPER(G115))),702010,702010))))))))))))</f>
        <v/>
      </c>
      <c r="I115" s="122" t="n"/>
      <c r="J115" s="122" t="n"/>
      <c r="K115" s="123">
        <f>IF(N(I115)&gt;0,ROUND(N(I115)*IVA_general,2),0)</f>
        <v/>
      </c>
      <c r="L115" s="122" t="n">
        <v>0</v>
      </c>
      <c r="M115" s="122" t="n"/>
      <c r="N115" s="123">
        <f>IF(SUM(I115:M115)=0,"",SUM(I115:M115))</f>
        <v/>
      </c>
      <c r="O115" s="124">
        <f>IF(A115="","",TEXT(A115,"yyyy-mm"))</f>
        <v/>
      </c>
      <c r="P115" s="121">
        <f>IF(A115="","",YEAR(A115))</f>
        <v/>
      </c>
      <c r="Q115" s="121">
        <f>IF(A115="","",MONTH(A115))</f>
        <v/>
      </c>
      <c r="R115" s="116" t="n"/>
      <c r="S115" s="116" t="n"/>
      <c r="T115" s="120" t="n"/>
      <c r="U115" s="122" t="n">
        <v>0</v>
      </c>
      <c r="V115" s="123">
        <f>IF(B115="","",N115-U115)</f>
        <v/>
      </c>
      <c r="W115" s="116" t="n"/>
      <c r="X115" s="125">
        <f>IF(B115="","",IF(LEFT(B115,2)="NC",-1,1))</f>
        <v/>
      </c>
      <c r="Y115" s="123">
        <f>IF(B115="",0,N(I115)*X115)</f>
        <v/>
      </c>
      <c r="Z115" s="123">
        <f>IF(B115="",0,N(J115)*X115)</f>
        <v/>
      </c>
      <c r="AA115" s="123">
        <f>IF(B115="",0,N(K115)*X115)</f>
        <v/>
      </c>
      <c r="AB115" s="123">
        <f>IF(B115="",0,N(L115)*X115)</f>
        <v/>
      </c>
      <c r="AC115" s="123">
        <f>IF(B115="",0,N(N115)*X115)</f>
        <v/>
      </c>
    </row>
    <row r="116" ht="15" customHeight="1" s="83">
      <c r="A116" s="120" t="n"/>
      <c r="B116" s="116" t="n"/>
      <c r="C116" s="116" t="n"/>
      <c r="D116" s="116" t="n"/>
      <c r="E116" s="116" t="n"/>
      <c r="F116" s="116" t="n"/>
      <c r="G116" s="116" t="n"/>
      <c r="H116" s="121">
        <f>IF(G116="","",IF(ISNUMBER(SEARCH("CAPITA",UPPER(G116))),651110,IF(ISNUMBER(SEARCH("REFUERZO",UPPER(G116))),651110,IF(ISNUMBER(SEARCH("VACUNACION",UPPER(G116))),651110,IF(ISNUMBER(SEARCH("ENFERMERIA",UPPER(G116))),651110,IF(ISNUMBER(SEARCH("APORTES",UPPER(G116))),651110,IF(ISNUMBER(SEARCH("HONORARIOS",UPPER(G116))),702010,IF(ISNUMBER(SEARCH("ADMINISTRACION",UPPER(G116))),702010,IF(ISNUMBER(SEARCH("GERENCIAMIENTO",UPPER(G116))),702010,IF(ISNUMBER(SEARCH("ALQUILER",UPPER(G116))),702010,IF(ISNUMBER(SEARCH("AUDITORIA",UPPER(G116))),702010,IF(ISNUMBER(SEARCH("PRESTACIONAL",UPPER(G116))),702010,702010))))))))))))</f>
        <v/>
      </c>
      <c r="I116" s="122" t="n"/>
      <c r="J116" s="122" t="n"/>
      <c r="K116" s="123">
        <f>IF(N(I116)&gt;0,ROUND(N(I116)*IVA_general,2),0)</f>
        <v/>
      </c>
      <c r="L116" s="122" t="n">
        <v>0</v>
      </c>
      <c r="M116" s="122" t="n"/>
      <c r="N116" s="123">
        <f>IF(SUM(I116:M116)=0,"",SUM(I116:M116))</f>
        <v/>
      </c>
      <c r="O116" s="124">
        <f>IF(A116="","",TEXT(A116,"yyyy-mm"))</f>
        <v/>
      </c>
      <c r="P116" s="121">
        <f>IF(A116="","",YEAR(A116))</f>
        <v/>
      </c>
      <c r="Q116" s="121">
        <f>IF(A116="","",MONTH(A116))</f>
        <v/>
      </c>
      <c r="R116" s="116" t="n"/>
      <c r="S116" s="116" t="n"/>
      <c r="T116" s="120" t="n"/>
      <c r="U116" s="122" t="n">
        <v>0</v>
      </c>
      <c r="V116" s="123">
        <f>IF(B116="","",N116-U116)</f>
        <v/>
      </c>
      <c r="W116" s="116" t="n"/>
      <c r="X116" s="125">
        <f>IF(B116="","",IF(LEFT(B116,2)="NC",-1,1))</f>
        <v/>
      </c>
      <c r="Y116" s="123">
        <f>IF(B116="",0,N(I116)*X116)</f>
        <v/>
      </c>
      <c r="Z116" s="123">
        <f>IF(B116="",0,N(J116)*X116)</f>
        <v/>
      </c>
      <c r="AA116" s="123">
        <f>IF(B116="",0,N(K116)*X116)</f>
        <v/>
      </c>
      <c r="AB116" s="123">
        <f>IF(B116="",0,N(L116)*X116)</f>
        <v/>
      </c>
      <c r="AC116" s="123">
        <f>IF(B116="",0,N(N116)*X116)</f>
        <v/>
      </c>
    </row>
    <row r="117" ht="15" customHeight="1" s="83">
      <c r="A117" s="120" t="n"/>
      <c r="B117" s="116" t="n"/>
      <c r="C117" s="116" t="n"/>
      <c r="D117" s="116" t="n"/>
      <c r="E117" s="116" t="n"/>
      <c r="F117" s="116" t="n"/>
      <c r="G117" s="116" t="n"/>
      <c r="H117" s="121">
        <f>IF(G117="","",IF(ISNUMBER(SEARCH("CAPITA",UPPER(G117))),651110,IF(ISNUMBER(SEARCH("REFUERZO",UPPER(G117))),651110,IF(ISNUMBER(SEARCH("VACUNACION",UPPER(G117))),651110,IF(ISNUMBER(SEARCH("ENFERMERIA",UPPER(G117))),651110,IF(ISNUMBER(SEARCH("APORTES",UPPER(G117))),651110,IF(ISNUMBER(SEARCH("HONORARIOS",UPPER(G117))),702010,IF(ISNUMBER(SEARCH("ADMINISTRACION",UPPER(G117))),702010,IF(ISNUMBER(SEARCH("GERENCIAMIENTO",UPPER(G117))),702010,IF(ISNUMBER(SEARCH("ALQUILER",UPPER(G117))),702010,IF(ISNUMBER(SEARCH("AUDITORIA",UPPER(G117))),702010,IF(ISNUMBER(SEARCH("PRESTACIONAL",UPPER(G117))),702010,702010))))))))))))</f>
        <v/>
      </c>
      <c r="I117" s="122" t="n"/>
      <c r="J117" s="122" t="n"/>
      <c r="K117" s="123">
        <f>IF(N(I117)&gt;0,ROUND(N(I117)*IVA_general,2),0)</f>
        <v/>
      </c>
      <c r="L117" s="122" t="n">
        <v>0</v>
      </c>
      <c r="M117" s="122" t="n"/>
      <c r="N117" s="123">
        <f>IF(SUM(I117:M117)=0,"",SUM(I117:M117))</f>
        <v/>
      </c>
      <c r="O117" s="124">
        <f>IF(A117="","",TEXT(A117,"yyyy-mm"))</f>
        <v/>
      </c>
      <c r="P117" s="121">
        <f>IF(A117="","",YEAR(A117))</f>
        <v/>
      </c>
      <c r="Q117" s="121">
        <f>IF(A117="","",MONTH(A117))</f>
        <v/>
      </c>
      <c r="R117" s="116" t="n"/>
      <c r="S117" s="116" t="n"/>
      <c r="T117" s="120" t="n"/>
      <c r="U117" s="122" t="n">
        <v>0</v>
      </c>
      <c r="V117" s="123">
        <f>IF(B117="","",N117-U117)</f>
        <v/>
      </c>
      <c r="W117" s="116" t="n"/>
      <c r="X117" s="125">
        <f>IF(B117="","",IF(LEFT(B117,2)="NC",-1,1))</f>
        <v/>
      </c>
      <c r="Y117" s="123">
        <f>IF(B117="",0,N(I117)*X117)</f>
        <v/>
      </c>
      <c r="Z117" s="123">
        <f>IF(B117="",0,N(J117)*X117)</f>
        <v/>
      </c>
      <c r="AA117" s="123">
        <f>IF(B117="",0,N(K117)*X117)</f>
        <v/>
      </c>
      <c r="AB117" s="123">
        <f>IF(B117="",0,N(L117)*X117)</f>
        <v/>
      </c>
      <c r="AC117" s="123">
        <f>IF(B117="",0,N(N117)*X117)</f>
        <v/>
      </c>
    </row>
    <row r="118" ht="15" customHeight="1" s="83">
      <c r="A118" s="120" t="n"/>
      <c r="B118" s="116" t="n"/>
      <c r="C118" s="116" t="n"/>
      <c r="D118" s="116" t="n"/>
      <c r="E118" s="116" t="n"/>
      <c r="F118" s="116" t="n"/>
      <c r="G118" s="116" t="n"/>
      <c r="H118" s="121">
        <f>IF(G118="","",IF(ISNUMBER(SEARCH("CAPITA",UPPER(G118))),651110,IF(ISNUMBER(SEARCH("REFUERZO",UPPER(G118))),651110,IF(ISNUMBER(SEARCH("VACUNACION",UPPER(G118))),651110,IF(ISNUMBER(SEARCH("ENFERMERIA",UPPER(G118))),651110,IF(ISNUMBER(SEARCH("APORTES",UPPER(G118))),651110,IF(ISNUMBER(SEARCH("HONORARIOS",UPPER(G118))),702010,IF(ISNUMBER(SEARCH("ADMINISTRACION",UPPER(G118))),702010,IF(ISNUMBER(SEARCH("GERENCIAMIENTO",UPPER(G118))),702010,IF(ISNUMBER(SEARCH("ALQUILER",UPPER(G118))),702010,IF(ISNUMBER(SEARCH("AUDITORIA",UPPER(G118))),702010,IF(ISNUMBER(SEARCH("PRESTACIONAL",UPPER(G118))),702010,702010))))))))))))</f>
        <v/>
      </c>
      <c r="I118" s="122" t="n"/>
      <c r="J118" s="122" t="n"/>
      <c r="K118" s="123">
        <f>IF(N(I118)&gt;0,ROUND(N(I118)*IVA_general,2),0)</f>
        <v/>
      </c>
      <c r="L118" s="122" t="n">
        <v>0</v>
      </c>
      <c r="M118" s="122" t="n"/>
      <c r="N118" s="123">
        <f>IF(SUM(I118:M118)=0,"",SUM(I118:M118))</f>
        <v/>
      </c>
      <c r="O118" s="124">
        <f>IF(A118="","",TEXT(A118,"yyyy-mm"))</f>
        <v/>
      </c>
      <c r="P118" s="121">
        <f>IF(A118="","",YEAR(A118))</f>
        <v/>
      </c>
      <c r="Q118" s="121">
        <f>IF(A118="","",MONTH(A118))</f>
        <v/>
      </c>
      <c r="R118" s="116" t="n"/>
      <c r="S118" s="116" t="n"/>
      <c r="T118" s="120" t="n"/>
      <c r="U118" s="122" t="n">
        <v>0</v>
      </c>
      <c r="V118" s="123">
        <f>IF(B118="","",N118-U118)</f>
        <v/>
      </c>
      <c r="W118" s="116" t="n"/>
      <c r="X118" s="125">
        <f>IF(B118="","",IF(LEFT(B118,2)="NC",-1,1))</f>
        <v/>
      </c>
      <c r="Y118" s="123">
        <f>IF(B118="",0,N(I118)*X118)</f>
        <v/>
      </c>
      <c r="Z118" s="123">
        <f>IF(B118="",0,N(J118)*X118)</f>
        <v/>
      </c>
      <c r="AA118" s="123">
        <f>IF(B118="",0,N(K118)*X118)</f>
        <v/>
      </c>
      <c r="AB118" s="123">
        <f>IF(B118="",0,N(L118)*X118)</f>
        <v/>
      </c>
      <c r="AC118" s="123">
        <f>IF(B118="",0,N(N118)*X118)</f>
        <v/>
      </c>
    </row>
    <row r="119" ht="15" customHeight="1" s="83">
      <c r="A119" s="120" t="n"/>
      <c r="B119" s="116" t="n"/>
      <c r="C119" s="116" t="n"/>
      <c r="D119" s="116" t="n"/>
      <c r="E119" s="116" t="n"/>
      <c r="F119" s="116" t="n"/>
      <c r="G119" s="116" t="n"/>
      <c r="H119" s="121">
        <f>IF(G119="","",IF(ISNUMBER(SEARCH("CAPITA",UPPER(G119))),651110,IF(ISNUMBER(SEARCH("REFUERZO",UPPER(G119))),651110,IF(ISNUMBER(SEARCH("VACUNACION",UPPER(G119))),651110,IF(ISNUMBER(SEARCH("ENFERMERIA",UPPER(G119))),651110,IF(ISNUMBER(SEARCH("APORTES",UPPER(G119))),651110,IF(ISNUMBER(SEARCH("HONORARIOS",UPPER(G119))),702010,IF(ISNUMBER(SEARCH("ADMINISTRACION",UPPER(G119))),702010,IF(ISNUMBER(SEARCH("GERENCIAMIENTO",UPPER(G119))),702010,IF(ISNUMBER(SEARCH("ALQUILER",UPPER(G119))),702010,IF(ISNUMBER(SEARCH("AUDITORIA",UPPER(G119))),702010,IF(ISNUMBER(SEARCH("PRESTACIONAL",UPPER(G119))),702010,702010))))))))))))</f>
        <v/>
      </c>
      <c r="I119" s="122" t="n"/>
      <c r="J119" s="122" t="n"/>
      <c r="K119" s="123">
        <f>IF(N(I119)&gt;0,ROUND(N(I119)*IVA_general,2),0)</f>
        <v/>
      </c>
      <c r="L119" s="122" t="n">
        <v>0</v>
      </c>
      <c r="M119" s="122" t="n"/>
      <c r="N119" s="123">
        <f>IF(SUM(I119:M119)=0,"",SUM(I119:M119))</f>
        <v/>
      </c>
      <c r="O119" s="124">
        <f>IF(A119="","",TEXT(A119,"yyyy-mm"))</f>
        <v/>
      </c>
      <c r="P119" s="121">
        <f>IF(A119="","",YEAR(A119))</f>
        <v/>
      </c>
      <c r="Q119" s="121">
        <f>IF(A119="","",MONTH(A119))</f>
        <v/>
      </c>
      <c r="R119" s="116" t="n"/>
      <c r="S119" s="116" t="n"/>
      <c r="T119" s="120" t="n"/>
      <c r="U119" s="122" t="n">
        <v>0</v>
      </c>
      <c r="V119" s="123">
        <f>IF(B119="","",N119-U119)</f>
        <v/>
      </c>
      <c r="W119" s="116" t="n"/>
      <c r="X119" s="125">
        <f>IF(B119="","",IF(LEFT(B119,2)="NC",-1,1))</f>
        <v/>
      </c>
      <c r="Y119" s="123">
        <f>IF(B119="",0,N(I119)*X119)</f>
        <v/>
      </c>
      <c r="Z119" s="123">
        <f>IF(B119="",0,N(J119)*X119)</f>
        <v/>
      </c>
      <c r="AA119" s="123">
        <f>IF(B119="",0,N(K119)*X119)</f>
        <v/>
      </c>
      <c r="AB119" s="123">
        <f>IF(B119="",0,N(L119)*X119)</f>
        <v/>
      </c>
      <c r="AC119" s="123">
        <f>IF(B119="",0,N(N119)*X119)</f>
        <v/>
      </c>
    </row>
    <row r="120" ht="15" customHeight="1" s="83">
      <c r="A120" s="120" t="n"/>
      <c r="B120" s="116" t="n"/>
      <c r="C120" s="116" t="n"/>
      <c r="D120" s="116" t="n"/>
      <c r="E120" s="116" t="n"/>
      <c r="F120" s="116" t="n"/>
      <c r="G120" s="116" t="n"/>
      <c r="H120" s="121">
        <f>IF(G120="","",IF(ISNUMBER(SEARCH("CAPITA",UPPER(G120))),651110,IF(ISNUMBER(SEARCH("REFUERZO",UPPER(G120))),651110,IF(ISNUMBER(SEARCH("VACUNACION",UPPER(G120))),651110,IF(ISNUMBER(SEARCH("ENFERMERIA",UPPER(G120))),651110,IF(ISNUMBER(SEARCH("APORTES",UPPER(G120))),651110,IF(ISNUMBER(SEARCH("HONORARIOS",UPPER(G120))),702010,IF(ISNUMBER(SEARCH("ADMINISTRACION",UPPER(G120))),702010,IF(ISNUMBER(SEARCH("GERENCIAMIENTO",UPPER(G120))),702010,IF(ISNUMBER(SEARCH("ALQUILER",UPPER(G120))),702010,IF(ISNUMBER(SEARCH("AUDITORIA",UPPER(G120))),702010,IF(ISNUMBER(SEARCH("PRESTACIONAL",UPPER(G120))),702010,702010))))))))))))</f>
        <v/>
      </c>
      <c r="I120" s="122" t="n"/>
      <c r="J120" s="122" t="n"/>
      <c r="K120" s="123">
        <f>IF(N(I120)&gt;0,ROUND(N(I120)*IVA_general,2),0)</f>
        <v/>
      </c>
      <c r="L120" s="122" t="n">
        <v>0</v>
      </c>
      <c r="M120" s="122" t="n"/>
      <c r="N120" s="123">
        <f>IF(SUM(I120:M120)=0,"",SUM(I120:M120))</f>
        <v/>
      </c>
      <c r="O120" s="124">
        <f>IF(A120="","",TEXT(A120,"yyyy-mm"))</f>
        <v/>
      </c>
      <c r="P120" s="121">
        <f>IF(A120="","",YEAR(A120))</f>
        <v/>
      </c>
      <c r="Q120" s="121">
        <f>IF(A120="","",MONTH(A120))</f>
        <v/>
      </c>
      <c r="R120" s="116" t="n"/>
      <c r="S120" s="116" t="n"/>
      <c r="T120" s="120" t="n"/>
      <c r="U120" s="122" t="n">
        <v>0</v>
      </c>
      <c r="V120" s="123">
        <f>IF(B120="","",N120-U120)</f>
        <v/>
      </c>
      <c r="W120" s="116" t="n"/>
      <c r="X120" s="125">
        <f>IF(B120="","",IF(LEFT(B120,2)="NC",-1,1))</f>
        <v/>
      </c>
      <c r="Y120" s="123">
        <f>IF(B120="",0,N(I120)*X120)</f>
        <v/>
      </c>
      <c r="Z120" s="123">
        <f>IF(B120="",0,N(J120)*X120)</f>
        <v/>
      </c>
      <c r="AA120" s="123">
        <f>IF(B120="",0,N(K120)*X120)</f>
        <v/>
      </c>
      <c r="AB120" s="123">
        <f>IF(B120="",0,N(L120)*X120)</f>
        <v/>
      </c>
      <c r="AC120" s="123">
        <f>IF(B120="",0,N(N120)*X120)</f>
        <v/>
      </c>
    </row>
    <row r="121" ht="15" customHeight="1" s="83">
      <c r="A121" s="120" t="n"/>
      <c r="B121" s="116" t="n"/>
      <c r="C121" s="116" t="n"/>
      <c r="D121" s="116" t="n"/>
      <c r="E121" s="116" t="n"/>
      <c r="F121" s="116" t="n"/>
      <c r="G121" s="116" t="n"/>
      <c r="H121" s="121">
        <f>IF(G121="","",IF(ISNUMBER(SEARCH("CAPITA",UPPER(G121))),651110,IF(ISNUMBER(SEARCH("REFUERZO",UPPER(G121))),651110,IF(ISNUMBER(SEARCH("VACUNACION",UPPER(G121))),651110,IF(ISNUMBER(SEARCH("ENFERMERIA",UPPER(G121))),651110,IF(ISNUMBER(SEARCH("APORTES",UPPER(G121))),651110,IF(ISNUMBER(SEARCH("HONORARIOS",UPPER(G121))),702010,IF(ISNUMBER(SEARCH("ADMINISTRACION",UPPER(G121))),702010,IF(ISNUMBER(SEARCH("GERENCIAMIENTO",UPPER(G121))),702010,IF(ISNUMBER(SEARCH("ALQUILER",UPPER(G121))),702010,IF(ISNUMBER(SEARCH("AUDITORIA",UPPER(G121))),702010,IF(ISNUMBER(SEARCH("PRESTACIONAL",UPPER(G121))),702010,702010))))))))))))</f>
        <v/>
      </c>
      <c r="I121" s="122" t="n"/>
      <c r="J121" s="122" t="n"/>
      <c r="K121" s="123">
        <f>IF(N(I121)&gt;0,ROUND(N(I121)*IVA_general,2),0)</f>
        <v/>
      </c>
      <c r="L121" s="122" t="n">
        <v>0</v>
      </c>
      <c r="M121" s="122" t="n"/>
      <c r="N121" s="123">
        <f>IF(SUM(I121:M121)=0,"",SUM(I121:M121))</f>
        <v/>
      </c>
      <c r="O121" s="124">
        <f>IF(A121="","",TEXT(A121,"yyyy-mm"))</f>
        <v/>
      </c>
      <c r="P121" s="121">
        <f>IF(A121="","",YEAR(A121))</f>
        <v/>
      </c>
      <c r="Q121" s="121">
        <f>IF(A121="","",MONTH(A121))</f>
        <v/>
      </c>
      <c r="R121" s="116" t="n"/>
      <c r="S121" s="116" t="n"/>
      <c r="T121" s="120" t="n"/>
      <c r="U121" s="122" t="n">
        <v>0</v>
      </c>
      <c r="V121" s="123">
        <f>IF(B121="","",N121-U121)</f>
        <v/>
      </c>
      <c r="W121" s="116" t="n"/>
      <c r="X121" s="125">
        <f>IF(B121="","",IF(LEFT(B121,2)="NC",-1,1))</f>
        <v/>
      </c>
      <c r="Y121" s="123">
        <f>IF(B121="",0,N(I121)*X121)</f>
        <v/>
      </c>
      <c r="Z121" s="123">
        <f>IF(B121="",0,N(J121)*X121)</f>
        <v/>
      </c>
      <c r="AA121" s="123">
        <f>IF(B121="",0,N(K121)*X121)</f>
        <v/>
      </c>
      <c r="AB121" s="123">
        <f>IF(B121="",0,N(L121)*X121)</f>
        <v/>
      </c>
      <c r="AC121" s="123">
        <f>IF(B121="",0,N(N121)*X121)</f>
        <v/>
      </c>
    </row>
    <row r="122" ht="15" customHeight="1" s="83">
      <c r="A122" s="120" t="n"/>
      <c r="B122" s="116" t="n"/>
      <c r="C122" s="116" t="n"/>
      <c r="D122" s="116" t="n"/>
      <c r="E122" s="116" t="n"/>
      <c r="F122" s="116" t="n"/>
      <c r="G122" s="116" t="n"/>
      <c r="H122" s="121">
        <f>IF(G122="","",IF(ISNUMBER(SEARCH("CAPITA",UPPER(G122))),651110,IF(ISNUMBER(SEARCH("REFUERZO",UPPER(G122))),651110,IF(ISNUMBER(SEARCH("VACUNACION",UPPER(G122))),651110,IF(ISNUMBER(SEARCH("ENFERMERIA",UPPER(G122))),651110,IF(ISNUMBER(SEARCH("APORTES",UPPER(G122))),651110,IF(ISNUMBER(SEARCH("HONORARIOS",UPPER(G122))),702010,IF(ISNUMBER(SEARCH("ADMINISTRACION",UPPER(G122))),702010,IF(ISNUMBER(SEARCH("GERENCIAMIENTO",UPPER(G122))),702010,IF(ISNUMBER(SEARCH("ALQUILER",UPPER(G122))),702010,IF(ISNUMBER(SEARCH("AUDITORIA",UPPER(G122))),702010,IF(ISNUMBER(SEARCH("PRESTACIONAL",UPPER(G122))),702010,702010))))))))))))</f>
        <v/>
      </c>
      <c r="I122" s="122" t="n"/>
      <c r="J122" s="122" t="n"/>
      <c r="K122" s="123">
        <f>IF(N(I122)&gt;0,ROUND(N(I122)*IVA_general,2),0)</f>
        <v/>
      </c>
      <c r="L122" s="122" t="n">
        <v>0</v>
      </c>
      <c r="M122" s="122" t="n"/>
      <c r="N122" s="123">
        <f>IF(SUM(I122:M122)=0,"",SUM(I122:M122))</f>
        <v/>
      </c>
      <c r="O122" s="124">
        <f>IF(A122="","",TEXT(A122,"yyyy-mm"))</f>
        <v/>
      </c>
      <c r="P122" s="121">
        <f>IF(A122="","",YEAR(A122))</f>
        <v/>
      </c>
      <c r="Q122" s="121">
        <f>IF(A122="","",MONTH(A122))</f>
        <v/>
      </c>
      <c r="R122" s="116" t="n"/>
      <c r="S122" s="116" t="n"/>
      <c r="T122" s="120" t="n"/>
      <c r="U122" s="122" t="n">
        <v>0</v>
      </c>
      <c r="V122" s="123">
        <f>IF(B122="","",N122-U122)</f>
        <v/>
      </c>
      <c r="W122" s="116" t="n"/>
      <c r="X122" s="125">
        <f>IF(B122="","",IF(LEFT(B122,2)="NC",-1,1))</f>
        <v/>
      </c>
      <c r="Y122" s="123">
        <f>IF(B122="",0,N(I122)*X122)</f>
        <v/>
      </c>
      <c r="Z122" s="123">
        <f>IF(B122="",0,N(J122)*X122)</f>
        <v/>
      </c>
      <c r="AA122" s="123">
        <f>IF(B122="",0,N(K122)*X122)</f>
        <v/>
      </c>
      <c r="AB122" s="123">
        <f>IF(B122="",0,N(L122)*X122)</f>
        <v/>
      </c>
      <c r="AC122" s="123">
        <f>IF(B122="",0,N(N122)*X122)</f>
        <v/>
      </c>
    </row>
    <row r="123" ht="15" customHeight="1" s="83">
      <c r="A123" s="120" t="n"/>
      <c r="B123" s="116" t="n"/>
      <c r="C123" s="116" t="n"/>
      <c r="D123" s="116" t="n"/>
      <c r="E123" s="116" t="n"/>
      <c r="F123" s="116" t="n"/>
      <c r="G123" s="116" t="n"/>
      <c r="H123" s="121">
        <f>IF(G123="","",IF(ISNUMBER(SEARCH("CAPITA",UPPER(G123))),651110,IF(ISNUMBER(SEARCH("REFUERZO",UPPER(G123))),651110,IF(ISNUMBER(SEARCH("VACUNACION",UPPER(G123))),651110,IF(ISNUMBER(SEARCH("ENFERMERIA",UPPER(G123))),651110,IF(ISNUMBER(SEARCH("APORTES",UPPER(G123))),651110,IF(ISNUMBER(SEARCH("HONORARIOS",UPPER(G123))),702010,IF(ISNUMBER(SEARCH("ADMINISTRACION",UPPER(G123))),702010,IF(ISNUMBER(SEARCH("GERENCIAMIENTO",UPPER(G123))),702010,IF(ISNUMBER(SEARCH("ALQUILER",UPPER(G123))),702010,IF(ISNUMBER(SEARCH("AUDITORIA",UPPER(G123))),702010,IF(ISNUMBER(SEARCH("PRESTACIONAL",UPPER(G123))),702010,702010))))))))))))</f>
        <v/>
      </c>
      <c r="I123" s="122" t="n"/>
      <c r="J123" s="122" t="n"/>
      <c r="K123" s="123">
        <f>IF(N(I123)&gt;0,ROUND(N(I123)*IVA_general,2),0)</f>
        <v/>
      </c>
      <c r="L123" s="122" t="n">
        <v>0</v>
      </c>
      <c r="M123" s="122" t="n"/>
      <c r="N123" s="123">
        <f>IF(SUM(I123:M123)=0,"",SUM(I123:M123))</f>
        <v/>
      </c>
      <c r="O123" s="124">
        <f>IF(A123="","",TEXT(A123,"yyyy-mm"))</f>
        <v/>
      </c>
      <c r="P123" s="121">
        <f>IF(A123="","",YEAR(A123))</f>
        <v/>
      </c>
      <c r="Q123" s="121">
        <f>IF(A123="","",MONTH(A123))</f>
        <v/>
      </c>
      <c r="R123" s="116" t="n"/>
      <c r="S123" s="116" t="n"/>
      <c r="T123" s="120" t="n"/>
      <c r="U123" s="122" t="n">
        <v>0</v>
      </c>
      <c r="V123" s="123">
        <f>IF(B123="","",N123-U123)</f>
        <v/>
      </c>
      <c r="W123" s="116" t="n"/>
      <c r="X123" s="125">
        <f>IF(B123="","",IF(LEFT(B123,2)="NC",-1,1))</f>
        <v/>
      </c>
      <c r="Y123" s="123">
        <f>IF(B123="",0,N(I123)*X123)</f>
        <v/>
      </c>
      <c r="Z123" s="123">
        <f>IF(B123="",0,N(J123)*X123)</f>
        <v/>
      </c>
      <c r="AA123" s="123">
        <f>IF(B123="",0,N(K123)*X123)</f>
        <v/>
      </c>
      <c r="AB123" s="123">
        <f>IF(B123="",0,N(L123)*X123)</f>
        <v/>
      </c>
      <c r="AC123" s="123">
        <f>IF(B123="",0,N(N123)*X123)</f>
        <v/>
      </c>
    </row>
    <row r="124" ht="15" customHeight="1" s="83">
      <c r="A124" s="120" t="n"/>
      <c r="B124" s="116" t="n"/>
      <c r="C124" s="116" t="n"/>
      <c r="D124" s="116" t="n"/>
      <c r="E124" s="116" t="n"/>
      <c r="F124" s="116" t="n"/>
      <c r="G124" s="116" t="n"/>
      <c r="H124" s="121">
        <f>IF(G124="","",IF(ISNUMBER(SEARCH("CAPITA",UPPER(G124))),651110,IF(ISNUMBER(SEARCH("REFUERZO",UPPER(G124))),651110,IF(ISNUMBER(SEARCH("VACUNACION",UPPER(G124))),651110,IF(ISNUMBER(SEARCH("ENFERMERIA",UPPER(G124))),651110,IF(ISNUMBER(SEARCH("APORTES",UPPER(G124))),651110,IF(ISNUMBER(SEARCH("HONORARIOS",UPPER(G124))),702010,IF(ISNUMBER(SEARCH("ADMINISTRACION",UPPER(G124))),702010,IF(ISNUMBER(SEARCH("GERENCIAMIENTO",UPPER(G124))),702010,IF(ISNUMBER(SEARCH("ALQUILER",UPPER(G124))),702010,IF(ISNUMBER(SEARCH("AUDITORIA",UPPER(G124))),702010,IF(ISNUMBER(SEARCH("PRESTACIONAL",UPPER(G124))),702010,702010))))))))))))</f>
        <v/>
      </c>
      <c r="I124" s="122" t="n"/>
      <c r="J124" s="122" t="n"/>
      <c r="K124" s="123">
        <f>IF(N(I124)&gt;0,ROUND(N(I124)*IVA_general,2),0)</f>
        <v/>
      </c>
      <c r="L124" s="122" t="n">
        <v>0</v>
      </c>
      <c r="M124" s="122" t="n"/>
      <c r="N124" s="123">
        <f>IF(SUM(I124:M124)=0,"",SUM(I124:M124))</f>
        <v/>
      </c>
      <c r="O124" s="124">
        <f>IF(A124="","",TEXT(A124,"yyyy-mm"))</f>
        <v/>
      </c>
      <c r="P124" s="121">
        <f>IF(A124="","",YEAR(A124))</f>
        <v/>
      </c>
      <c r="Q124" s="121">
        <f>IF(A124="","",MONTH(A124))</f>
        <v/>
      </c>
      <c r="R124" s="116" t="n"/>
      <c r="S124" s="116" t="n"/>
      <c r="T124" s="120" t="n"/>
      <c r="U124" s="122" t="n">
        <v>0</v>
      </c>
      <c r="V124" s="123">
        <f>IF(B124="","",N124-U124)</f>
        <v/>
      </c>
      <c r="W124" s="116" t="n"/>
      <c r="X124" s="125">
        <f>IF(B124="","",IF(LEFT(B124,2)="NC",-1,1))</f>
        <v/>
      </c>
      <c r="Y124" s="123">
        <f>IF(B124="",0,N(I124)*X124)</f>
        <v/>
      </c>
      <c r="Z124" s="123">
        <f>IF(B124="",0,N(J124)*X124)</f>
        <v/>
      </c>
      <c r="AA124" s="123">
        <f>IF(B124="",0,N(K124)*X124)</f>
        <v/>
      </c>
      <c r="AB124" s="123">
        <f>IF(B124="",0,N(L124)*X124)</f>
        <v/>
      </c>
      <c r="AC124" s="123">
        <f>IF(B124="",0,N(N124)*X124)</f>
        <v/>
      </c>
    </row>
    <row r="125" ht="15" customHeight="1" s="83">
      <c r="A125" s="120" t="n"/>
      <c r="B125" s="116" t="n"/>
      <c r="C125" s="116" t="n"/>
      <c r="D125" s="116" t="n"/>
      <c r="E125" s="116" t="n"/>
      <c r="F125" s="116" t="n"/>
      <c r="G125" s="116" t="n"/>
      <c r="H125" s="121">
        <f>IF(G125="","",IF(ISNUMBER(SEARCH("CAPITA",UPPER(G125))),651110,IF(ISNUMBER(SEARCH("REFUERZO",UPPER(G125))),651110,IF(ISNUMBER(SEARCH("VACUNACION",UPPER(G125))),651110,IF(ISNUMBER(SEARCH("ENFERMERIA",UPPER(G125))),651110,IF(ISNUMBER(SEARCH("APORTES",UPPER(G125))),651110,IF(ISNUMBER(SEARCH("HONORARIOS",UPPER(G125))),702010,IF(ISNUMBER(SEARCH("ADMINISTRACION",UPPER(G125))),702010,IF(ISNUMBER(SEARCH("GERENCIAMIENTO",UPPER(G125))),702010,IF(ISNUMBER(SEARCH("ALQUILER",UPPER(G125))),702010,IF(ISNUMBER(SEARCH("AUDITORIA",UPPER(G125))),702010,IF(ISNUMBER(SEARCH("PRESTACIONAL",UPPER(G125))),702010,702010))))))))))))</f>
        <v/>
      </c>
      <c r="I125" s="122" t="n"/>
      <c r="J125" s="122" t="n"/>
      <c r="K125" s="123">
        <f>IF(N(I125)&gt;0,ROUND(N(I125)*IVA_general,2),0)</f>
        <v/>
      </c>
      <c r="L125" s="122" t="n">
        <v>0</v>
      </c>
      <c r="M125" s="122" t="n"/>
      <c r="N125" s="123">
        <f>IF(SUM(I125:M125)=0,"",SUM(I125:M125))</f>
        <v/>
      </c>
      <c r="O125" s="124">
        <f>IF(A125="","",TEXT(A125,"yyyy-mm"))</f>
        <v/>
      </c>
      <c r="P125" s="121">
        <f>IF(A125="","",YEAR(A125))</f>
        <v/>
      </c>
      <c r="Q125" s="121">
        <f>IF(A125="","",MONTH(A125))</f>
        <v/>
      </c>
      <c r="R125" s="116" t="n"/>
      <c r="S125" s="116" t="n"/>
      <c r="T125" s="120" t="n"/>
      <c r="U125" s="122" t="n">
        <v>0</v>
      </c>
      <c r="V125" s="123">
        <f>IF(B125="","",N125-U125)</f>
        <v/>
      </c>
      <c r="W125" s="116" t="n"/>
      <c r="X125" s="125">
        <f>IF(B125="","",IF(LEFT(B125,2)="NC",-1,1))</f>
        <v/>
      </c>
      <c r="Y125" s="123">
        <f>IF(B125="",0,N(I125)*X125)</f>
        <v/>
      </c>
      <c r="Z125" s="123">
        <f>IF(B125="",0,N(J125)*X125)</f>
        <v/>
      </c>
      <c r="AA125" s="123">
        <f>IF(B125="",0,N(K125)*X125)</f>
        <v/>
      </c>
      <c r="AB125" s="123">
        <f>IF(B125="",0,N(L125)*X125)</f>
        <v/>
      </c>
      <c r="AC125" s="123">
        <f>IF(B125="",0,N(N125)*X125)</f>
        <v/>
      </c>
    </row>
    <row r="126" ht="15" customHeight="1" s="83">
      <c r="A126" s="120" t="n"/>
      <c r="B126" s="116" t="n"/>
      <c r="C126" s="116" t="n"/>
      <c r="D126" s="116" t="n"/>
      <c r="E126" s="116" t="n"/>
      <c r="F126" s="116" t="n"/>
      <c r="G126" s="116" t="n"/>
      <c r="H126" s="121">
        <f>IF(G126="","",IF(ISNUMBER(SEARCH("CAPITA",UPPER(G126))),651110,IF(ISNUMBER(SEARCH("REFUERZO",UPPER(G126))),651110,IF(ISNUMBER(SEARCH("VACUNACION",UPPER(G126))),651110,IF(ISNUMBER(SEARCH("ENFERMERIA",UPPER(G126))),651110,IF(ISNUMBER(SEARCH("APORTES",UPPER(G126))),651110,IF(ISNUMBER(SEARCH("HONORARIOS",UPPER(G126))),702010,IF(ISNUMBER(SEARCH("ADMINISTRACION",UPPER(G126))),702010,IF(ISNUMBER(SEARCH("GERENCIAMIENTO",UPPER(G126))),702010,IF(ISNUMBER(SEARCH("ALQUILER",UPPER(G126))),702010,IF(ISNUMBER(SEARCH("AUDITORIA",UPPER(G126))),702010,IF(ISNUMBER(SEARCH("PRESTACIONAL",UPPER(G126))),702010,702010))))))))))))</f>
        <v/>
      </c>
      <c r="I126" s="122" t="n"/>
      <c r="J126" s="122" t="n"/>
      <c r="K126" s="123">
        <f>IF(N(I126)&gt;0,ROUND(N(I126)*IVA_general,2),0)</f>
        <v/>
      </c>
      <c r="L126" s="122" t="n">
        <v>0</v>
      </c>
      <c r="M126" s="122" t="n"/>
      <c r="N126" s="123">
        <f>IF(SUM(I126:M126)=0,"",SUM(I126:M126))</f>
        <v/>
      </c>
      <c r="O126" s="124">
        <f>IF(A126="","",TEXT(A126,"yyyy-mm"))</f>
        <v/>
      </c>
      <c r="P126" s="121">
        <f>IF(A126="","",YEAR(A126))</f>
        <v/>
      </c>
      <c r="Q126" s="121">
        <f>IF(A126="","",MONTH(A126))</f>
        <v/>
      </c>
      <c r="R126" s="116" t="n"/>
      <c r="S126" s="116" t="n"/>
      <c r="T126" s="120" t="n"/>
      <c r="U126" s="122" t="n">
        <v>0</v>
      </c>
      <c r="V126" s="123">
        <f>IF(B126="","",N126-U126)</f>
        <v/>
      </c>
      <c r="W126" s="116" t="n"/>
      <c r="X126" s="125">
        <f>IF(B126="","",IF(LEFT(B126,2)="NC",-1,1))</f>
        <v/>
      </c>
      <c r="Y126" s="123">
        <f>IF(B126="",0,N(I126)*X126)</f>
        <v/>
      </c>
      <c r="Z126" s="123">
        <f>IF(B126="",0,N(J126)*X126)</f>
        <v/>
      </c>
      <c r="AA126" s="123">
        <f>IF(B126="",0,N(K126)*X126)</f>
        <v/>
      </c>
      <c r="AB126" s="123">
        <f>IF(B126="",0,N(L126)*X126)</f>
        <v/>
      </c>
      <c r="AC126" s="123">
        <f>IF(B126="",0,N(N126)*X126)</f>
        <v/>
      </c>
    </row>
    <row r="127" ht="15" customHeight="1" s="83">
      <c r="A127" s="120" t="n"/>
      <c r="B127" s="116" t="n"/>
      <c r="C127" s="116" t="n"/>
      <c r="D127" s="116" t="n"/>
      <c r="E127" s="116" t="n"/>
      <c r="F127" s="116" t="n"/>
      <c r="G127" s="116" t="n"/>
      <c r="H127" s="121">
        <f>IF(G127="","",IF(ISNUMBER(SEARCH("CAPITA",UPPER(G127))),651110,IF(ISNUMBER(SEARCH("REFUERZO",UPPER(G127))),651110,IF(ISNUMBER(SEARCH("VACUNACION",UPPER(G127))),651110,IF(ISNUMBER(SEARCH("ENFERMERIA",UPPER(G127))),651110,IF(ISNUMBER(SEARCH("APORTES",UPPER(G127))),651110,IF(ISNUMBER(SEARCH("HONORARIOS",UPPER(G127))),702010,IF(ISNUMBER(SEARCH("ADMINISTRACION",UPPER(G127))),702010,IF(ISNUMBER(SEARCH("GERENCIAMIENTO",UPPER(G127))),702010,IF(ISNUMBER(SEARCH("ALQUILER",UPPER(G127))),702010,IF(ISNUMBER(SEARCH("AUDITORIA",UPPER(G127))),702010,IF(ISNUMBER(SEARCH("PRESTACIONAL",UPPER(G127))),702010,702010))))))))))))</f>
        <v/>
      </c>
      <c r="I127" s="122" t="n"/>
      <c r="J127" s="122" t="n"/>
      <c r="K127" s="123">
        <f>IF(N(I127)&gt;0,ROUND(N(I127)*IVA_general,2),0)</f>
        <v/>
      </c>
      <c r="L127" s="122" t="n">
        <v>0</v>
      </c>
      <c r="M127" s="122" t="n"/>
      <c r="N127" s="123">
        <f>IF(SUM(I127:M127)=0,"",SUM(I127:M127))</f>
        <v/>
      </c>
      <c r="O127" s="124">
        <f>IF(A127="","",TEXT(A127,"yyyy-mm"))</f>
        <v/>
      </c>
      <c r="P127" s="121">
        <f>IF(A127="","",YEAR(A127))</f>
        <v/>
      </c>
      <c r="Q127" s="121">
        <f>IF(A127="","",MONTH(A127))</f>
        <v/>
      </c>
      <c r="R127" s="116" t="n"/>
      <c r="S127" s="116" t="n"/>
      <c r="T127" s="120" t="n"/>
      <c r="U127" s="122" t="n">
        <v>0</v>
      </c>
      <c r="V127" s="123">
        <f>IF(B127="","",N127-U127)</f>
        <v/>
      </c>
      <c r="W127" s="116" t="n"/>
      <c r="X127" s="125">
        <f>IF(B127="","",IF(LEFT(B127,2)="NC",-1,1))</f>
        <v/>
      </c>
      <c r="Y127" s="123">
        <f>IF(B127="",0,N(I127)*X127)</f>
        <v/>
      </c>
      <c r="Z127" s="123">
        <f>IF(B127="",0,N(J127)*X127)</f>
        <v/>
      </c>
      <c r="AA127" s="123">
        <f>IF(B127="",0,N(K127)*X127)</f>
        <v/>
      </c>
      <c r="AB127" s="123">
        <f>IF(B127="",0,N(L127)*X127)</f>
        <v/>
      </c>
      <c r="AC127" s="123">
        <f>IF(B127="",0,N(N127)*X127)</f>
        <v/>
      </c>
    </row>
    <row r="128" ht="15" customHeight="1" s="83">
      <c r="A128" s="120" t="n"/>
      <c r="B128" s="116" t="n"/>
      <c r="C128" s="116" t="n"/>
      <c r="D128" s="116" t="n"/>
      <c r="E128" s="116" t="n"/>
      <c r="F128" s="116" t="n"/>
      <c r="G128" s="116" t="n"/>
      <c r="H128" s="121">
        <f>IF(G128="","",IF(ISNUMBER(SEARCH("CAPITA",UPPER(G128))),651110,IF(ISNUMBER(SEARCH("REFUERZO",UPPER(G128))),651110,IF(ISNUMBER(SEARCH("VACUNACION",UPPER(G128))),651110,IF(ISNUMBER(SEARCH("ENFERMERIA",UPPER(G128))),651110,IF(ISNUMBER(SEARCH("APORTES",UPPER(G128))),651110,IF(ISNUMBER(SEARCH("HONORARIOS",UPPER(G128))),702010,IF(ISNUMBER(SEARCH("ADMINISTRACION",UPPER(G128))),702010,IF(ISNUMBER(SEARCH("GERENCIAMIENTO",UPPER(G128))),702010,IF(ISNUMBER(SEARCH("ALQUILER",UPPER(G128))),702010,IF(ISNUMBER(SEARCH("AUDITORIA",UPPER(G128))),702010,IF(ISNUMBER(SEARCH("PRESTACIONAL",UPPER(G128))),702010,702010))))))))))))</f>
        <v/>
      </c>
      <c r="I128" s="122" t="n"/>
      <c r="J128" s="122" t="n"/>
      <c r="K128" s="123">
        <f>IF(N(I128)&gt;0,ROUND(N(I128)*IVA_general,2),0)</f>
        <v/>
      </c>
      <c r="L128" s="122" t="n">
        <v>0</v>
      </c>
      <c r="M128" s="122" t="n"/>
      <c r="N128" s="123">
        <f>IF(SUM(I128:M128)=0,"",SUM(I128:M128))</f>
        <v/>
      </c>
      <c r="O128" s="124">
        <f>IF(A128="","",TEXT(A128,"yyyy-mm"))</f>
        <v/>
      </c>
      <c r="P128" s="121">
        <f>IF(A128="","",YEAR(A128))</f>
        <v/>
      </c>
      <c r="Q128" s="121">
        <f>IF(A128="","",MONTH(A128))</f>
        <v/>
      </c>
      <c r="R128" s="116" t="n"/>
      <c r="S128" s="116" t="n"/>
      <c r="T128" s="120" t="n"/>
      <c r="U128" s="122" t="n">
        <v>0</v>
      </c>
      <c r="V128" s="123">
        <f>IF(B128="","",N128-U128)</f>
        <v/>
      </c>
      <c r="W128" s="116" t="n"/>
      <c r="X128" s="125">
        <f>IF(B128="","",IF(LEFT(B128,2)="NC",-1,1))</f>
        <v/>
      </c>
      <c r="Y128" s="123">
        <f>IF(B128="",0,N(I128)*X128)</f>
        <v/>
      </c>
      <c r="Z128" s="123">
        <f>IF(B128="",0,N(J128)*X128)</f>
        <v/>
      </c>
      <c r="AA128" s="123">
        <f>IF(B128="",0,N(K128)*X128)</f>
        <v/>
      </c>
      <c r="AB128" s="123">
        <f>IF(B128="",0,N(L128)*X128)</f>
        <v/>
      </c>
      <c r="AC128" s="123">
        <f>IF(B128="",0,N(N128)*X128)</f>
        <v/>
      </c>
    </row>
    <row r="129" ht="15" customHeight="1" s="83">
      <c r="A129" s="120" t="n"/>
      <c r="B129" s="116" t="n"/>
      <c r="C129" s="116" t="n"/>
      <c r="D129" s="116" t="n"/>
      <c r="E129" s="116" t="n"/>
      <c r="F129" s="116" t="n"/>
      <c r="G129" s="116" t="n"/>
      <c r="H129" s="121">
        <f>IF(G129="","",IF(ISNUMBER(SEARCH("CAPITA",UPPER(G129))),651110,IF(ISNUMBER(SEARCH("REFUERZO",UPPER(G129))),651110,IF(ISNUMBER(SEARCH("VACUNACION",UPPER(G129))),651110,IF(ISNUMBER(SEARCH("ENFERMERIA",UPPER(G129))),651110,IF(ISNUMBER(SEARCH("APORTES",UPPER(G129))),651110,IF(ISNUMBER(SEARCH("HONORARIOS",UPPER(G129))),702010,IF(ISNUMBER(SEARCH("ADMINISTRACION",UPPER(G129))),702010,IF(ISNUMBER(SEARCH("GERENCIAMIENTO",UPPER(G129))),702010,IF(ISNUMBER(SEARCH("ALQUILER",UPPER(G129))),702010,IF(ISNUMBER(SEARCH("AUDITORIA",UPPER(G129))),702010,IF(ISNUMBER(SEARCH("PRESTACIONAL",UPPER(G129))),702010,702010))))))))))))</f>
        <v/>
      </c>
      <c r="I129" s="122" t="n"/>
      <c r="J129" s="122" t="n"/>
      <c r="K129" s="123">
        <f>IF(N(I129)&gt;0,ROUND(N(I129)*IVA_general,2),0)</f>
        <v/>
      </c>
      <c r="L129" s="122" t="n">
        <v>0</v>
      </c>
      <c r="M129" s="122" t="n"/>
      <c r="N129" s="123">
        <f>IF(SUM(I129:M129)=0,"",SUM(I129:M129))</f>
        <v/>
      </c>
      <c r="O129" s="124">
        <f>IF(A129="","",TEXT(A129,"yyyy-mm"))</f>
        <v/>
      </c>
      <c r="P129" s="121">
        <f>IF(A129="","",YEAR(A129))</f>
        <v/>
      </c>
      <c r="Q129" s="121">
        <f>IF(A129="","",MONTH(A129))</f>
        <v/>
      </c>
      <c r="R129" s="116" t="n"/>
      <c r="S129" s="116" t="n"/>
      <c r="T129" s="120" t="n"/>
      <c r="U129" s="122" t="n">
        <v>0</v>
      </c>
      <c r="V129" s="123">
        <f>IF(B129="","",N129-U129)</f>
        <v/>
      </c>
      <c r="W129" s="116" t="n"/>
      <c r="X129" s="125">
        <f>IF(B129="","",IF(LEFT(B129,2)="NC",-1,1))</f>
        <v/>
      </c>
      <c r="Y129" s="123">
        <f>IF(B129="",0,N(I129)*X129)</f>
        <v/>
      </c>
      <c r="Z129" s="123">
        <f>IF(B129="",0,N(J129)*X129)</f>
        <v/>
      </c>
      <c r="AA129" s="123">
        <f>IF(B129="",0,N(K129)*X129)</f>
        <v/>
      </c>
      <c r="AB129" s="123">
        <f>IF(B129="",0,N(L129)*X129)</f>
        <v/>
      </c>
      <c r="AC129" s="123">
        <f>IF(B129="",0,N(N129)*X129)</f>
        <v/>
      </c>
    </row>
    <row r="130" ht="15" customHeight="1" s="83">
      <c r="A130" s="120" t="n"/>
      <c r="B130" s="116" t="n"/>
      <c r="C130" s="116" t="n"/>
      <c r="D130" s="116" t="n"/>
      <c r="E130" s="116" t="n"/>
      <c r="F130" s="116" t="n"/>
      <c r="G130" s="116" t="n"/>
      <c r="H130" s="121">
        <f>IF(G130="","",IF(ISNUMBER(SEARCH("CAPITA",UPPER(G130))),651110,IF(ISNUMBER(SEARCH("REFUERZO",UPPER(G130))),651110,IF(ISNUMBER(SEARCH("VACUNACION",UPPER(G130))),651110,IF(ISNUMBER(SEARCH("ENFERMERIA",UPPER(G130))),651110,IF(ISNUMBER(SEARCH("APORTES",UPPER(G130))),651110,IF(ISNUMBER(SEARCH("HONORARIOS",UPPER(G130))),702010,IF(ISNUMBER(SEARCH("ADMINISTRACION",UPPER(G130))),702010,IF(ISNUMBER(SEARCH("GERENCIAMIENTO",UPPER(G130))),702010,IF(ISNUMBER(SEARCH("ALQUILER",UPPER(G130))),702010,IF(ISNUMBER(SEARCH("AUDITORIA",UPPER(G130))),702010,IF(ISNUMBER(SEARCH("PRESTACIONAL",UPPER(G130))),702010,702010))))))))))))</f>
        <v/>
      </c>
      <c r="I130" s="122" t="n"/>
      <c r="J130" s="122" t="n"/>
      <c r="K130" s="123">
        <f>IF(N(I130)&gt;0,ROUND(N(I130)*IVA_general,2),0)</f>
        <v/>
      </c>
      <c r="L130" s="122" t="n">
        <v>0</v>
      </c>
      <c r="M130" s="122" t="n"/>
      <c r="N130" s="123">
        <f>IF(SUM(I130:M130)=0,"",SUM(I130:M130))</f>
        <v/>
      </c>
      <c r="O130" s="124">
        <f>IF(A130="","",TEXT(A130,"yyyy-mm"))</f>
        <v/>
      </c>
      <c r="P130" s="121">
        <f>IF(A130="","",YEAR(A130))</f>
        <v/>
      </c>
      <c r="Q130" s="121">
        <f>IF(A130="","",MONTH(A130))</f>
        <v/>
      </c>
      <c r="R130" s="116" t="n"/>
      <c r="S130" s="116" t="n"/>
      <c r="T130" s="120" t="n"/>
      <c r="U130" s="122" t="n">
        <v>0</v>
      </c>
      <c r="V130" s="123">
        <f>IF(B130="","",N130-U130)</f>
        <v/>
      </c>
      <c r="W130" s="116" t="n"/>
      <c r="X130" s="125">
        <f>IF(B130="","",IF(LEFT(B130,2)="NC",-1,1))</f>
        <v/>
      </c>
      <c r="Y130" s="123">
        <f>IF(B130="",0,N(I130)*X130)</f>
        <v/>
      </c>
      <c r="Z130" s="123">
        <f>IF(B130="",0,N(J130)*X130)</f>
        <v/>
      </c>
      <c r="AA130" s="123">
        <f>IF(B130="",0,N(K130)*X130)</f>
        <v/>
      </c>
      <c r="AB130" s="123">
        <f>IF(B130="",0,N(L130)*X130)</f>
        <v/>
      </c>
      <c r="AC130" s="123">
        <f>IF(B130="",0,N(N130)*X130)</f>
        <v/>
      </c>
    </row>
    <row r="131" ht="15" customHeight="1" s="83">
      <c r="A131" s="120" t="n"/>
      <c r="B131" s="116" t="n"/>
      <c r="C131" s="116" t="n"/>
      <c r="D131" s="116" t="n"/>
      <c r="E131" s="116" t="n"/>
      <c r="F131" s="116" t="n"/>
      <c r="G131" s="116" t="n"/>
      <c r="H131" s="121">
        <f>IF(G131="","",IF(ISNUMBER(SEARCH("CAPITA",UPPER(G131))),651110,IF(ISNUMBER(SEARCH("REFUERZO",UPPER(G131))),651110,IF(ISNUMBER(SEARCH("VACUNACION",UPPER(G131))),651110,IF(ISNUMBER(SEARCH("ENFERMERIA",UPPER(G131))),651110,IF(ISNUMBER(SEARCH("APORTES",UPPER(G131))),651110,IF(ISNUMBER(SEARCH("HONORARIOS",UPPER(G131))),702010,IF(ISNUMBER(SEARCH("ADMINISTRACION",UPPER(G131))),702010,IF(ISNUMBER(SEARCH("GERENCIAMIENTO",UPPER(G131))),702010,IF(ISNUMBER(SEARCH("ALQUILER",UPPER(G131))),702010,IF(ISNUMBER(SEARCH("AUDITORIA",UPPER(G131))),702010,IF(ISNUMBER(SEARCH("PRESTACIONAL",UPPER(G131))),702010,702010))))))))))))</f>
        <v/>
      </c>
      <c r="I131" s="122" t="n"/>
      <c r="J131" s="122" t="n"/>
      <c r="K131" s="123">
        <f>IF(N(I131)&gt;0,ROUND(N(I131)*IVA_general,2),0)</f>
        <v/>
      </c>
      <c r="L131" s="122" t="n">
        <v>0</v>
      </c>
      <c r="M131" s="122" t="n"/>
      <c r="N131" s="123">
        <f>IF(SUM(I131:M131)=0,"",SUM(I131:M131))</f>
        <v/>
      </c>
      <c r="O131" s="124">
        <f>IF(A131="","",TEXT(A131,"yyyy-mm"))</f>
        <v/>
      </c>
      <c r="P131" s="121">
        <f>IF(A131="","",YEAR(A131))</f>
        <v/>
      </c>
      <c r="Q131" s="121">
        <f>IF(A131="","",MONTH(A131))</f>
        <v/>
      </c>
      <c r="R131" s="116" t="n"/>
      <c r="S131" s="116" t="n"/>
      <c r="T131" s="120" t="n"/>
      <c r="U131" s="122" t="n">
        <v>0</v>
      </c>
      <c r="V131" s="123">
        <f>IF(B131="","",N131-U131)</f>
        <v/>
      </c>
      <c r="W131" s="116" t="n"/>
      <c r="X131" s="125">
        <f>IF(B131="","",IF(LEFT(B131,2)="NC",-1,1))</f>
        <v/>
      </c>
      <c r="Y131" s="123">
        <f>IF(B131="",0,N(I131)*X131)</f>
        <v/>
      </c>
      <c r="Z131" s="123">
        <f>IF(B131="",0,N(J131)*X131)</f>
        <v/>
      </c>
      <c r="AA131" s="123">
        <f>IF(B131="",0,N(K131)*X131)</f>
        <v/>
      </c>
      <c r="AB131" s="123">
        <f>IF(B131="",0,N(L131)*X131)</f>
        <v/>
      </c>
      <c r="AC131" s="123">
        <f>IF(B131="",0,N(N131)*X131)</f>
        <v/>
      </c>
    </row>
    <row r="132" ht="15" customHeight="1" s="83">
      <c r="A132" s="120" t="n"/>
      <c r="B132" s="116" t="n"/>
      <c r="C132" s="116" t="n"/>
      <c r="D132" s="116" t="n"/>
      <c r="E132" s="116" t="n"/>
      <c r="F132" s="116" t="n"/>
      <c r="G132" s="116" t="n"/>
      <c r="H132" s="121">
        <f>IF(G132="","",IF(ISNUMBER(SEARCH("CAPITA",UPPER(G132))),651110,IF(ISNUMBER(SEARCH("REFUERZO",UPPER(G132))),651110,IF(ISNUMBER(SEARCH("VACUNACION",UPPER(G132))),651110,IF(ISNUMBER(SEARCH("ENFERMERIA",UPPER(G132))),651110,IF(ISNUMBER(SEARCH("APORTES",UPPER(G132))),651110,IF(ISNUMBER(SEARCH("HONORARIOS",UPPER(G132))),702010,IF(ISNUMBER(SEARCH("ADMINISTRACION",UPPER(G132))),702010,IF(ISNUMBER(SEARCH("GERENCIAMIENTO",UPPER(G132))),702010,IF(ISNUMBER(SEARCH("ALQUILER",UPPER(G132))),702010,IF(ISNUMBER(SEARCH("AUDITORIA",UPPER(G132))),702010,IF(ISNUMBER(SEARCH("PRESTACIONAL",UPPER(G132))),702010,702010))))))))))))</f>
        <v/>
      </c>
      <c r="I132" s="122" t="n"/>
      <c r="J132" s="122" t="n"/>
      <c r="K132" s="123">
        <f>IF(N(I132)&gt;0,ROUND(N(I132)*IVA_general,2),0)</f>
        <v/>
      </c>
      <c r="L132" s="122" t="n">
        <v>0</v>
      </c>
      <c r="M132" s="122" t="n"/>
      <c r="N132" s="123">
        <f>IF(SUM(I132:M132)=0,"",SUM(I132:M132))</f>
        <v/>
      </c>
      <c r="O132" s="124">
        <f>IF(A132="","",TEXT(A132,"yyyy-mm"))</f>
        <v/>
      </c>
      <c r="P132" s="121">
        <f>IF(A132="","",YEAR(A132))</f>
        <v/>
      </c>
      <c r="Q132" s="121">
        <f>IF(A132="","",MONTH(A132))</f>
        <v/>
      </c>
      <c r="R132" s="116" t="n"/>
      <c r="S132" s="116" t="n"/>
      <c r="T132" s="120" t="n"/>
      <c r="U132" s="122" t="n">
        <v>0</v>
      </c>
      <c r="V132" s="123">
        <f>IF(B132="","",N132-U132)</f>
        <v/>
      </c>
      <c r="W132" s="116" t="n"/>
      <c r="X132" s="125">
        <f>IF(B132="","",IF(LEFT(B132,2)="NC",-1,1))</f>
        <v/>
      </c>
      <c r="Y132" s="123">
        <f>IF(B132="",0,N(I132)*X132)</f>
        <v/>
      </c>
      <c r="Z132" s="123">
        <f>IF(B132="",0,N(J132)*X132)</f>
        <v/>
      </c>
      <c r="AA132" s="123">
        <f>IF(B132="",0,N(K132)*X132)</f>
        <v/>
      </c>
      <c r="AB132" s="123">
        <f>IF(B132="",0,N(L132)*X132)</f>
        <v/>
      </c>
      <c r="AC132" s="123">
        <f>IF(B132="",0,N(N132)*X132)</f>
        <v/>
      </c>
    </row>
    <row r="133" ht="15" customHeight="1" s="83">
      <c r="A133" s="120" t="n"/>
      <c r="B133" s="116" t="n"/>
      <c r="C133" s="116" t="n"/>
      <c r="D133" s="116" t="n"/>
      <c r="E133" s="116" t="n"/>
      <c r="F133" s="116" t="n"/>
      <c r="G133" s="116" t="n"/>
      <c r="H133" s="121">
        <f>IF(G133="","",IF(ISNUMBER(SEARCH("CAPITA",UPPER(G133))),651110,IF(ISNUMBER(SEARCH("REFUERZO",UPPER(G133))),651110,IF(ISNUMBER(SEARCH("VACUNACION",UPPER(G133))),651110,IF(ISNUMBER(SEARCH("ENFERMERIA",UPPER(G133))),651110,IF(ISNUMBER(SEARCH("APORTES",UPPER(G133))),651110,IF(ISNUMBER(SEARCH("HONORARIOS",UPPER(G133))),702010,IF(ISNUMBER(SEARCH("ADMINISTRACION",UPPER(G133))),702010,IF(ISNUMBER(SEARCH("GERENCIAMIENTO",UPPER(G133))),702010,IF(ISNUMBER(SEARCH("ALQUILER",UPPER(G133))),702010,IF(ISNUMBER(SEARCH("AUDITORIA",UPPER(G133))),702010,IF(ISNUMBER(SEARCH("PRESTACIONAL",UPPER(G133))),702010,702010))))))))))))</f>
        <v/>
      </c>
      <c r="I133" s="122" t="n"/>
      <c r="J133" s="122" t="n"/>
      <c r="K133" s="123">
        <f>IF(N(I133)&gt;0,ROUND(N(I133)*IVA_general,2),0)</f>
        <v/>
      </c>
      <c r="L133" s="122" t="n">
        <v>0</v>
      </c>
      <c r="M133" s="122" t="n"/>
      <c r="N133" s="123">
        <f>IF(SUM(I133:M133)=0,"",SUM(I133:M133))</f>
        <v/>
      </c>
      <c r="O133" s="124">
        <f>IF(A133="","",TEXT(A133,"yyyy-mm"))</f>
        <v/>
      </c>
      <c r="P133" s="121">
        <f>IF(A133="","",YEAR(A133))</f>
        <v/>
      </c>
      <c r="Q133" s="121">
        <f>IF(A133="","",MONTH(A133))</f>
        <v/>
      </c>
      <c r="R133" s="116" t="n"/>
      <c r="S133" s="116" t="n"/>
      <c r="T133" s="120" t="n"/>
      <c r="U133" s="122" t="n">
        <v>0</v>
      </c>
      <c r="V133" s="123">
        <f>IF(B133="","",N133-U133)</f>
        <v/>
      </c>
      <c r="W133" s="116" t="n"/>
      <c r="X133" s="125">
        <f>IF(B133="","",IF(LEFT(B133,2)="NC",-1,1))</f>
        <v/>
      </c>
      <c r="Y133" s="123">
        <f>IF(B133="",0,N(I133)*X133)</f>
        <v/>
      </c>
      <c r="Z133" s="123">
        <f>IF(B133="",0,N(J133)*X133)</f>
        <v/>
      </c>
      <c r="AA133" s="123">
        <f>IF(B133="",0,N(K133)*X133)</f>
        <v/>
      </c>
      <c r="AB133" s="123">
        <f>IF(B133="",0,N(L133)*X133)</f>
        <v/>
      </c>
      <c r="AC133" s="123">
        <f>IF(B133="",0,N(N133)*X133)</f>
        <v/>
      </c>
    </row>
    <row r="134" ht="15" customHeight="1" s="83">
      <c r="A134" s="120" t="n"/>
      <c r="B134" s="116" t="n"/>
      <c r="C134" s="116" t="n"/>
      <c r="D134" s="116" t="n"/>
      <c r="E134" s="116" t="n"/>
      <c r="F134" s="116" t="n"/>
      <c r="G134" s="116" t="n"/>
      <c r="H134" s="121">
        <f>IF(G134="","",IF(ISNUMBER(SEARCH("CAPITA",UPPER(G134))),651110,IF(ISNUMBER(SEARCH("REFUERZO",UPPER(G134))),651110,IF(ISNUMBER(SEARCH("VACUNACION",UPPER(G134))),651110,IF(ISNUMBER(SEARCH("ENFERMERIA",UPPER(G134))),651110,IF(ISNUMBER(SEARCH("APORTES",UPPER(G134))),651110,IF(ISNUMBER(SEARCH("HONORARIOS",UPPER(G134))),702010,IF(ISNUMBER(SEARCH("ADMINISTRACION",UPPER(G134))),702010,IF(ISNUMBER(SEARCH("GERENCIAMIENTO",UPPER(G134))),702010,IF(ISNUMBER(SEARCH("ALQUILER",UPPER(G134))),702010,IF(ISNUMBER(SEARCH("AUDITORIA",UPPER(G134))),702010,IF(ISNUMBER(SEARCH("PRESTACIONAL",UPPER(G134))),702010,702010))))))))))))</f>
        <v/>
      </c>
      <c r="I134" s="122" t="n"/>
      <c r="J134" s="122" t="n"/>
      <c r="K134" s="123">
        <f>IF(N(I134)&gt;0,ROUND(N(I134)*IVA_general,2),0)</f>
        <v/>
      </c>
      <c r="L134" s="122" t="n">
        <v>0</v>
      </c>
      <c r="M134" s="122" t="n"/>
      <c r="N134" s="123">
        <f>IF(SUM(I134:M134)=0,"",SUM(I134:M134))</f>
        <v/>
      </c>
      <c r="O134" s="124">
        <f>IF(A134="","",TEXT(A134,"yyyy-mm"))</f>
        <v/>
      </c>
      <c r="P134" s="121">
        <f>IF(A134="","",YEAR(A134))</f>
        <v/>
      </c>
      <c r="Q134" s="121">
        <f>IF(A134="","",MONTH(A134))</f>
        <v/>
      </c>
      <c r="R134" s="116" t="n"/>
      <c r="S134" s="116" t="n"/>
      <c r="T134" s="120" t="n"/>
      <c r="U134" s="122" t="n">
        <v>0</v>
      </c>
      <c r="V134" s="123">
        <f>IF(B134="","",N134-U134)</f>
        <v/>
      </c>
      <c r="W134" s="116" t="n"/>
      <c r="X134" s="125">
        <f>IF(B134="","",IF(LEFT(B134,2)="NC",-1,1))</f>
        <v/>
      </c>
      <c r="Y134" s="123">
        <f>IF(B134="",0,N(I134)*X134)</f>
        <v/>
      </c>
      <c r="Z134" s="123">
        <f>IF(B134="",0,N(J134)*X134)</f>
        <v/>
      </c>
      <c r="AA134" s="123">
        <f>IF(B134="",0,N(K134)*X134)</f>
        <v/>
      </c>
      <c r="AB134" s="123">
        <f>IF(B134="",0,N(L134)*X134)</f>
        <v/>
      </c>
      <c r="AC134" s="123">
        <f>IF(B134="",0,N(N134)*X134)</f>
        <v/>
      </c>
    </row>
    <row r="135" ht="15" customHeight="1" s="83">
      <c r="A135" s="120" t="n"/>
      <c r="B135" s="116" t="n"/>
      <c r="C135" s="116" t="n"/>
      <c r="D135" s="116" t="n"/>
      <c r="E135" s="116" t="n"/>
      <c r="F135" s="116" t="n"/>
      <c r="G135" s="116" t="n"/>
      <c r="H135" s="121">
        <f>IF(G135="","",IF(ISNUMBER(SEARCH("CAPITA",UPPER(G135))),651110,IF(ISNUMBER(SEARCH("REFUERZO",UPPER(G135))),651110,IF(ISNUMBER(SEARCH("VACUNACION",UPPER(G135))),651110,IF(ISNUMBER(SEARCH("ENFERMERIA",UPPER(G135))),651110,IF(ISNUMBER(SEARCH("APORTES",UPPER(G135))),651110,IF(ISNUMBER(SEARCH("HONORARIOS",UPPER(G135))),702010,IF(ISNUMBER(SEARCH("ADMINISTRACION",UPPER(G135))),702010,IF(ISNUMBER(SEARCH("GERENCIAMIENTO",UPPER(G135))),702010,IF(ISNUMBER(SEARCH("ALQUILER",UPPER(G135))),702010,IF(ISNUMBER(SEARCH("AUDITORIA",UPPER(G135))),702010,IF(ISNUMBER(SEARCH("PRESTACIONAL",UPPER(G135))),702010,702010))))))))))))</f>
        <v/>
      </c>
      <c r="I135" s="122" t="n"/>
      <c r="J135" s="122" t="n"/>
      <c r="K135" s="123">
        <f>IF(N(I135)&gt;0,ROUND(N(I135)*IVA_general,2),0)</f>
        <v/>
      </c>
      <c r="L135" s="122" t="n">
        <v>0</v>
      </c>
      <c r="M135" s="122" t="n"/>
      <c r="N135" s="123">
        <f>IF(SUM(I135:M135)=0,"",SUM(I135:M135))</f>
        <v/>
      </c>
      <c r="O135" s="124">
        <f>IF(A135="","",TEXT(A135,"yyyy-mm"))</f>
        <v/>
      </c>
      <c r="P135" s="121">
        <f>IF(A135="","",YEAR(A135))</f>
        <v/>
      </c>
      <c r="Q135" s="121">
        <f>IF(A135="","",MONTH(A135))</f>
        <v/>
      </c>
      <c r="R135" s="116" t="n"/>
      <c r="S135" s="116" t="n"/>
      <c r="T135" s="120" t="n"/>
      <c r="U135" s="122" t="n">
        <v>0</v>
      </c>
      <c r="V135" s="123">
        <f>IF(B135="","",N135-U135)</f>
        <v/>
      </c>
      <c r="W135" s="116" t="n"/>
      <c r="X135" s="125">
        <f>IF(B135="","",IF(LEFT(B135,2)="NC",-1,1))</f>
        <v/>
      </c>
      <c r="Y135" s="123">
        <f>IF(B135="",0,N(I135)*X135)</f>
        <v/>
      </c>
      <c r="Z135" s="123">
        <f>IF(B135="",0,N(J135)*X135)</f>
        <v/>
      </c>
      <c r="AA135" s="123">
        <f>IF(B135="",0,N(K135)*X135)</f>
        <v/>
      </c>
      <c r="AB135" s="123">
        <f>IF(B135="",0,N(L135)*X135)</f>
        <v/>
      </c>
      <c r="AC135" s="123">
        <f>IF(B135="",0,N(N135)*X135)</f>
        <v/>
      </c>
    </row>
    <row r="136" ht="15" customHeight="1" s="83">
      <c r="A136" s="120" t="n"/>
      <c r="B136" s="116" t="n"/>
      <c r="C136" s="116" t="n"/>
      <c r="D136" s="116" t="n"/>
      <c r="E136" s="116" t="n"/>
      <c r="F136" s="116" t="n"/>
      <c r="G136" s="116" t="n"/>
      <c r="H136" s="121">
        <f>IF(G136="","",IF(ISNUMBER(SEARCH("CAPITA",UPPER(G136))),651110,IF(ISNUMBER(SEARCH("REFUERZO",UPPER(G136))),651110,IF(ISNUMBER(SEARCH("VACUNACION",UPPER(G136))),651110,IF(ISNUMBER(SEARCH("ENFERMERIA",UPPER(G136))),651110,IF(ISNUMBER(SEARCH("APORTES",UPPER(G136))),651110,IF(ISNUMBER(SEARCH("HONORARIOS",UPPER(G136))),702010,IF(ISNUMBER(SEARCH("ADMINISTRACION",UPPER(G136))),702010,IF(ISNUMBER(SEARCH("GERENCIAMIENTO",UPPER(G136))),702010,IF(ISNUMBER(SEARCH("ALQUILER",UPPER(G136))),702010,IF(ISNUMBER(SEARCH("AUDITORIA",UPPER(G136))),702010,IF(ISNUMBER(SEARCH("PRESTACIONAL",UPPER(G136))),702010,702010))))))))))))</f>
        <v/>
      </c>
      <c r="I136" s="122" t="n"/>
      <c r="J136" s="122" t="n"/>
      <c r="K136" s="123">
        <f>IF(N(I136)&gt;0,ROUND(N(I136)*IVA_general,2),0)</f>
        <v/>
      </c>
      <c r="L136" s="122" t="n">
        <v>0</v>
      </c>
      <c r="M136" s="122" t="n"/>
      <c r="N136" s="123">
        <f>IF(SUM(I136:M136)=0,"",SUM(I136:M136))</f>
        <v/>
      </c>
      <c r="O136" s="124">
        <f>IF(A136="","",TEXT(A136,"yyyy-mm"))</f>
        <v/>
      </c>
      <c r="P136" s="121">
        <f>IF(A136="","",YEAR(A136))</f>
        <v/>
      </c>
      <c r="Q136" s="121">
        <f>IF(A136="","",MONTH(A136))</f>
        <v/>
      </c>
      <c r="R136" s="116" t="n"/>
      <c r="S136" s="116" t="n"/>
      <c r="T136" s="120" t="n"/>
      <c r="U136" s="122" t="n">
        <v>0</v>
      </c>
      <c r="V136" s="123">
        <f>IF(B136="","",N136-U136)</f>
        <v/>
      </c>
      <c r="W136" s="116" t="n"/>
      <c r="X136" s="125">
        <f>IF(B136="","",IF(LEFT(B136,2)="NC",-1,1))</f>
        <v/>
      </c>
      <c r="Y136" s="123">
        <f>IF(B136="",0,N(I136)*X136)</f>
        <v/>
      </c>
      <c r="Z136" s="123">
        <f>IF(B136="",0,N(J136)*X136)</f>
        <v/>
      </c>
      <c r="AA136" s="123">
        <f>IF(B136="",0,N(K136)*X136)</f>
        <v/>
      </c>
      <c r="AB136" s="123">
        <f>IF(B136="",0,N(L136)*X136)</f>
        <v/>
      </c>
      <c r="AC136" s="123">
        <f>IF(B136="",0,N(N136)*X136)</f>
        <v/>
      </c>
    </row>
    <row r="137" ht="15" customHeight="1" s="83">
      <c r="A137" s="120" t="n"/>
      <c r="B137" s="116" t="n"/>
      <c r="C137" s="116" t="n"/>
      <c r="D137" s="116" t="n"/>
      <c r="E137" s="116" t="n"/>
      <c r="F137" s="116" t="n"/>
      <c r="G137" s="116" t="n"/>
      <c r="H137" s="121">
        <f>IF(G137="","",IF(ISNUMBER(SEARCH("CAPITA",UPPER(G137))),651110,IF(ISNUMBER(SEARCH("REFUERZO",UPPER(G137))),651110,IF(ISNUMBER(SEARCH("VACUNACION",UPPER(G137))),651110,IF(ISNUMBER(SEARCH("ENFERMERIA",UPPER(G137))),651110,IF(ISNUMBER(SEARCH("APORTES",UPPER(G137))),651110,IF(ISNUMBER(SEARCH("HONORARIOS",UPPER(G137))),702010,IF(ISNUMBER(SEARCH("ADMINISTRACION",UPPER(G137))),702010,IF(ISNUMBER(SEARCH("GERENCIAMIENTO",UPPER(G137))),702010,IF(ISNUMBER(SEARCH("ALQUILER",UPPER(G137))),702010,IF(ISNUMBER(SEARCH("AUDITORIA",UPPER(G137))),702010,IF(ISNUMBER(SEARCH("PRESTACIONAL",UPPER(G137))),702010,702010))))))))))))</f>
        <v/>
      </c>
      <c r="I137" s="122" t="n"/>
      <c r="J137" s="122" t="n"/>
      <c r="K137" s="123">
        <f>IF(N(I137)&gt;0,ROUND(N(I137)*IVA_general,2),0)</f>
        <v/>
      </c>
      <c r="L137" s="122" t="n">
        <v>0</v>
      </c>
      <c r="M137" s="122" t="n"/>
      <c r="N137" s="123">
        <f>IF(SUM(I137:M137)=0,"",SUM(I137:M137))</f>
        <v/>
      </c>
      <c r="O137" s="124">
        <f>IF(A137="","",TEXT(A137,"yyyy-mm"))</f>
        <v/>
      </c>
      <c r="P137" s="121">
        <f>IF(A137="","",YEAR(A137))</f>
        <v/>
      </c>
      <c r="Q137" s="121">
        <f>IF(A137="","",MONTH(A137))</f>
        <v/>
      </c>
      <c r="R137" s="116" t="n"/>
      <c r="S137" s="116" t="n"/>
      <c r="T137" s="120" t="n"/>
      <c r="U137" s="122" t="n">
        <v>0</v>
      </c>
      <c r="V137" s="123">
        <f>IF(B137="","",N137-U137)</f>
        <v/>
      </c>
      <c r="W137" s="116" t="n"/>
      <c r="X137" s="125">
        <f>IF(B137="","",IF(LEFT(B137,2)="NC",-1,1))</f>
        <v/>
      </c>
      <c r="Y137" s="123">
        <f>IF(B137="",0,N(I137)*X137)</f>
        <v/>
      </c>
      <c r="Z137" s="123">
        <f>IF(B137="",0,N(J137)*X137)</f>
        <v/>
      </c>
      <c r="AA137" s="123">
        <f>IF(B137="",0,N(K137)*X137)</f>
        <v/>
      </c>
      <c r="AB137" s="123">
        <f>IF(B137="",0,N(L137)*X137)</f>
        <v/>
      </c>
      <c r="AC137" s="123">
        <f>IF(B137="",0,N(N137)*X137)</f>
        <v/>
      </c>
    </row>
    <row r="138" ht="15" customHeight="1" s="83">
      <c r="A138" s="120" t="n"/>
      <c r="B138" s="116" t="n"/>
      <c r="C138" s="116" t="n"/>
      <c r="D138" s="116" t="n"/>
      <c r="E138" s="116" t="n"/>
      <c r="F138" s="116" t="n"/>
      <c r="G138" s="116" t="n"/>
      <c r="H138" s="121">
        <f>IF(G138="","",IF(ISNUMBER(SEARCH("CAPITA",UPPER(G138))),651110,IF(ISNUMBER(SEARCH("REFUERZO",UPPER(G138))),651110,IF(ISNUMBER(SEARCH("VACUNACION",UPPER(G138))),651110,IF(ISNUMBER(SEARCH("ENFERMERIA",UPPER(G138))),651110,IF(ISNUMBER(SEARCH("APORTES",UPPER(G138))),651110,IF(ISNUMBER(SEARCH("HONORARIOS",UPPER(G138))),702010,IF(ISNUMBER(SEARCH("ADMINISTRACION",UPPER(G138))),702010,IF(ISNUMBER(SEARCH("GERENCIAMIENTO",UPPER(G138))),702010,IF(ISNUMBER(SEARCH("ALQUILER",UPPER(G138))),702010,IF(ISNUMBER(SEARCH("AUDITORIA",UPPER(G138))),702010,IF(ISNUMBER(SEARCH("PRESTACIONAL",UPPER(G138))),702010,702010))))))))))))</f>
        <v/>
      </c>
      <c r="I138" s="122" t="n"/>
      <c r="J138" s="122" t="n"/>
      <c r="K138" s="123">
        <f>IF(N(I138)&gt;0,ROUND(N(I138)*IVA_general,2),0)</f>
        <v/>
      </c>
      <c r="L138" s="122" t="n">
        <v>0</v>
      </c>
      <c r="M138" s="122" t="n"/>
      <c r="N138" s="123">
        <f>IF(SUM(I138:M138)=0,"",SUM(I138:M138))</f>
        <v/>
      </c>
      <c r="O138" s="124">
        <f>IF(A138="","",TEXT(A138,"yyyy-mm"))</f>
        <v/>
      </c>
      <c r="P138" s="121">
        <f>IF(A138="","",YEAR(A138))</f>
        <v/>
      </c>
      <c r="Q138" s="121">
        <f>IF(A138="","",MONTH(A138))</f>
        <v/>
      </c>
      <c r="R138" s="116" t="n"/>
      <c r="S138" s="116" t="n"/>
      <c r="T138" s="120" t="n"/>
      <c r="U138" s="122" t="n">
        <v>0</v>
      </c>
      <c r="V138" s="123">
        <f>IF(B138="","",N138-U138)</f>
        <v/>
      </c>
      <c r="W138" s="116" t="n"/>
      <c r="X138" s="125">
        <f>IF(B138="","",IF(LEFT(B138,2)="NC",-1,1))</f>
        <v/>
      </c>
      <c r="Y138" s="123">
        <f>IF(B138="",0,N(I138)*X138)</f>
        <v/>
      </c>
      <c r="Z138" s="123">
        <f>IF(B138="",0,N(J138)*X138)</f>
        <v/>
      </c>
      <c r="AA138" s="123">
        <f>IF(B138="",0,N(K138)*X138)</f>
        <v/>
      </c>
      <c r="AB138" s="123">
        <f>IF(B138="",0,N(L138)*X138)</f>
        <v/>
      </c>
      <c r="AC138" s="123">
        <f>IF(B138="",0,N(N138)*X138)</f>
        <v/>
      </c>
    </row>
    <row r="139" ht="15" customHeight="1" s="83">
      <c r="A139" s="120" t="n"/>
      <c r="B139" s="116" t="n"/>
      <c r="C139" s="116" t="n"/>
      <c r="D139" s="116" t="n"/>
      <c r="E139" s="116" t="n"/>
      <c r="F139" s="116" t="n"/>
      <c r="G139" s="116" t="n"/>
      <c r="H139" s="121">
        <f>IF(G139="","",IF(ISNUMBER(SEARCH("CAPITA",UPPER(G139))),651110,IF(ISNUMBER(SEARCH("REFUERZO",UPPER(G139))),651110,IF(ISNUMBER(SEARCH("VACUNACION",UPPER(G139))),651110,IF(ISNUMBER(SEARCH("ENFERMERIA",UPPER(G139))),651110,IF(ISNUMBER(SEARCH("APORTES",UPPER(G139))),651110,IF(ISNUMBER(SEARCH("HONORARIOS",UPPER(G139))),702010,IF(ISNUMBER(SEARCH("ADMINISTRACION",UPPER(G139))),702010,IF(ISNUMBER(SEARCH("GERENCIAMIENTO",UPPER(G139))),702010,IF(ISNUMBER(SEARCH("ALQUILER",UPPER(G139))),702010,IF(ISNUMBER(SEARCH("AUDITORIA",UPPER(G139))),702010,IF(ISNUMBER(SEARCH("PRESTACIONAL",UPPER(G139))),702010,702010))))))))))))</f>
        <v/>
      </c>
      <c r="I139" s="122" t="n"/>
      <c r="J139" s="122" t="n"/>
      <c r="K139" s="123">
        <f>IF(N(I139)&gt;0,ROUND(N(I139)*IVA_general,2),0)</f>
        <v/>
      </c>
      <c r="L139" s="122" t="n">
        <v>0</v>
      </c>
      <c r="M139" s="122" t="n"/>
      <c r="N139" s="123">
        <f>IF(SUM(I139:M139)=0,"",SUM(I139:M139))</f>
        <v/>
      </c>
      <c r="O139" s="124">
        <f>IF(A139="","",TEXT(A139,"yyyy-mm"))</f>
        <v/>
      </c>
      <c r="P139" s="121">
        <f>IF(A139="","",YEAR(A139))</f>
        <v/>
      </c>
      <c r="Q139" s="121">
        <f>IF(A139="","",MONTH(A139))</f>
        <v/>
      </c>
      <c r="R139" s="116" t="n"/>
      <c r="S139" s="116" t="n"/>
      <c r="T139" s="120" t="n"/>
      <c r="U139" s="122" t="n">
        <v>0</v>
      </c>
      <c r="V139" s="123">
        <f>IF(B139="","",N139-U139)</f>
        <v/>
      </c>
      <c r="W139" s="116" t="n"/>
      <c r="X139" s="125">
        <f>IF(B139="","",IF(LEFT(B139,2)="NC",-1,1))</f>
        <v/>
      </c>
      <c r="Y139" s="123">
        <f>IF(B139="",0,N(I139)*X139)</f>
        <v/>
      </c>
      <c r="Z139" s="123">
        <f>IF(B139="",0,N(J139)*X139)</f>
        <v/>
      </c>
      <c r="AA139" s="123">
        <f>IF(B139="",0,N(K139)*X139)</f>
        <v/>
      </c>
      <c r="AB139" s="123">
        <f>IF(B139="",0,N(L139)*X139)</f>
        <v/>
      </c>
      <c r="AC139" s="123">
        <f>IF(B139="",0,N(N139)*X139)</f>
        <v/>
      </c>
    </row>
    <row r="140" ht="15" customHeight="1" s="83">
      <c r="A140" s="120" t="n"/>
      <c r="B140" s="116" t="n"/>
      <c r="C140" s="116" t="n"/>
      <c r="D140" s="116" t="n"/>
      <c r="E140" s="116" t="n"/>
      <c r="F140" s="116" t="n"/>
      <c r="G140" s="116" t="n"/>
      <c r="H140" s="121">
        <f>IF(G140="","",IF(ISNUMBER(SEARCH("CAPITA",UPPER(G140))),651110,IF(ISNUMBER(SEARCH("REFUERZO",UPPER(G140))),651110,IF(ISNUMBER(SEARCH("VACUNACION",UPPER(G140))),651110,IF(ISNUMBER(SEARCH("ENFERMERIA",UPPER(G140))),651110,IF(ISNUMBER(SEARCH("APORTES",UPPER(G140))),651110,IF(ISNUMBER(SEARCH("HONORARIOS",UPPER(G140))),702010,IF(ISNUMBER(SEARCH("ADMINISTRACION",UPPER(G140))),702010,IF(ISNUMBER(SEARCH("GERENCIAMIENTO",UPPER(G140))),702010,IF(ISNUMBER(SEARCH("ALQUILER",UPPER(G140))),702010,IF(ISNUMBER(SEARCH("AUDITORIA",UPPER(G140))),702010,IF(ISNUMBER(SEARCH("PRESTACIONAL",UPPER(G140))),702010,702010))))))))))))</f>
        <v/>
      </c>
      <c r="I140" s="122" t="n"/>
      <c r="J140" s="122" t="n"/>
      <c r="K140" s="123">
        <f>IF(N(I140)&gt;0,ROUND(N(I140)*IVA_general,2),0)</f>
        <v/>
      </c>
      <c r="L140" s="122" t="n">
        <v>0</v>
      </c>
      <c r="M140" s="122" t="n"/>
      <c r="N140" s="123">
        <f>IF(SUM(I140:M140)=0,"",SUM(I140:M140))</f>
        <v/>
      </c>
      <c r="O140" s="124">
        <f>IF(A140="","",TEXT(A140,"yyyy-mm"))</f>
        <v/>
      </c>
      <c r="P140" s="121">
        <f>IF(A140="","",YEAR(A140))</f>
        <v/>
      </c>
      <c r="Q140" s="121">
        <f>IF(A140="","",MONTH(A140))</f>
        <v/>
      </c>
      <c r="R140" s="116" t="n"/>
      <c r="S140" s="116" t="n"/>
      <c r="T140" s="120" t="n"/>
      <c r="U140" s="122" t="n">
        <v>0</v>
      </c>
      <c r="V140" s="123">
        <f>IF(B140="","",N140-U140)</f>
        <v/>
      </c>
      <c r="W140" s="116" t="n"/>
      <c r="X140" s="125">
        <f>IF(B140="","",IF(LEFT(B140,2)="NC",-1,1))</f>
        <v/>
      </c>
      <c r="Y140" s="123">
        <f>IF(B140="",0,N(I140)*X140)</f>
        <v/>
      </c>
      <c r="Z140" s="123">
        <f>IF(B140="",0,N(J140)*X140)</f>
        <v/>
      </c>
      <c r="AA140" s="123">
        <f>IF(B140="",0,N(K140)*X140)</f>
        <v/>
      </c>
      <c r="AB140" s="123">
        <f>IF(B140="",0,N(L140)*X140)</f>
        <v/>
      </c>
      <c r="AC140" s="123">
        <f>IF(B140="",0,N(N140)*X140)</f>
        <v/>
      </c>
    </row>
    <row r="141" ht="15" customHeight="1" s="83">
      <c r="A141" s="120" t="n"/>
      <c r="B141" s="116" t="n"/>
      <c r="C141" s="116" t="n"/>
      <c r="D141" s="116" t="n"/>
      <c r="E141" s="116" t="n"/>
      <c r="F141" s="116" t="n"/>
      <c r="G141" s="116" t="n"/>
      <c r="H141" s="121">
        <f>IF(G141="","",IF(ISNUMBER(SEARCH("CAPITA",UPPER(G141))),651110,IF(ISNUMBER(SEARCH("REFUERZO",UPPER(G141))),651110,IF(ISNUMBER(SEARCH("VACUNACION",UPPER(G141))),651110,IF(ISNUMBER(SEARCH("ENFERMERIA",UPPER(G141))),651110,IF(ISNUMBER(SEARCH("APORTES",UPPER(G141))),651110,IF(ISNUMBER(SEARCH("HONORARIOS",UPPER(G141))),702010,IF(ISNUMBER(SEARCH("ADMINISTRACION",UPPER(G141))),702010,IF(ISNUMBER(SEARCH("GERENCIAMIENTO",UPPER(G141))),702010,IF(ISNUMBER(SEARCH("ALQUILER",UPPER(G141))),702010,IF(ISNUMBER(SEARCH("AUDITORIA",UPPER(G141))),702010,IF(ISNUMBER(SEARCH("PRESTACIONAL",UPPER(G141))),702010,702010))))))))))))</f>
        <v/>
      </c>
      <c r="I141" s="122" t="n"/>
      <c r="J141" s="122" t="n"/>
      <c r="K141" s="123">
        <f>IF(N(I141)&gt;0,ROUND(N(I141)*IVA_general,2),0)</f>
        <v/>
      </c>
      <c r="L141" s="122" t="n">
        <v>0</v>
      </c>
      <c r="M141" s="122" t="n"/>
      <c r="N141" s="123">
        <f>IF(SUM(I141:M141)=0,"",SUM(I141:M141))</f>
        <v/>
      </c>
      <c r="O141" s="124">
        <f>IF(A141="","",TEXT(A141,"yyyy-mm"))</f>
        <v/>
      </c>
      <c r="P141" s="121">
        <f>IF(A141="","",YEAR(A141))</f>
        <v/>
      </c>
      <c r="Q141" s="121">
        <f>IF(A141="","",MONTH(A141))</f>
        <v/>
      </c>
      <c r="R141" s="116" t="n"/>
      <c r="S141" s="116" t="n"/>
      <c r="T141" s="120" t="n"/>
      <c r="U141" s="122" t="n">
        <v>0</v>
      </c>
      <c r="V141" s="123">
        <f>IF(B141="","",N141-U141)</f>
        <v/>
      </c>
      <c r="W141" s="116" t="n"/>
      <c r="X141" s="125">
        <f>IF(B141="","",IF(LEFT(B141,2)="NC",-1,1))</f>
        <v/>
      </c>
      <c r="Y141" s="123">
        <f>IF(B141="",0,N(I141)*X141)</f>
        <v/>
      </c>
      <c r="Z141" s="123">
        <f>IF(B141="",0,N(J141)*X141)</f>
        <v/>
      </c>
      <c r="AA141" s="123">
        <f>IF(B141="",0,N(K141)*X141)</f>
        <v/>
      </c>
      <c r="AB141" s="123">
        <f>IF(B141="",0,N(L141)*X141)</f>
        <v/>
      </c>
      <c r="AC141" s="123">
        <f>IF(B141="",0,N(N141)*X141)</f>
        <v/>
      </c>
    </row>
    <row r="142" ht="15" customHeight="1" s="83">
      <c r="A142" s="120" t="n"/>
      <c r="B142" s="116" t="n"/>
      <c r="C142" s="116" t="n"/>
      <c r="D142" s="116" t="n"/>
      <c r="E142" s="116" t="n"/>
      <c r="F142" s="116" t="n"/>
      <c r="G142" s="116" t="n"/>
      <c r="H142" s="121">
        <f>IF(G142="","",IF(ISNUMBER(SEARCH("CAPITA",UPPER(G142))),651110,IF(ISNUMBER(SEARCH("REFUERZO",UPPER(G142))),651110,IF(ISNUMBER(SEARCH("VACUNACION",UPPER(G142))),651110,IF(ISNUMBER(SEARCH("ENFERMERIA",UPPER(G142))),651110,IF(ISNUMBER(SEARCH("APORTES",UPPER(G142))),651110,IF(ISNUMBER(SEARCH("HONORARIOS",UPPER(G142))),702010,IF(ISNUMBER(SEARCH("ADMINISTRACION",UPPER(G142))),702010,IF(ISNUMBER(SEARCH("GERENCIAMIENTO",UPPER(G142))),702010,IF(ISNUMBER(SEARCH("ALQUILER",UPPER(G142))),702010,IF(ISNUMBER(SEARCH("AUDITORIA",UPPER(G142))),702010,IF(ISNUMBER(SEARCH("PRESTACIONAL",UPPER(G142))),702010,702010))))))))))))</f>
        <v/>
      </c>
      <c r="I142" s="122" t="n"/>
      <c r="J142" s="122" t="n"/>
      <c r="K142" s="123">
        <f>IF(N(I142)&gt;0,ROUND(N(I142)*IVA_general,2),0)</f>
        <v/>
      </c>
      <c r="L142" s="122" t="n">
        <v>0</v>
      </c>
      <c r="M142" s="122" t="n"/>
      <c r="N142" s="123">
        <f>IF(SUM(I142:M142)=0,"",SUM(I142:M142))</f>
        <v/>
      </c>
      <c r="O142" s="124">
        <f>IF(A142="","",TEXT(A142,"yyyy-mm"))</f>
        <v/>
      </c>
      <c r="P142" s="121">
        <f>IF(A142="","",YEAR(A142))</f>
        <v/>
      </c>
      <c r="Q142" s="121">
        <f>IF(A142="","",MONTH(A142))</f>
        <v/>
      </c>
      <c r="R142" s="116" t="n"/>
      <c r="S142" s="116" t="n"/>
      <c r="T142" s="120" t="n"/>
      <c r="U142" s="122" t="n">
        <v>0</v>
      </c>
      <c r="V142" s="123">
        <f>IF(B142="","",N142-U142)</f>
        <v/>
      </c>
      <c r="W142" s="116" t="n"/>
      <c r="X142" s="125">
        <f>IF(B142="","",IF(LEFT(B142,2)="NC",-1,1))</f>
        <v/>
      </c>
      <c r="Y142" s="123">
        <f>IF(B142="",0,N(I142)*X142)</f>
        <v/>
      </c>
      <c r="Z142" s="123">
        <f>IF(B142="",0,N(J142)*X142)</f>
        <v/>
      </c>
      <c r="AA142" s="123">
        <f>IF(B142="",0,N(K142)*X142)</f>
        <v/>
      </c>
      <c r="AB142" s="123">
        <f>IF(B142="",0,N(L142)*X142)</f>
        <v/>
      </c>
      <c r="AC142" s="123">
        <f>IF(B142="",0,N(N142)*X142)</f>
        <v/>
      </c>
    </row>
    <row r="143" ht="15" customHeight="1" s="83">
      <c r="A143" s="120" t="n"/>
      <c r="B143" s="116" t="n"/>
      <c r="C143" s="116" t="n"/>
      <c r="D143" s="116" t="n"/>
      <c r="E143" s="116" t="n"/>
      <c r="F143" s="116" t="n"/>
      <c r="G143" s="116" t="n"/>
      <c r="H143" s="121">
        <f>IF(G143="","",IF(ISNUMBER(SEARCH("CAPITA",UPPER(G143))),651110,IF(ISNUMBER(SEARCH("REFUERZO",UPPER(G143))),651110,IF(ISNUMBER(SEARCH("VACUNACION",UPPER(G143))),651110,IF(ISNUMBER(SEARCH("ENFERMERIA",UPPER(G143))),651110,IF(ISNUMBER(SEARCH("APORTES",UPPER(G143))),651110,IF(ISNUMBER(SEARCH("HONORARIOS",UPPER(G143))),702010,IF(ISNUMBER(SEARCH("ADMINISTRACION",UPPER(G143))),702010,IF(ISNUMBER(SEARCH("GERENCIAMIENTO",UPPER(G143))),702010,IF(ISNUMBER(SEARCH("ALQUILER",UPPER(G143))),702010,IF(ISNUMBER(SEARCH("AUDITORIA",UPPER(G143))),702010,IF(ISNUMBER(SEARCH("PRESTACIONAL",UPPER(G143))),702010,702010))))))))))))</f>
        <v/>
      </c>
      <c r="I143" s="122" t="n"/>
      <c r="J143" s="122" t="n"/>
      <c r="K143" s="123">
        <f>IF(N(I143)&gt;0,ROUND(N(I143)*IVA_general,2),0)</f>
        <v/>
      </c>
      <c r="L143" s="122" t="n">
        <v>0</v>
      </c>
      <c r="M143" s="122" t="n"/>
      <c r="N143" s="123">
        <f>IF(SUM(I143:M143)=0,"",SUM(I143:M143))</f>
        <v/>
      </c>
      <c r="O143" s="124">
        <f>IF(A143="","",TEXT(A143,"yyyy-mm"))</f>
        <v/>
      </c>
      <c r="P143" s="121">
        <f>IF(A143="","",YEAR(A143))</f>
        <v/>
      </c>
      <c r="Q143" s="121">
        <f>IF(A143="","",MONTH(A143))</f>
        <v/>
      </c>
      <c r="R143" s="116" t="n"/>
      <c r="S143" s="116" t="n"/>
      <c r="T143" s="120" t="n"/>
      <c r="U143" s="122" t="n">
        <v>0</v>
      </c>
      <c r="V143" s="123">
        <f>IF(B143="","",N143-U143)</f>
        <v/>
      </c>
      <c r="W143" s="116" t="n"/>
      <c r="X143" s="125">
        <f>IF(B143="","",IF(LEFT(B143,2)="NC",-1,1))</f>
        <v/>
      </c>
      <c r="Y143" s="123">
        <f>IF(B143="",0,N(I143)*X143)</f>
        <v/>
      </c>
      <c r="Z143" s="123">
        <f>IF(B143="",0,N(J143)*X143)</f>
        <v/>
      </c>
      <c r="AA143" s="123">
        <f>IF(B143="",0,N(K143)*X143)</f>
        <v/>
      </c>
      <c r="AB143" s="123">
        <f>IF(B143="",0,N(L143)*X143)</f>
        <v/>
      </c>
      <c r="AC143" s="123">
        <f>IF(B143="",0,N(N143)*X143)</f>
        <v/>
      </c>
    </row>
    <row r="144" ht="15" customHeight="1" s="83">
      <c r="A144" s="120" t="n"/>
      <c r="B144" s="116" t="n"/>
      <c r="C144" s="116" t="n"/>
      <c r="D144" s="116" t="n"/>
      <c r="E144" s="116" t="n"/>
      <c r="F144" s="116" t="n"/>
      <c r="G144" s="116" t="n"/>
      <c r="H144" s="121">
        <f>IF(G144="","",IF(ISNUMBER(SEARCH("CAPITA",UPPER(G144))),651110,IF(ISNUMBER(SEARCH("REFUERZO",UPPER(G144))),651110,IF(ISNUMBER(SEARCH("VACUNACION",UPPER(G144))),651110,IF(ISNUMBER(SEARCH("ENFERMERIA",UPPER(G144))),651110,IF(ISNUMBER(SEARCH("APORTES",UPPER(G144))),651110,IF(ISNUMBER(SEARCH("HONORARIOS",UPPER(G144))),702010,IF(ISNUMBER(SEARCH("ADMINISTRACION",UPPER(G144))),702010,IF(ISNUMBER(SEARCH("GERENCIAMIENTO",UPPER(G144))),702010,IF(ISNUMBER(SEARCH("ALQUILER",UPPER(G144))),702010,IF(ISNUMBER(SEARCH("AUDITORIA",UPPER(G144))),702010,IF(ISNUMBER(SEARCH("PRESTACIONAL",UPPER(G144))),702010,702010))))))))))))</f>
        <v/>
      </c>
      <c r="I144" s="122" t="n"/>
      <c r="J144" s="122" t="n"/>
      <c r="K144" s="123">
        <f>IF(N(I144)&gt;0,ROUND(N(I144)*IVA_general,2),0)</f>
        <v/>
      </c>
      <c r="L144" s="122" t="n">
        <v>0</v>
      </c>
      <c r="M144" s="122" t="n"/>
      <c r="N144" s="123">
        <f>IF(SUM(I144:M144)=0,"",SUM(I144:M144))</f>
        <v/>
      </c>
      <c r="O144" s="124">
        <f>IF(A144="","",TEXT(A144,"yyyy-mm"))</f>
        <v/>
      </c>
      <c r="P144" s="121">
        <f>IF(A144="","",YEAR(A144))</f>
        <v/>
      </c>
      <c r="Q144" s="121">
        <f>IF(A144="","",MONTH(A144))</f>
        <v/>
      </c>
      <c r="R144" s="116" t="n"/>
      <c r="S144" s="116" t="n"/>
      <c r="T144" s="120" t="n"/>
      <c r="U144" s="122" t="n">
        <v>0</v>
      </c>
      <c r="V144" s="123">
        <f>IF(B144="","",N144-U144)</f>
        <v/>
      </c>
      <c r="W144" s="116" t="n"/>
      <c r="X144" s="125">
        <f>IF(B144="","",IF(LEFT(B144,2)="NC",-1,1))</f>
        <v/>
      </c>
      <c r="Y144" s="123">
        <f>IF(B144="",0,N(I144)*X144)</f>
        <v/>
      </c>
      <c r="Z144" s="123">
        <f>IF(B144="",0,N(J144)*X144)</f>
        <v/>
      </c>
      <c r="AA144" s="123">
        <f>IF(B144="",0,N(K144)*X144)</f>
        <v/>
      </c>
      <c r="AB144" s="123">
        <f>IF(B144="",0,N(L144)*X144)</f>
        <v/>
      </c>
      <c r="AC144" s="123">
        <f>IF(B144="",0,N(N144)*X144)</f>
        <v/>
      </c>
    </row>
    <row r="145" ht="15" customHeight="1" s="83">
      <c r="A145" s="120" t="n"/>
      <c r="B145" s="116" t="n"/>
      <c r="C145" s="116" t="n"/>
      <c r="D145" s="116" t="n"/>
      <c r="E145" s="116" t="n"/>
      <c r="F145" s="116" t="n"/>
      <c r="G145" s="116" t="n"/>
      <c r="H145" s="121">
        <f>IF(G145="","",IF(ISNUMBER(SEARCH("CAPITA",UPPER(G145))),651110,IF(ISNUMBER(SEARCH("REFUERZO",UPPER(G145))),651110,IF(ISNUMBER(SEARCH("VACUNACION",UPPER(G145))),651110,IF(ISNUMBER(SEARCH("ENFERMERIA",UPPER(G145))),651110,IF(ISNUMBER(SEARCH("APORTES",UPPER(G145))),651110,IF(ISNUMBER(SEARCH("HONORARIOS",UPPER(G145))),702010,IF(ISNUMBER(SEARCH("ADMINISTRACION",UPPER(G145))),702010,IF(ISNUMBER(SEARCH("GERENCIAMIENTO",UPPER(G145))),702010,IF(ISNUMBER(SEARCH("ALQUILER",UPPER(G145))),702010,IF(ISNUMBER(SEARCH("AUDITORIA",UPPER(G145))),702010,IF(ISNUMBER(SEARCH("PRESTACIONAL",UPPER(G145))),702010,702010))))))))))))</f>
        <v/>
      </c>
      <c r="I145" s="122" t="n"/>
      <c r="J145" s="122" t="n"/>
      <c r="K145" s="123">
        <f>IF(N(I145)&gt;0,ROUND(N(I145)*IVA_general,2),0)</f>
        <v/>
      </c>
      <c r="L145" s="122" t="n">
        <v>0</v>
      </c>
      <c r="M145" s="122" t="n"/>
      <c r="N145" s="123">
        <f>IF(SUM(I145:M145)=0,"",SUM(I145:M145))</f>
        <v/>
      </c>
      <c r="O145" s="124">
        <f>IF(A145="","",TEXT(A145,"yyyy-mm"))</f>
        <v/>
      </c>
      <c r="P145" s="121">
        <f>IF(A145="","",YEAR(A145))</f>
        <v/>
      </c>
      <c r="Q145" s="121">
        <f>IF(A145="","",MONTH(A145))</f>
        <v/>
      </c>
      <c r="R145" s="116" t="n"/>
      <c r="S145" s="116" t="n"/>
      <c r="T145" s="120" t="n"/>
      <c r="U145" s="122" t="n">
        <v>0</v>
      </c>
      <c r="V145" s="123">
        <f>IF(B145="","",N145-U145)</f>
        <v/>
      </c>
      <c r="W145" s="116" t="n"/>
      <c r="X145" s="125">
        <f>IF(B145="","",IF(LEFT(B145,2)="NC",-1,1))</f>
        <v/>
      </c>
      <c r="Y145" s="123">
        <f>IF(B145="",0,N(I145)*X145)</f>
        <v/>
      </c>
      <c r="Z145" s="123">
        <f>IF(B145="",0,N(J145)*X145)</f>
        <v/>
      </c>
      <c r="AA145" s="123">
        <f>IF(B145="",0,N(K145)*X145)</f>
        <v/>
      </c>
      <c r="AB145" s="123">
        <f>IF(B145="",0,N(L145)*X145)</f>
        <v/>
      </c>
      <c r="AC145" s="123">
        <f>IF(B145="",0,N(N145)*X145)</f>
        <v/>
      </c>
    </row>
    <row r="146" ht="15" customHeight="1" s="83">
      <c r="A146" s="120" t="n"/>
      <c r="B146" s="116" t="n"/>
      <c r="C146" s="116" t="n"/>
      <c r="D146" s="116" t="n"/>
      <c r="E146" s="116" t="n"/>
      <c r="F146" s="116" t="n"/>
      <c r="G146" s="116" t="n"/>
      <c r="H146" s="121">
        <f>IF(G146="","",IF(ISNUMBER(SEARCH("CAPITA",UPPER(G146))),651110,IF(ISNUMBER(SEARCH("REFUERZO",UPPER(G146))),651110,IF(ISNUMBER(SEARCH("VACUNACION",UPPER(G146))),651110,IF(ISNUMBER(SEARCH("ENFERMERIA",UPPER(G146))),651110,IF(ISNUMBER(SEARCH("APORTES",UPPER(G146))),651110,IF(ISNUMBER(SEARCH("HONORARIOS",UPPER(G146))),702010,IF(ISNUMBER(SEARCH("ADMINISTRACION",UPPER(G146))),702010,IF(ISNUMBER(SEARCH("GERENCIAMIENTO",UPPER(G146))),702010,IF(ISNUMBER(SEARCH("ALQUILER",UPPER(G146))),702010,IF(ISNUMBER(SEARCH("AUDITORIA",UPPER(G146))),702010,IF(ISNUMBER(SEARCH("PRESTACIONAL",UPPER(G146))),702010,702010))))))))))))</f>
        <v/>
      </c>
      <c r="I146" s="122" t="n"/>
      <c r="J146" s="122" t="n"/>
      <c r="K146" s="123">
        <f>IF(N(I146)&gt;0,ROUND(N(I146)*IVA_general,2),0)</f>
        <v/>
      </c>
      <c r="L146" s="122" t="n">
        <v>0</v>
      </c>
      <c r="M146" s="122" t="n"/>
      <c r="N146" s="123">
        <f>IF(SUM(I146:M146)=0,"",SUM(I146:M146))</f>
        <v/>
      </c>
      <c r="O146" s="124">
        <f>IF(A146="","",TEXT(A146,"yyyy-mm"))</f>
        <v/>
      </c>
      <c r="P146" s="121">
        <f>IF(A146="","",YEAR(A146))</f>
        <v/>
      </c>
      <c r="Q146" s="121">
        <f>IF(A146="","",MONTH(A146))</f>
        <v/>
      </c>
      <c r="R146" s="116" t="n"/>
      <c r="S146" s="116" t="n"/>
      <c r="T146" s="120" t="n"/>
      <c r="U146" s="122" t="n">
        <v>0</v>
      </c>
      <c r="V146" s="123">
        <f>IF(B146="","",N146-U146)</f>
        <v/>
      </c>
      <c r="W146" s="116" t="n"/>
      <c r="X146" s="125">
        <f>IF(B146="","",IF(LEFT(B146,2)="NC",-1,1))</f>
        <v/>
      </c>
      <c r="Y146" s="123">
        <f>IF(B146="",0,N(I146)*X146)</f>
        <v/>
      </c>
      <c r="Z146" s="123">
        <f>IF(B146="",0,N(J146)*X146)</f>
        <v/>
      </c>
      <c r="AA146" s="123">
        <f>IF(B146="",0,N(K146)*X146)</f>
        <v/>
      </c>
      <c r="AB146" s="123">
        <f>IF(B146="",0,N(L146)*X146)</f>
        <v/>
      </c>
      <c r="AC146" s="123">
        <f>IF(B146="",0,N(N146)*X146)</f>
        <v/>
      </c>
    </row>
    <row r="147" ht="15" customHeight="1" s="83">
      <c r="A147" s="120" t="n"/>
      <c r="B147" s="116" t="n"/>
      <c r="C147" s="116" t="n"/>
      <c r="D147" s="116" t="n"/>
      <c r="E147" s="116" t="n"/>
      <c r="F147" s="116" t="n"/>
      <c r="G147" s="116" t="n"/>
      <c r="H147" s="121">
        <f>IF(G147="","",IF(ISNUMBER(SEARCH("CAPITA",UPPER(G147))),651110,IF(ISNUMBER(SEARCH("REFUERZO",UPPER(G147))),651110,IF(ISNUMBER(SEARCH("VACUNACION",UPPER(G147))),651110,IF(ISNUMBER(SEARCH("ENFERMERIA",UPPER(G147))),651110,IF(ISNUMBER(SEARCH("APORTES",UPPER(G147))),651110,IF(ISNUMBER(SEARCH("HONORARIOS",UPPER(G147))),702010,IF(ISNUMBER(SEARCH("ADMINISTRACION",UPPER(G147))),702010,IF(ISNUMBER(SEARCH("GERENCIAMIENTO",UPPER(G147))),702010,IF(ISNUMBER(SEARCH("ALQUILER",UPPER(G147))),702010,IF(ISNUMBER(SEARCH("AUDITORIA",UPPER(G147))),702010,IF(ISNUMBER(SEARCH("PRESTACIONAL",UPPER(G147))),702010,702010))))))))))))</f>
        <v/>
      </c>
      <c r="I147" s="122" t="n"/>
      <c r="J147" s="122" t="n"/>
      <c r="K147" s="123">
        <f>IF(N(I147)&gt;0,ROUND(N(I147)*IVA_general,2),0)</f>
        <v/>
      </c>
      <c r="L147" s="122" t="n">
        <v>0</v>
      </c>
      <c r="M147" s="122" t="n"/>
      <c r="N147" s="123">
        <f>IF(SUM(I147:M147)=0,"",SUM(I147:M147))</f>
        <v/>
      </c>
      <c r="O147" s="124">
        <f>IF(A147="","",TEXT(A147,"yyyy-mm"))</f>
        <v/>
      </c>
      <c r="P147" s="121">
        <f>IF(A147="","",YEAR(A147))</f>
        <v/>
      </c>
      <c r="Q147" s="121">
        <f>IF(A147="","",MONTH(A147))</f>
        <v/>
      </c>
      <c r="R147" s="116" t="n"/>
      <c r="S147" s="116" t="n"/>
      <c r="T147" s="120" t="n"/>
      <c r="U147" s="122" t="n">
        <v>0</v>
      </c>
      <c r="V147" s="123">
        <f>IF(B147="","",N147-U147)</f>
        <v/>
      </c>
      <c r="W147" s="116" t="n"/>
      <c r="X147" s="125">
        <f>IF(B147="","",IF(LEFT(B147,2)="NC",-1,1))</f>
        <v/>
      </c>
      <c r="Y147" s="123">
        <f>IF(B147="",0,N(I147)*X147)</f>
        <v/>
      </c>
      <c r="Z147" s="123">
        <f>IF(B147="",0,N(J147)*X147)</f>
        <v/>
      </c>
      <c r="AA147" s="123">
        <f>IF(B147="",0,N(K147)*X147)</f>
        <v/>
      </c>
      <c r="AB147" s="123">
        <f>IF(B147="",0,N(L147)*X147)</f>
        <v/>
      </c>
      <c r="AC147" s="123">
        <f>IF(B147="",0,N(N147)*X147)</f>
        <v/>
      </c>
    </row>
    <row r="148" ht="15" customHeight="1" s="83">
      <c r="A148" s="120" t="n"/>
      <c r="B148" s="116" t="n"/>
      <c r="C148" s="116" t="n"/>
      <c r="D148" s="116" t="n"/>
      <c r="E148" s="116" t="n"/>
      <c r="F148" s="116" t="n"/>
      <c r="G148" s="116" t="n"/>
      <c r="H148" s="121">
        <f>IF(G148="","",IF(ISNUMBER(SEARCH("CAPITA",UPPER(G148))),651110,IF(ISNUMBER(SEARCH("REFUERZO",UPPER(G148))),651110,IF(ISNUMBER(SEARCH("VACUNACION",UPPER(G148))),651110,IF(ISNUMBER(SEARCH("ENFERMERIA",UPPER(G148))),651110,IF(ISNUMBER(SEARCH("APORTES",UPPER(G148))),651110,IF(ISNUMBER(SEARCH("HONORARIOS",UPPER(G148))),702010,IF(ISNUMBER(SEARCH("ADMINISTRACION",UPPER(G148))),702010,IF(ISNUMBER(SEARCH("GERENCIAMIENTO",UPPER(G148))),702010,IF(ISNUMBER(SEARCH("ALQUILER",UPPER(G148))),702010,IF(ISNUMBER(SEARCH("AUDITORIA",UPPER(G148))),702010,IF(ISNUMBER(SEARCH("PRESTACIONAL",UPPER(G148))),702010,702010))))))))))))</f>
        <v/>
      </c>
      <c r="I148" s="122" t="n"/>
      <c r="J148" s="122" t="n"/>
      <c r="K148" s="123">
        <f>IF(N(I148)&gt;0,ROUND(N(I148)*IVA_general,2),0)</f>
        <v/>
      </c>
      <c r="L148" s="122" t="n">
        <v>0</v>
      </c>
      <c r="M148" s="122" t="n"/>
      <c r="N148" s="123">
        <f>IF(SUM(I148:M148)=0,"",SUM(I148:M148))</f>
        <v/>
      </c>
      <c r="O148" s="124">
        <f>IF(A148="","",TEXT(A148,"yyyy-mm"))</f>
        <v/>
      </c>
      <c r="P148" s="121">
        <f>IF(A148="","",YEAR(A148))</f>
        <v/>
      </c>
      <c r="Q148" s="121">
        <f>IF(A148="","",MONTH(A148))</f>
        <v/>
      </c>
      <c r="R148" s="116" t="n"/>
      <c r="S148" s="116" t="n"/>
      <c r="T148" s="120" t="n"/>
      <c r="U148" s="122" t="n">
        <v>0</v>
      </c>
      <c r="V148" s="123">
        <f>IF(B148="","",N148-U148)</f>
        <v/>
      </c>
      <c r="W148" s="116" t="n"/>
      <c r="X148" s="125">
        <f>IF(B148="","",IF(LEFT(B148,2)="NC",-1,1))</f>
        <v/>
      </c>
      <c r="Y148" s="123">
        <f>IF(B148="",0,N(I148)*X148)</f>
        <v/>
      </c>
      <c r="Z148" s="123">
        <f>IF(B148="",0,N(J148)*X148)</f>
        <v/>
      </c>
      <c r="AA148" s="123">
        <f>IF(B148="",0,N(K148)*X148)</f>
        <v/>
      </c>
      <c r="AB148" s="123">
        <f>IF(B148="",0,N(L148)*X148)</f>
        <v/>
      </c>
      <c r="AC148" s="123">
        <f>IF(B148="",0,N(N148)*X148)</f>
        <v/>
      </c>
    </row>
    <row r="149" ht="15" customHeight="1" s="83">
      <c r="A149" s="120" t="n"/>
      <c r="B149" s="116" t="n"/>
      <c r="C149" s="116" t="n"/>
      <c r="D149" s="116" t="n"/>
      <c r="E149" s="116" t="n"/>
      <c r="F149" s="116" t="n"/>
      <c r="G149" s="116" t="n"/>
      <c r="H149" s="121">
        <f>IF(G149="","",IF(ISNUMBER(SEARCH("CAPITA",UPPER(G149))),651110,IF(ISNUMBER(SEARCH("REFUERZO",UPPER(G149))),651110,IF(ISNUMBER(SEARCH("VACUNACION",UPPER(G149))),651110,IF(ISNUMBER(SEARCH("ENFERMERIA",UPPER(G149))),651110,IF(ISNUMBER(SEARCH("APORTES",UPPER(G149))),651110,IF(ISNUMBER(SEARCH("HONORARIOS",UPPER(G149))),702010,IF(ISNUMBER(SEARCH("ADMINISTRACION",UPPER(G149))),702010,IF(ISNUMBER(SEARCH("GERENCIAMIENTO",UPPER(G149))),702010,IF(ISNUMBER(SEARCH("ALQUILER",UPPER(G149))),702010,IF(ISNUMBER(SEARCH("AUDITORIA",UPPER(G149))),702010,IF(ISNUMBER(SEARCH("PRESTACIONAL",UPPER(G149))),702010,702010))))))))))))</f>
        <v/>
      </c>
      <c r="I149" s="122" t="n"/>
      <c r="J149" s="122" t="n"/>
      <c r="K149" s="123">
        <f>IF(N(I149)&gt;0,ROUND(N(I149)*IVA_general,2),0)</f>
        <v/>
      </c>
      <c r="L149" s="122" t="n">
        <v>0</v>
      </c>
      <c r="M149" s="122" t="n"/>
      <c r="N149" s="123">
        <f>IF(SUM(I149:M149)=0,"",SUM(I149:M149))</f>
        <v/>
      </c>
      <c r="O149" s="124">
        <f>IF(A149="","",TEXT(A149,"yyyy-mm"))</f>
        <v/>
      </c>
      <c r="P149" s="121">
        <f>IF(A149="","",YEAR(A149))</f>
        <v/>
      </c>
      <c r="Q149" s="121">
        <f>IF(A149="","",MONTH(A149))</f>
        <v/>
      </c>
      <c r="R149" s="116" t="n"/>
      <c r="S149" s="116" t="n"/>
      <c r="T149" s="120" t="n"/>
      <c r="U149" s="122" t="n">
        <v>0</v>
      </c>
      <c r="V149" s="123">
        <f>IF(B149="","",N149-U149)</f>
        <v/>
      </c>
      <c r="W149" s="116" t="n"/>
      <c r="X149" s="125">
        <f>IF(B149="","",IF(LEFT(B149,2)="NC",-1,1))</f>
        <v/>
      </c>
      <c r="Y149" s="123">
        <f>IF(B149="",0,N(I149)*X149)</f>
        <v/>
      </c>
      <c r="Z149" s="123">
        <f>IF(B149="",0,N(J149)*X149)</f>
        <v/>
      </c>
      <c r="AA149" s="123">
        <f>IF(B149="",0,N(K149)*X149)</f>
        <v/>
      </c>
      <c r="AB149" s="123">
        <f>IF(B149="",0,N(L149)*X149)</f>
        <v/>
      </c>
      <c r="AC149" s="123">
        <f>IF(B149="",0,N(N149)*X149)</f>
        <v/>
      </c>
    </row>
    <row r="150" ht="15" customHeight="1" s="83">
      <c r="A150" s="120" t="n"/>
      <c r="B150" s="116" t="n"/>
      <c r="C150" s="116" t="n"/>
      <c r="D150" s="116" t="n"/>
      <c r="E150" s="116" t="n"/>
      <c r="F150" s="116" t="n"/>
      <c r="G150" s="116" t="n"/>
      <c r="H150" s="121">
        <f>IF(G150="","",IF(ISNUMBER(SEARCH("CAPITA",UPPER(G150))),651110,IF(ISNUMBER(SEARCH("REFUERZO",UPPER(G150))),651110,IF(ISNUMBER(SEARCH("VACUNACION",UPPER(G150))),651110,IF(ISNUMBER(SEARCH("ENFERMERIA",UPPER(G150))),651110,IF(ISNUMBER(SEARCH("APORTES",UPPER(G150))),651110,IF(ISNUMBER(SEARCH("HONORARIOS",UPPER(G150))),702010,IF(ISNUMBER(SEARCH("ADMINISTRACION",UPPER(G150))),702010,IF(ISNUMBER(SEARCH("GERENCIAMIENTO",UPPER(G150))),702010,IF(ISNUMBER(SEARCH("ALQUILER",UPPER(G150))),702010,IF(ISNUMBER(SEARCH("AUDITORIA",UPPER(G150))),702010,IF(ISNUMBER(SEARCH("PRESTACIONAL",UPPER(G150))),702010,702010))))))))))))</f>
        <v/>
      </c>
      <c r="I150" s="122" t="n"/>
      <c r="J150" s="122" t="n"/>
      <c r="K150" s="123">
        <f>IF(N(I150)&gt;0,ROUND(N(I150)*IVA_general,2),0)</f>
        <v/>
      </c>
      <c r="L150" s="122" t="n">
        <v>0</v>
      </c>
      <c r="M150" s="122" t="n"/>
      <c r="N150" s="123">
        <f>IF(SUM(I150:M150)=0,"",SUM(I150:M150))</f>
        <v/>
      </c>
      <c r="O150" s="124">
        <f>IF(A150="","",TEXT(A150,"yyyy-mm"))</f>
        <v/>
      </c>
      <c r="P150" s="121">
        <f>IF(A150="","",YEAR(A150))</f>
        <v/>
      </c>
      <c r="Q150" s="121">
        <f>IF(A150="","",MONTH(A150))</f>
        <v/>
      </c>
      <c r="R150" s="116" t="n"/>
      <c r="S150" s="116" t="n"/>
      <c r="T150" s="120" t="n"/>
      <c r="U150" s="122" t="n">
        <v>0</v>
      </c>
      <c r="V150" s="123">
        <f>IF(B150="","",N150-U150)</f>
        <v/>
      </c>
      <c r="W150" s="116" t="n"/>
      <c r="X150" s="125">
        <f>IF(B150="","",IF(LEFT(B150,2)="NC",-1,1))</f>
        <v/>
      </c>
      <c r="Y150" s="123">
        <f>IF(B150="",0,N(I150)*X150)</f>
        <v/>
      </c>
      <c r="Z150" s="123">
        <f>IF(B150="",0,N(J150)*X150)</f>
        <v/>
      </c>
      <c r="AA150" s="123">
        <f>IF(B150="",0,N(K150)*X150)</f>
        <v/>
      </c>
      <c r="AB150" s="123">
        <f>IF(B150="",0,N(L150)*X150)</f>
        <v/>
      </c>
      <c r="AC150" s="123">
        <f>IF(B150="",0,N(N150)*X150)</f>
        <v/>
      </c>
    </row>
    <row r="151" ht="15" customHeight="1" s="83">
      <c r="A151" s="120" t="n"/>
      <c r="B151" s="116" t="n"/>
      <c r="C151" s="116" t="n"/>
      <c r="D151" s="116" t="n"/>
      <c r="E151" s="116" t="n"/>
      <c r="F151" s="116" t="n"/>
      <c r="G151" s="116" t="n"/>
      <c r="H151" s="121">
        <f>IF(G151="","",IF(ISNUMBER(SEARCH("CAPITA",UPPER(G151))),651110,IF(ISNUMBER(SEARCH("REFUERZO",UPPER(G151))),651110,IF(ISNUMBER(SEARCH("VACUNACION",UPPER(G151))),651110,IF(ISNUMBER(SEARCH("ENFERMERIA",UPPER(G151))),651110,IF(ISNUMBER(SEARCH("APORTES",UPPER(G151))),651110,IF(ISNUMBER(SEARCH("HONORARIOS",UPPER(G151))),702010,IF(ISNUMBER(SEARCH("ADMINISTRACION",UPPER(G151))),702010,IF(ISNUMBER(SEARCH("GERENCIAMIENTO",UPPER(G151))),702010,IF(ISNUMBER(SEARCH("ALQUILER",UPPER(G151))),702010,IF(ISNUMBER(SEARCH("AUDITORIA",UPPER(G151))),702010,IF(ISNUMBER(SEARCH("PRESTACIONAL",UPPER(G151))),702010,702010))))))))))))</f>
        <v/>
      </c>
      <c r="I151" s="122" t="n"/>
      <c r="J151" s="122" t="n"/>
      <c r="K151" s="123">
        <f>IF(N(I151)&gt;0,ROUND(N(I151)*IVA_general,2),0)</f>
        <v/>
      </c>
      <c r="L151" s="122" t="n">
        <v>0</v>
      </c>
      <c r="M151" s="122" t="n"/>
      <c r="N151" s="123">
        <f>IF(SUM(I151:M151)=0,"",SUM(I151:M151))</f>
        <v/>
      </c>
      <c r="O151" s="124">
        <f>IF(A151="","",TEXT(A151,"yyyy-mm"))</f>
        <v/>
      </c>
      <c r="P151" s="121">
        <f>IF(A151="","",YEAR(A151))</f>
        <v/>
      </c>
      <c r="Q151" s="121">
        <f>IF(A151="","",MONTH(A151))</f>
        <v/>
      </c>
      <c r="R151" s="116" t="n"/>
      <c r="S151" s="116" t="n"/>
      <c r="T151" s="120" t="n"/>
      <c r="U151" s="122" t="n">
        <v>0</v>
      </c>
      <c r="V151" s="123">
        <f>IF(B151="","",N151-U151)</f>
        <v/>
      </c>
      <c r="W151" s="116" t="n"/>
      <c r="X151" s="125">
        <f>IF(B151="","",IF(LEFT(B151,2)="NC",-1,1))</f>
        <v/>
      </c>
      <c r="Y151" s="123">
        <f>IF(B151="",0,N(I151)*X151)</f>
        <v/>
      </c>
      <c r="Z151" s="123">
        <f>IF(B151="",0,N(J151)*X151)</f>
        <v/>
      </c>
      <c r="AA151" s="123">
        <f>IF(B151="",0,N(K151)*X151)</f>
        <v/>
      </c>
      <c r="AB151" s="123">
        <f>IF(B151="",0,N(L151)*X151)</f>
        <v/>
      </c>
      <c r="AC151" s="123">
        <f>IF(B151="",0,N(N151)*X151)</f>
        <v/>
      </c>
    </row>
    <row r="152" ht="15" customHeight="1" s="83">
      <c r="A152" s="120" t="n"/>
      <c r="B152" s="116" t="n"/>
      <c r="C152" s="116" t="n"/>
      <c r="D152" s="116" t="n"/>
      <c r="E152" s="116" t="n"/>
      <c r="F152" s="116" t="n"/>
      <c r="G152" s="116" t="n"/>
      <c r="H152" s="121">
        <f>IF(G152="","",IF(ISNUMBER(SEARCH("CAPITA",UPPER(G152))),651110,IF(ISNUMBER(SEARCH("REFUERZO",UPPER(G152))),651110,IF(ISNUMBER(SEARCH("VACUNACION",UPPER(G152))),651110,IF(ISNUMBER(SEARCH("ENFERMERIA",UPPER(G152))),651110,IF(ISNUMBER(SEARCH("APORTES",UPPER(G152))),651110,IF(ISNUMBER(SEARCH("HONORARIOS",UPPER(G152))),702010,IF(ISNUMBER(SEARCH("ADMINISTRACION",UPPER(G152))),702010,IF(ISNUMBER(SEARCH("GERENCIAMIENTO",UPPER(G152))),702010,IF(ISNUMBER(SEARCH("ALQUILER",UPPER(G152))),702010,IF(ISNUMBER(SEARCH("AUDITORIA",UPPER(G152))),702010,IF(ISNUMBER(SEARCH("PRESTACIONAL",UPPER(G152))),702010,702010))))))))))))</f>
        <v/>
      </c>
      <c r="I152" s="122" t="n"/>
      <c r="J152" s="122" t="n"/>
      <c r="K152" s="123">
        <f>IF(N(I152)&gt;0,ROUND(N(I152)*IVA_general,2),0)</f>
        <v/>
      </c>
      <c r="L152" s="122" t="n">
        <v>0</v>
      </c>
      <c r="M152" s="122" t="n"/>
      <c r="N152" s="123">
        <f>IF(SUM(I152:M152)=0,"",SUM(I152:M152))</f>
        <v/>
      </c>
      <c r="O152" s="124">
        <f>IF(A152="","",TEXT(A152,"yyyy-mm"))</f>
        <v/>
      </c>
      <c r="P152" s="121">
        <f>IF(A152="","",YEAR(A152))</f>
        <v/>
      </c>
      <c r="Q152" s="121">
        <f>IF(A152="","",MONTH(A152))</f>
        <v/>
      </c>
      <c r="R152" s="116" t="n"/>
      <c r="S152" s="116" t="n"/>
      <c r="T152" s="120" t="n"/>
      <c r="U152" s="122" t="n">
        <v>0</v>
      </c>
      <c r="V152" s="123">
        <f>IF(B152="","",N152-U152)</f>
        <v/>
      </c>
      <c r="W152" s="116" t="n"/>
      <c r="X152" s="125">
        <f>IF(B152="","",IF(LEFT(B152,2)="NC",-1,1))</f>
        <v/>
      </c>
      <c r="Y152" s="123">
        <f>IF(B152="",0,N(I152)*X152)</f>
        <v/>
      </c>
      <c r="Z152" s="123">
        <f>IF(B152="",0,N(J152)*X152)</f>
        <v/>
      </c>
      <c r="AA152" s="123">
        <f>IF(B152="",0,N(K152)*X152)</f>
        <v/>
      </c>
      <c r="AB152" s="123">
        <f>IF(B152="",0,N(L152)*X152)</f>
        <v/>
      </c>
      <c r="AC152" s="123">
        <f>IF(B152="",0,N(N152)*X152)</f>
        <v/>
      </c>
    </row>
    <row r="153" ht="15" customHeight="1" s="83">
      <c r="A153" s="120" t="n"/>
      <c r="B153" s="116" t="n"/>
      <c r="C153" s="116" t="n"/>
      <c r="D153" s="116" t="n"/>
      <c r="E153" s="116" t="n"/>
      <c r="F153" s="116" t="n"/>
      <c r="G153" s="116" t="n"/>
      <c r="H153" s="121">
        <f>IF(G153="","",IF(ISNUMBER(SEARCH("CAPITA",UPPER(G153))),651110,IF(ISNUMBER(SEARCH("REFUERZO",UPPER(G153))),651110,IF(ISNUMBER(SEARCH("VACUNACION",UPPER(G153))),651110,IF(ISNUMBER(SEARCH("ENFERMERIA",UPPER(G153))),651110,IF(ISNUMBER(SEARCH("APORTES",UPPER(G153))),651110,IF(ISNUMBER(SEARCH("HONORARIOS",UPPER(G153))),702010,IF(ISNUMBER(SEARCH("ADMINISTRACION",UPPER(G153))),702010,IF(ISNUMBER(SEARCH("GERENCIAMIENTO",UPPER(G153))),702010,IF(ISNUMBER(SEARCH("ALQUILER",UPPER(G153))),702010,IF(ISNUMBER(SEARCH("AUDITORIA",UPPER(G153))),702010,IF(ISNUMBER(SEARCH("PRESTACIONAL",UPPER(G153))),702010,702010))))))))))))</f>
        <v/>
      </c>
      <c r="I153" s="122" t="n"/>
      <c r="J153" s="122" t="n"/>
      <c r="K153" s="123">
        <f>IF(N(I153)&gt;0,ROUND(N(I153)*IVA_general,2),0)</f>
        <v/>
      </c>
      <c r="L153" s="122" t="n">
        <v>0</v>
      </c>
      <c r="M153" s="122" t="n"/>
      <c r="N153" s="123">
        <f>IF(SUM(I153:M153)=0,"",SUM(I153:M153))</f>
        <v/>
      </c>
      <c r="O153" s="124">
        <f>IF(A153="","",TEXT(A153,"yyyy-mm"))</f>
        <v/>
      </c>
      <c r="P153" s="121">
        <f>IF(A153="","",YEAR(A153))</f>
        <v/>
      </c>
      <c r="Q153" s="121">
        <f>IF(A153="","",MONTH(A153))</f>
        <v/>
      </c>
      <c r="R153" s="116" t="n"/>
      <c r="S153" s="116" t="n"/>
      <c r="T153" s="120" t="n"/>
      <c r="U153" s="122" t="n">
        <v>0</v>
      </c>
      <c r="V153" s="123">
        <f>IF(B153="","",N153-U153)</f>
        <v/>
      </c>
      <c r="W153" s="116" t="n"/>
      <c r="X153" s="125">
        <f>IF(B153="","",IF(LEFT(B153,2)="NC",-1,1))</f>
        <v/>
      </c>
      <c r="Y153" s="123">
        <f>IF(B153="",0,N(I153)*X153)</f>
        <v/>
      </c>
      <c r="Z153" s="123">
        <f>IF(B153="",0,N(J153)*X153)</f>
        <v/>
      </c>
      <c r="AA153" s="123">
        <f>IF(B153="",0,N(K153)*X153)</f>
        <v/>
      </c>
      <c r="AB153" s="123">
        <f>IF(B153="",0,N(L153)*X153)</f>
        <v/>
      </c>
      <c r="AC153" s="123">
        <f>IF(B153="",0,N(N153)*X153)</f>
        <v/>
      </c>
    </row>
    <row r="154" ht="15" customHeight="1" s="83">
      <c r="A154" s="120" t="n"/>
      <c r="B154" s="116" t="n"/>
      <c r="C154" s="116" t="n"/>
      <c r="D154" s="116" t="n"/>
      <c r="E154" s="116" t="n"/>
      <c r="F154" s="116" t="n"/>
      <c r="G154" s="116" t="n"/>
      <c r="H154" s="121">
        <f>IF(G154="","",IF(ISNUMBER(SEARCH("CAPITA",UPPER(G154))),651110,IF(ISNUMBER(SEARCH("REFUERZO",UPPER(G154))),651110,IF(ISNUMBER(SEARCH("VACUNACION",UPPER(G154))),651110,IF(ISNUMBER(SEARCH("ENFERMERIA",UPPER(G154))),651110,IF(ISNUMBER(SEARCH("APORTES",UPPER(G154))),651110,IF(ISNUMBER(SEARCH("HONORARIOS",UPPER(G154))),702010,IF(ISNUMBER(SEARCH("ADMINISTRACION",UPPER(G154))),702010,IF(ISNUMBER(SEARCH("GERENCIAMIENTO",UPPER(G154))),702010,IF(ISNUMBER(SEARCH("ALQUILER",UPPER(G154))),702010,IF(ISNUMBER(SEARCH("AUDITORIA",UPPER(G154))),702010,IF(ISNUMBER(SEARCH("PRESTACIONAL",UPPER(G154))),702010,702010))))))))))))</f>
        <v/>
      </c>
      <c r="I154" s="122" t="n"/>
      <c r="J154" s="122" t="n"/>
      <c r="K154" s="123">
        <f>IF(N(I154)&gt;0,ROUND(N(I154)*IVA_general,2),0)</f>
        <v/>
      </c>
      <c r="L154" s="122" t="n">
        <v>0</v>
      </c>
      <c r="M154" s="122" t="n"/>
      <c r="N154" s="123">
        <f>IF(SUM(I154:M154)=0,"",SUM(I154:M154))</f>
        <v/>
      </c>
      <c r="O154" s="124">
        <f>IF(A154="","",TEXT(A154,"yyyy-mm"))</f>
        <v/>
      </c>
      <c r="P154" s="121">
        <f>IF(A154="","",YEAR(A154))</f>
        <v/>
      </c>
      <c r="Q154" s="121">
        <f>IF(A154="","",MONTH(A154))</f>
        <v/>
      </c>
      <c r="R154" s="116" t="n"/>
      <c r="S154" s="116" t="n"/>
      <c r="T154" s="120" t="n"/>
      <c r="U154" s="122" t="n">
        <v>0</v>
      </c>
      <c r="V154" s="123">
        <f>IF(B154="","",N154-U154)</f>
        <v/>
      </c>
      <c r="W154" s="116" t="n"/>
      <c r="X154" s="125">
        <f>IF(B154="","",IF(LEFT(B154,2)="NC",-1,1))</f>
        <v/>
      </c>
      <c r="Y154" s="123">
        <f>IF(B154="",0,N(I154)*X154)</f>
        <v/>
      </c>
      <c r="Z154" s="123">
        <f>IF(B154="",0,N(J154)*X154)</f>
        <v/>
      </c>
      <c r="AA154" s="123">
        <f>IF(B154="",0,N(K154)*X154)</f>
        <v/>
      </c>
      <c r="AB154" s="123">
        <f>IF(B154="",0,N(L154)*X154)</f>
        <v/>
      </c>
      <c r="AC154" s="123">
        <f>IF(B154="",0,N(N154)*X154)</f>
        <v/>
      </c>
    </row>
    <row r="155" ht="15" customHeight="1" s="83">
      <c r="A155" s="120" t="n"/>
      <c r="B155" s="116" t="n"/>
      <c r="C155" s="116" t="n"/>
      <c r="D155" s="116" t="n"/>
      <c r="E155" s="116" t="n"/>
      <c r="F155" s="116" t="n"/>
      <c r="G155" s="116" t="n"/>
      <c r="H155" s="121">
        <f>IF(G155="","",IF(ISNUMBER(SEARCH("CAPITA",UPPER(G155))),651110,IF(ISNUMBER(SEARCH("REFUERZO",UPPER(G155))),651110,IF(ISNUMBER(SEARCH("VACUNACION",UPPER(G155))),651110,IF(ISNUMBER(SEARCH("ENFERMERIA",UPPER(G155))),651110,IF(ISNUMBER(SEARCH("APORTES",UPPER(G155))),651110,IF(ISNUMBER(SEARCH("HONORARIOS",UPPER(G155))),702010,IF(ISNUMBER(SEARCH("ADMINISTRACION",UPPER(G155))),702010,IF(ISNUMBER(SEARCH("GERENCIAMIENTO",UPPER(G155))),702010,IF(ISNUMBER(SEARCH("ALQUILER",UPPER(G155))),702010,IF(ISNUMBER(SEARCH("AUDITORIA",UPPER(G155))),702010,IF(ISNUMBER(SEARCH("PRESTACIONAL",UPPER(G155))),702010,702010))))))))))))</f>
        <v/>
      </c>
      <c r="I155" s="122" t="n"/>
      <c r="J155" s="122" t="n"/>
      <c r="K155" s="123">
        <f>IF(N(I155)&gt;0,ROUND(N(I155)*IVA_general,2),0)</f>
        <v/>
      </c>
      <c r="L155" s="122" t="n">
        <v>0</v>
      </c>
      <c r="M155" s="122" t="n"/>
      <c r="N155" s="123">
        <f>IF(SUM(I155:M155)=0,"",SUM(I155:M155))</f>
        <v/>
      </c>
      <c r="O155" s="124">
        <f>IF(A155="","",TEXT(A155,"yyyy-mm"))</f>
        <v/>
      </c>
      <c r="P155" s="121">
        <f>IF(A155="","",YEAR(A155))</f>
        <v/>
      </c>
      <c r="Q155" s="121">
        <f>IF(A155="","",MONTH(A155))</f>
        <v/>
      </c>
      <c r="R155" s="116" t="n"/>
      <c r="S155" s="116" t="n"/>
      <c r="T155" s="120" t="n"/>
      <c r="U155" s="122" t="n">
        <v>0</v>
      </c>
      <c r="V155" s="123">
        <f>IF(B155="","",N155-U155)</f>
        <v/>
      </c>
      <c r="W155" s="116" t="n"/>
      <c r="X155" s="125">
        <f>IF(B155="","",IF(LEFT(B155,2)="NC",-1,1))</f>
        <v/>
      </c>
      <c r="Y155" s="123">
        <f>IF(B155="",0,N(I155)*X155)</f>
        <v/>
      </c>
      <c r="Z155" s="123">
        <f>IF(B155="",0,N(J155)*X155)</f>
        <v/>
      </c>
      <c r="AA155" s="123">
        <f>IF(B155="",0,N(K155)*X155)</f>
        <v/>
      </c>
      <c r="AB155" s="123">
        <f>IF(B155="",0,N(L155)*X155)</f>
        <v/>
      </c>
      <c r="AC155" s="123">
        <f>IF(B155="",0,N(N155)*X155)</f>
        <v/>
      </c>
    </row>
    <row r="156" ht="15" customHeight="1" s="83">
      <c r="A156" s="120" t="n"/>
      <c r="B156" s="116" t="n"/>
      <c r="C156" s="116" t="n"/>
      <c r="D156" s="116" t="n"/>
      <c r="E156" s="116" t="n"/>
      <c r="F156" s="116" t="n"/>
      <c r="G156" s="116" t="n"/>
      <c r="H156" s="121">
        <f>IF(G156="","",IF(ISNUMBER(SEARCH("CAPITA",UPPER(G156))),651110,IF(ISNUMBER(SEARCH("REFUERZO",UPPER(G156))),651110,IF(ISNUMBER(SEARCH("VACUNACION",UPPER(G156))),651110,IF(ISNUMBER(SEARCH("ENFERMERIA",UPPER(G156))),651110,IF(ISNUMBER(SEARCH("APORTES",UPPER(G156))),651110,IF(ISNUMBER(SEARCH("HONORARIOS",UPPER(G156))),702010,IF(ISNUMBER(SEARCH("ADMINISTRACION",UPPER(G156))),702010,IF(ISNUMBER(SEARCH("GERENCIAMIENTO",UPPER(G156))),702010,IF(ISNUMBER(SEARCH("ALQUILER",UPPER(G156))),702010,IF(ISNUMBER(SEARCH("AUDITORIA",UPPER(G156))),702010,IF(ISNUMBER(SEARCH("PRESTACIONAL",UPPER(G156))),702010,702010))))))))))))</f>
        <v/>
      </c>
      <c r="I156" s="122" t="n"/>
      <c r="J156" s="122" t="n"/>
      <c r="K156" s="123">
        <f>IF(N(I156)&gt;0,ROUND(N(I156)*IVA_general,2),0)</f>
        <v/>
      </c>
      <c r="L156" s="122" t="n">
        <v>0</v>
      </c>
      <c r="M156" s="122" t="n"/>
      <c r="N156" s="123">
        <f>IF(SUM(I156:M156)=0,"",SUM(I156:M156))</f>
        <v/>
      </c>
      <c r="O156" s="124">
        <f>IF(A156="","",TEXT(A156,"yyyy-mm"))</f>
        <v/>
      </c>
      <c r="P156" s="121">
        <f>IF(A156="","",YEAR(A156))</f>
        <v/>
      </c>
      <c r="Q156" s="121">
        <f>IF(A156="","",MONTH(A156))</f>
        <v/>
      </c>
      <c r="R156" s="116" t="n"/>
      <c r="S156" s="116" t="n"/>
      <c r="T156" s="120" t="n"/>
      <c r="U156" s="122" t="n">
        <v>0</v>
      </c>
      <c r="V156" s="123">
        <f>IF(B156="","",N156-U156)</f>
        <v/>
      </c>
      <c r="W156" s="116" t="n"/>
      <c r="X156" s="125">
        <f>IF(B156="","",IF(LEFT(B156,2)="NC",-1,1))</f>
        <v/>
      </c>
      <c r="Y156" s="123">
        <f>IF(B156="",0,N(I156)*X156)</f>
        <v/>
      </c>
      <c r="Z156" s="123">
        <f>IF(B156="",0,N(J156)*X156)</f>
        <v/>
      </c>
      <c r="AA156" s="123">
        <f>IF(B156="",0,N(K156)*X156)</f>
        <v/>
      </c>
      <c r="AB156" s="123">
        <f>IF(B156="",0,N(L156)*X156)</f>
        <v/>
      </c>
      <c r="AC156" s="123">
        <f>IF(B156="",0,N(N156)*X156)</f>
        <v/>
      </c>
    </row>
    <row r="157" ht="15" customHeight="1" s="83">
      <c r="A157" s="120" t="n"/>
      <c r="B157" s="116" t="n"/>
      <c r="C157" s="116" t="n"/>
      <c r="D157" s="116" t="n"/>
      <c r="E157" s="116" t="n"/>
      <c r="F157" s="116" t="n"/>
      <c r="G157" s="116" t="n"/>
      <c r="H157" s="121">
        <f>IF(G157="","",IF(ISNUMBER(SEARCH("CAPITA",UPPER(G157))),651110,IF(ISNUMBER(SEARCH("REFUERZO",UPPER(G157))),651110,IF(ISNUMBER(SEARCH("VACUNACION",UPPER(G157))),651110,IF(ISNUMBER(SEARCH("ENFERMERIA",UPPER(G157))),651110,IF(ISNUMBER(SEARCH("APORTES",UPPER(G157))),651110,IF(ISNUMBER(SEARCH("HONORARIOS",UPPER(G157))),702010,IF(ISNUMBER(SEARCH("ADMINISTRACION",UPPER(G157))),702010,IF(ISNUMBER(SEARCH("GERENCIAMIENTO",UPPER(G157))),702010,IF(ISNUMBER(SEARCH("ALQUILER",UPPER(G157))),702010,IF(ISNUMBER(SEARCH("AUDITORIA",UPPER(G157))),702010,IF(ISNUMBER(SEARCH("PRESTACIONAL",UPPER(G157))),702010,702010))))))))))))</f>
        <v/>
      </c>
      <c r="I157" s="122" t="n"/>
      <c r="J157" s="122" t="n"/>
      <c r="K157" s="123">
        <f>IF(N(I157)&gt;0,ROUND(N(I157)*IVA_general,2),0)</f>
        <v/>
      </c>
      <c r="L157" s="122" t="n">
        <v>0</v>
      </c>
      <c r="M157" s="122" t="n"/>
      <c r="N157" s="123">
        <f>IF(SUM(I157:M157)=0,"",SUM(I157:M157))</f>
        <v/>
      </c>
      <c r="O157" s="124">
        <f>IF(A157="","",TEXT(A157,"yyyy-mm"))</f>
        <v/>
      </c>
      <c r="P157" s="121">
        <f>IF(A157="","",YEAR(A157))</f>
        <v/>
      </c>
      <c r="Q157" s="121">
        <f>IF(A157="","",MONTH(A157))</f>
        <v/>
      </c>
      <c r="R157" s="116" t="n"/>
      <c r="S157" s="116" t="n"/>
      <c r="T157" s="120" t="n"/>
      <c r="U157" s="122" t="n">
        <v>0</v>
      </c>
      <c r="V157" s="123">
        <f>IF(B157="","",N157-U157)</f>
        <v/>
      </c>
      <c r="W157" s="116" t="n"/>
      <c r="X157" s="125">
        <f>IF(B157="","",IF(LEFT(B157,2)="NC",-1,1))</f>
        <v/>
      </c>
      <c r="Y157" s="123">
        <f>IF(B157="",0,N(I157)*X157)</f>
        <v/>
      </c>
      <c r="Z157" s="123">
        <f>IF(B157="",0,N(J157)*X157)</f>
        <v/>
      </c>
      <c r="AA157" s="123">
        <f>IF(B157="",0,N(K157)*X157)</f>
        <v/>
      </c>
      <c r="AB157" s="123">
        <f>IF(B157="",0,N(L157)*X157)</f>
        <v/>
      </c>
      <c r="AC157" s="123">
        <f>IF(B157="",0,N(N157)*X157)</f>
        <v/>
      </c>
    </row>
    <row r="158" ht="15" customHeight="1" s="83">
      <c r="A158" s="120" t="n"/>
      <c r="B158" s="116" t="n"/>
      <c r="C158" s="116" t="n"/>
      <c r="D158" s="116" t="n"/>
      <c r="E158" s="116" t="n"/>
      <c r="F158" s="116" t="n"/>
      <c r="G158" s="116" t="n"/>
      <c r="H158" s="121">
        <f>IF(G158="","",IF(ISNUMBER(SEARCH("CAPITA",UPPER(G158))),651110,IF(ISNUMBER(SEARCH("REFUERZO",UPPER(G158))),651110,IF(ISNUMBER(SEARCH("VACUNACION",UPPER(G158))),651110,IF(ISNUMBER(SEARCH("ENFERMERIA",UPPER(G158))),651110,IF(ISNUMBER(SEARCH("APORTES",UPPER(G158))),651110,IF(ISNUMBER(SEARCH("HONORARIOS",UPPER(G158))),702010,IF(ISNUMBER(SEARCH("ADMINISTRACION",UPPER(G158))),702010,IF(ISNUMBER(SEARCH("GERENCIAMIENTO",UPPER(G158))),702010,IF(ISNUMBER(SEARCH("ALQUILER",UPPER(G158))),702010,IF(ISNUMBER(SEARCH("AUDITORIA",UPPER(G158))),702010,IF(ISNUMBER(SEARCH("PRESTACIONAL",UPPER(G158))),702010,702010))))))))))))</f>
        <v/>
      </c>
      <c r="I158" s="122" t="n"/>
      <c r="J158" s="122" t="n"/>
      <c r="K158" s="123">
        <f>IF(N(I158)&gt;0,ROUND(N(I158)*IVA_general,2),0)</f>
        <v/>
      </c>
      <c r="L158" s="122" t="n">
        <v>0</v>
      </c>
      <c r="M158" s="122" t="n"/>
      <c r="N158" s="123">
        <f>IF(SUM(I158:M158)=0,"",SUM(I158:M158))</f>
        <v/>
      </c>
      <c r="O158" s="124">
        <f>IF(A158="","",TEXT(A158,"yyyy-mm"))</f>
        <v/>
      </c>
      <c r="P158" s="121">
        <f>IF(A158="","",YEAR(A158))</f>
        <v/>
      </c>
      <c r="Q158" s="121">
        <f>IF(A158="","",MONTH(A158))</f>
        <v/>
      </c>
      <c r="R158" s="116" t="n"/>
      <c r="S158" s="116" t="n"/>
      <c r="T158" s="120" t="n"/>
      <c r="U158" s="122" t="n">
        <v>0</v>
      </c>
      <c r="V158" s="123">
        <f>IF(B158="","",N158-U158)</f>
        <v/>
      </c>
      <c r="W158" s="116" t="n"/>
      <c r="X158" s="125">
        <f>IF(B158="","",IF(LEFT(B158,2)="NC",-1,1))</f>
        <v/>
      </c>
      <c r="Y158" s="123">
        <f>IF(B158="",0,N(I158)*X158)</f>
        <v/>
      </c>
      <c r="Z158" s="123">
        <f>IF(B158="",0,N(J158)*X158)</f>
        <v/>
      </c>
      <c r="AA158" s="123">
        <f>IF(B158="",0,N(K158)*X158)</f>
        <v/>
      </c>
      <c r="AB158" s="123">
        <f>IF(B158="",0,N(L158)*X158)</f>
        <v/>
      </c>
      <c r="AC158" s="123">
        <f>IF(B158="",0,N(N158)*X158)</f>
        <v/>
      </c>
    </row>
    <row r="159" ht="15" customHeight="1" s="83">
      <c r="A159" s="120" t="n"/>
      <c r="B159" s="116" t="n"/>
      <c r="C159" s="116" t="n"/>
      <c r="D159" s="116" t="n"/>
      <c r="E159" s="116" t="n"/>
      <c r="F159" s="116" t="n"/>
      <c r="G159" s="116" t="n"/>
      <c r="H159" s="121">
        <f>IF(G159="","",IF(ISNUMBER(SEARCH("CAPITA",UPPER(G159))),651110,IF(ISNUMBER(SEARCH("REFUERZO",UPPER(G159))),651110,IF(ISNUMBER(SEARCH("VACUNACION",UPPER(G159))),651110,IF(ISNUMBER(SEARCH("ENFERMERIA",UPPER(G159))),651110,IF(ISNUMBER(SEARCH("APORTES",UPPER(G159))),651110,IF(ISNUMBER(SEARCH("HONORARIOS",UPPER(G159))),702010,IF(ISNUMBER(SEARCH("ADMINISTRACION",UPPER(G159))),702010,IF(ISNUMBER(SEARCH("GERENCIAMIENTO",UPPER(G159))),702010,IF(ISNUMBER(SEARCH("ALQUILER",UPPER(G159))),702010,IF(ISNUMBER(SEARCH("AUDITORIA",UPPER(G159))),702010,IF(ISNUMBER(SEARCH("PRESTACIONAL",UPPER(G159))),702010,702010))))))))))))</f>
        <v/>
      </c>
      <c r="I159" s="122" t="n"/>
      <c r="J159" s="122" t="n"/>
      <c r="K159" s="123">
        <f>IF(N(I159)&gt;0,ROUND(N(I159)*IVA_general,2),0)</f>
        <v/>
      </c>
      <c r="L159" s="122" t="n">
        <v>0</v>
      </c>
      <c r="M159" s="122" t="n"/>
      <c r="N159" s="123">
        <f>IF(SUM(I159:M159)=0,"",SUM(I159:M159))</f>
        <v/>
      </c>
      <c r="O159" s="124">
        <f>IF(A159="","",TEXT(A159,"yyyy-mm"))</f>
        <v/>
      </c>
      <c r="P159" s="121">
        <f>IF(A159="","",YEAR(A159))</f>
        <v/>
      </c>
      <c r="Q159" s="121">
        <f>IF(A159="","",MONTH(A159))</f>
        <v/>
      </c>
      <c r="R159" s="116" t="n"/>
      <c r="S159" s="116" t="n"/>
      <c r="T159" s="120" t="n"/>
      <c r="U159" s="122" t="n">
        <v>0</v>
      </c>
      <c r="V159" s="123">
        <f>IF(B159="","",N159-U159)</f>
        <v/>
      </c>
      <c r="W159" s="116" t="n"/>
      <c r="X159" s="125">
        <f>IF(B159="","",IF(LEFT(B159,2)="NC",-1,1))</f>
        <v/>
      </c>
      <c r="Y159" s="123">
        <f>IF(B159="",0,N(I159)*X159)</f>
        <v/>
      </c>
      <c r="Z159" s="123">
        <f>IF(B159="",0,N(J159)*X159)</f>
        <v/>
      </c>
      <c r="AA159" s="123">
        <f>IF(B159="",0,N(K159)*X159)</f>
        <v/>
      </c>
      <c r="AB159" s="123">
        <f>IF(B159="",0,N(L159)*X159)</f>
        <v/>
      </c>
      <c r="AC159" s="123">
        <f>IF(B159="",0,N(N159)*X159)</f>
        <v/>
      </c>
    </row>
    <row r="160" ht="15" customHeight="1" s="83">
      <c r="A160" s="120" t="n"/>
      <c r="B160" s="116" t="n"/>
      <c r="C160" s="116" t="n"/>
      <c r="D160" s="116" t="n"/>
      <c r="E160" s="116" t="n"/>
      <c r="F160" s="116" t="n"/>
      <c r="G160" s="116" t="n"/>
      <c r="H160" s="121">
        <f>IF(G160="","",IF(ISNUMBER(SEARCH("CAPITA",UPPER(G160))),651110,IF(ISNUMBER(SEARCH("REFUERZO",UPPER(G160))),651110,IF(ISNUMBER(SEARCH("VACUNACION",UPPER(G160))),651110,IF(ISNUMBER(SEARCH("ENFERMERIA",UPPER(G160))),651110,IF(ISNUMBER(SEARCH("APORTES",UPPER(G160))),651110,IF(ISNUMBER(SEARCH("HONORARIOS",UPPER(G160))),702010,IF(ISNUMBER(SEARCH("ADMINISTRACION",UPPER(G160))),702010,IF(ISNUMBER(SEARCH("GERENCIAMIENTO",UPPER(G160))),702010,IF(ISNUMBER(SEARCH("ALQUILER",UPPER(G160))),702010,IF(ISNUMBER(SEARCH("AUDITORIA",UPPER(G160))),702010,IF(ISNUMBER(SEARCH("PRESTACIONAL",UPPER(G160))),702010,702010))))))))))))</f>
        <v/>
      </c>
      <c r="I160" s="122" t="n"/>
      <c r="J160" s="122" t="n"/>
      <c r="K160" s="123">
        <f>IF(N(I160)&gt;0,ROUND(N(I160)*IVA_general,2),0)</f>
        <v/>
      </c>
      <c r="L160" s="122" t="n">
        <v>0</v>
      </c>
      <c r="M160" s="122" t="n"/>
      <c r="N160" s="123">
        <f>IF(SUM(I160:M160)=0,"",SUM(I160:M160))</f>
        <v/>
      </c>
      <c r="O160" s="124">
        <f>IF(A160="","",TEXT(A160,"yyyy-mm"))</f>
        <v/>
      </c>
      <c r="P160" s="121">
        <f>IF(A160="","",YEAR(A160))</f>
        <v/>
      </c>
      <c r="Q160" s="121">
        <f>IF(A160="","",MONTH(A160))</f>
        <v/>
      </c>
      <c r="R160" s="116" t="n"/>
      <c r="S160" s="116" t="n"/>
      <c r="T160" s="120" t="n"/>
      <c r="U160" s="122" t="n">
        <v>0</v>
      </c>
      <c r="V160" s="123">
        <f>IF(B160="","",N160-U160)</f>
        <v/>
      </c>
      <c r="W160" s="116" t="n"/>
      <c r="X160" s="125">
        <f>IF(B160="","",IF(LEFT(B160,2)="NC",-1,1))</f>
        <v/>
      </c>
      <c r="Y160" s="123">
        <f>IF(B160="",0,N(I160)*X160)</f>
        <v/>
      </c>
      <c r="Z160" s="123">
        <f>IF(B160="",0,N(J160)*X160)</f>
        <v/>
      </c>
      <c r="AA160" s="123">
        <f>IF(B160="",0,N(K160)*X160)</f>
        <v/>
      </c>
      <c r="AB160" s="123">
        <f>IF(B160="",0,N(L160)*X160)</f>
        <v/>
      </c>
      <c r="AC160" s="123">
        <f>IF(B160="",0,N(N160)*X160)</f>
        <v/>
      </c>
    </row>
    <row r="161" ht="15" customHeight="1" s="83">
      <c r="A161" s="120" t="n"/>
      <c r="B161" s="116" t="n"/>
      <c r="C161" s="116" t="n"/>
      <c r="D161" s="116" t="n"/>
      <c r="E161" s="116" t="n"/>
      <c r="F161" s="116" t="n"/>
      <c r="G161" s="116" t="n"/>
      <c r="H161" s="121">
        <f>IF(G161="","",IF(ISNUMBER(SEARCH("CAPITA",UPPER(G161))),651110,IF(ISNUMBER(SEARCH("REFUERZO",UPPER(G161))),651110,IF(ISNUMBER(SEARCH("VACUNACION",UPPER(G161))),651110,IF(ISNUMBER(SEARCH("ENFERMERIA",UPPER(G161))),651110,IF(ISNUMBER(SEARCH("APORTES",UPPER(G161))),651110,IF(ISNUMBER(SEARCH("HONORARIOS",UPPER(G161))),702010,IF(ISNUMBER(SEARCH("ADMINISTRACION",UPPER(G161))),702010,IF(ISNUMBER(SEARCH("GERENCIAMIENTO",UPPER(G161))),702010,IF(ISNUMBER(SEARCH("ALQUILER",UPPER(G161))),702010,IF(ISNUMBER(SEARCH("AUDITORIA",UPPER(G161))),702010,IF(ISNUMBER(SEARCH("PRESTACIONAL",UPPER(G161))),702010,702010))))))))))))</f>
        <v/>
      </c>
      <c r="I161" s="122" t="n"/>
      <c r="J161" s="122" t="n"/>
      <c r="K161" s="123">
        <f>IF(N(I161)&gt;0,ROUND(N(I161)*IVA_general,2),0)</f>
        <v/>
      </c>
      <c r="L161" s="122" t="n">
        <v>0</v>
      </c>
      <c r="M161" s="122" t="n"/>
      <c r="N161" s="123">
        <f>IF(SUM(I161:M161)=0,"",SUM(I161:M161))</f>
        <v/>
      </c>
      <c r="O161" s="124">
        <f>IF(A161="","",TEXT(A161,"yyyy-mm"))</f>
        <v/>
      </c>
      <c r="P161" s="121">
        <f>IF(A161="","",YEAR(A161))</f>
        <v/>
      </c>
      <c r="Q161" s="121">
        <f>IF(A161="","",MONTH(A161))</f>
        <v/>
      </c>
      <c r="R161" s="116" t="n"/>
      <c r="S161" s="116" t="n"/>
      <c r="T161" s="120" t="n"/>
      <c r="U161" s="122" t="n">
        <v>0</v>
      </c>
      <c r="V161" s="123">
        <f>IF(B161="","",N161-U161)</f>
        <v/>
      </c>
      <c r="W161" s="116" t="n"/>
      <c r="X161" s="125">
        <f>IF(B161="","",IF(LEFT(B161,2)="NC",-1,1))</f>
        <v/>
      </c>
      <c r="Y161" s="123">
        <f>IF(B161="",0,N(I161)*X161)</f>
        <v/>
      </c>
      <c r="Z161" s="123">
        <f>IF(B161="",0,N(J161)*X161)</f>
        <v/>
      </c>
      <c r="AA161" s="123">
        <f>IF(B161="",0,N(K161)*X161)</f>
        <v/>
      </c>
      <c r="AB161" s="123">
        <f>IF(B161="",0,N(L161)*X161)</f>
        <v/>
      </c>
      <c r="AC161" s="123">
        <f>IF(B161="",0,N(N161)*X161)</f>
        <v/>
      </c>
    </row>
    <row r="162" ht="15" customHeight="1" s="83">
      <c r="A162" s="120" t="n"/>
      <c r="B162" s="116" t="n"/>
      <c r="C162" s="116" t="n"/>
      <c r="D162" s="116" t="n"/>
      <c r="E162" s="116" t="n"/>
      <c r="F162" s="116" t="n"/>
      <c r="G162" s="116" t="n"/>
      <c r="H162" s="121">
        <f>IF(G162="","",IF(ISNUMBER(SEARCH("CAPITA",UPPER(G162))),651110,IF(ISNUMBER(SEARCH("REFUERZO",UPPER(G162))),651110,IF(ISNUMBER(SEARCH("VACUNACION",UPPER(G162))),651110,IF(ISNUMBER(SEARCH("ENFERMERIA",UPPER(G162))),651110,IF(ISNUMBER(SEARCH("APORTES",UPPER(G162))),651110,IF(ISNUMBER(SEARCH("HONORARIOS",UPPER(G162))),702010,IF(ISNUMBER(SEARCH("ADMINISTRACION",UPPER(G162))),702010,IF(ISNUMBER(SEARCH("GERENCIAMIENTO",UPPER(G162))),702010,IF(ISNUMBER(SEARCH("ALQUILER",UPPER(G162))),702010,IF(ISNUMBER(SEARCH("AUDITORIA",UPPER(G162))),702010,IF(ISNUMBER(SEARCH("PRESTACIONAL",UPPER(G162))),702010,702010))))))))))))</f>
        <v/>
      </c>
      <c r="I162" s="122" t="n"/>
      <c r="J162" s="122" t="n"/>
      <c r="K162" s="123">
        <f>IF(N(I162)&gt;0,ROUND(N(I162)*IVA_general,2),0)</f>
        <v/>
      </c>
      <c r="L162" s="122" t="n">
        <v>0</v>
      </c>
      <c r="M162" s="122" t="n"/>
      <c r="N162" s="123">
        <f>IF(SUM(I162:M162)=0,"",SUM(I162:M162))</f>
        <v/>
      </c>
      <c r="O162" s="124">
        <f>IF(A162="","",TEXT(A162,"yyyy-mm"))</f>
        <v/>
      </c>
      <c r="P162" s="121">
        <f>IF(A162="","",YEAR(A162))</f>
        <v/>
      </c>
      <c r="Q162" s="121">
        <f>IF(A162="","",MONTH(A162))</f>
        <v/>
      </c>
      <c r="R162" s="116" t="n"/>
      <c r="S162" s="116" t="n"/>
      <c r="T162" s="120" t="n"/>
      <c r="U162" s="122" t="n">
        <v>0</v>
      </c>
      <c r="V162" s="123">
        <f>IF(B162="","",N162-U162)</f>
        <v/>
      </c>
      <c r="W162" s="116" t="n"/>
      <c r="X162" s="125">
        <f>IF(B162="","",IF(LEFT(B162,2)="NC",-1,1))</f>
        <v/>
      </c>
      <c r="Y162" s="123">
        <f>IF(B162="",0,N(I162)*X162)</f>
        <v/>
      </c>
      <c r="Z162" s="123">
        <f>IF(B162="",0,N(J162)*X162)</f>
        <v/>
      </c>
      <c r="AA162" s="123">
        <f>IF(B162="",0,N(K162)*X162)</f>
        <v/>
      </c>
      <c r="AB162" s="123">
        <f>IF(B162="",0,N(L162)*X162)</f>
        <v/>
      </c>
      <c r="AC162" s="123">
        <f>IF(B162="",0,N(N162)*X162)</f>
        <v/>
      </c>
    </row>
    <row r="163" ht="15" customHeight="1" s="83">
      <c r="A163" s="120" t="n"/>
      <c r="B163" s="116" t="n"/>
      <c r="C163" s="116" t="n"/>
      <c r="D163" s="116" t="n"/>
      <c r="E163" s="116" t="n"/>
      <c r="F163" s="116" t="n"/>
      <c r="G163" s="116" t="n"/>
      <c r="H163" s="121">
        <f>IF(G163="","",IF(ISNUMBER(SEARCH("CAPITA",UPPER(G163))),651110,IF(ISNUMBER(SEARCH("REFUERZO",UPPER(G163))),651110,IF(ISNUMBER(SEARCH("VACUNACION",UPPER(G163))),651110,IF(ISNUMBER(SEARCH("ENFERMERIA",UPPER(G163))),651110,IF(ISNUMBER(SEARCH("APORTES",UPPER(G163))),651110,IF(ISNUMBER(SEARCH("HONORARIOS",UPPER(G163))),702010,IF(ISNUMBER(SEARCH("ADMINISTRACION",UPPER(G163))),702010,IF(ISNUMBER(SEARCH("GERENCIAMIENTO",UPPER(G163))),702010,IF(ISNUMBER(SEARCH("ALQUILER",UPPER(G163))),702010,IF(ISNUMBER(SEARCH("AUDITORIA",UPPER(G163))),702010,IF(ISNUMBER(SEARCH("PRESTACIONAL",UPPER(G163))),702010,702010))))))))))))</f>
        <v/>
      </c>
      <c r="I163" s="122" t="n"/>
      <c r="J163" s="122" t="n"/>
      <c r="K163" s="123">
        <f>IF(N(I163)&gt;0,ROUND(N(I163)*IVA_general,2),0)</f>
        <v/>
      </c>
      <c r="L163" s="122" t="n">
        <v>0</v>
      </c>
      <c r="M163" s="122" t="n"/>
      <c r="N163" s="123">
        <f>IF(SUM(I163:M163)=0,"",SUM(I163:M163))</f>
        <v/>
      </c>
      <c r="O163" s="124">
        <f>IF(A163="","",TEXT(A163,"yyyy-mm"))</f>
        <v/>
      </c>
      <c r="P163" s="121">
        <f>IF(A163="","",YEAR(A163))</f>
        <v/>
      </c>
      <c r="Q163" s="121">
        <f>IF(A163="","",MONTH(A163))</f>
        <v/>
      </c>
      <c r="R163" s="116" t="n"/>
      <c r="S163" s="116" t="n"/>
      <c r="T163" s="120" t="n"/>
      <c r="U163" s="122" t="n">
        <v>0</v>
      </c>
      <c r="V163" s="123">
        <f>IF(B163="","",N163-U163)</f>
        <v/>
      </c>
      <c r="W163" s="116" t="n"/>
      <c r="X163" s="125">
        <f>IF(B163="","",IF(LEFT(B163,2)="NC",-1,1))</f>
        <v/>
      </c>
      <c r="Y163" s="123">
        <f>IF(B163="",0,N(I163)*X163)</f>
        <v/>
      </c>
      <c r="Z163" s="123">
        <f>IF(B163="",0,N(J163)*X163)</f>
        <v/>
      </c>
      <c r="AA163" s="123">
        <f>IF(B163="",0,N(K163)*X163)</f>
        <v/>
      </c>
      <c r="AB163" s="123">
        <f>IF(B163="",0,N(L163)*X163)</f>
        <v/>
      </c>
      <c r="AC163" s="123">
        <f>IF(B163="",0,N(N163)*X163)</f>
        <v/>
      </c>
    </row>
    <row r="164" ht="15" customHeight="1" s="83">
      <c r="A164" s="120" t="n"/>
      <c r="B164" s="116" t="n"/>
      <c r="C164" s="116" t="n"/>
      <c r="D164" s="116" t="n"/>
      <c r="E164" s="116" t="n"/>
      <c r="F164" s="116" t="n"/>
      <c r="G164" s="116" t="n"/>
      <c r="H164" s="121">
        <f>IF(G164="","",IF(ISNUMBER(SEARCH("CAPITA",UPPER(G164))),651110,IF(ISNUMBER(SEARCH("REFUERZO",UPPER(G164))),651110,IF(ISNUMBER(SEARCH("VACUNACION",UPPER(G164))),651110,IF(ISNUMBER(SEARCH("ENFERMERIA",UPPER(G164))),651110,IF(ISNUMBER(SEARCH("APORTES",UPPER(G164))),651110,IF(ISNUMBER(SEARCH("HONORARIOS",UPPER(G164))),702010,IF(ISNUMBER(SEARCH("ADMINISTRACION",UPPER(G164))),702010,IF(ISNUMBER(SEARCH("GERENCIAMIENTO",UPPER(G164))),702010,IF(ISNUMBER(SEARCH("ALQUILER",UPPER(G164))),702010,IF(ISNUMBER(SEARCH("AUDITORIA",UPPER(G164))),702010,IF(ISNUMBER(SEARCH("PRESTACIONAL",UPPER(G164))),702010,702010))))))))))))</f>
        <v/>
      </c>
      <c r="I164" s="122" t="n"/>
      <c r="J164" s="122" t="n"/>
      <c r="K164" s="123">
        <f>IF(N(I164)&gt;0,ROUND(N(I164)*IVA_general,2),0)</f>
        <v/>
      </c>
      <c r="L164" s="122" t="n">
        <v>0</v>
      </c>
      <c r="M164" s="122" t="n"/>
      <c r="N164" s="123">
        <f>IF(SUM(I164:M164)=0,"",SUM(I164:M164))</f>
        <v/>
      </c>
      <c r="O164" s="124">
        <f>IF(A164="","",TEXT(A164,"yyyy-mm"))</f>
        <v/>
      </c>
      <c r="P164" s="121">
        <f>IF(A164="","",YEAR(A164))</f>
        <v/>
      </c>
      <c r="Q164" s="121">
        <f>IF(A164="","",MONTH(A164))</f>
        <v/>
      </c>
      <c r="R164" s="116" t="n"/>
      <c r="S164" s="116" t="n"/>
      <c r="T164" s="120" t="n"/>
      <c r="U164" s="122" t="n">
        <v>0</v>
      </c>
      <c r="V164" s="123">
        <f>IF(B164="","",N164-U164)</f>
        <v/>
      </c>
      <c r="W164" s="116" t="n"/>
      <c r="X164" s="125">
        <f>IF(B164="","",IF(LEFT(B164,2)="NC",-1,1))</f>
        <v/>
      </c>
      <c r="Y164" s="123">
        <f>IF(B164="",0,N(I164)*X164)</f>
        <v/>
      </c>
      <c r="Z164" s="123">
        <f>IF(B164="",0,N(J164)*X164)</f>
        <v/>
      </c>
      <c r="AA164" s="123">
        <f>IF(B164="",0,N(K164)*X164)</f>
        <v/>
      </c>
      <c r="AB164" s="123">
        <f>IF(B164="",0,N(L164)*X164)</f>
        <v/>
      </c>
      <c r="AC164" s="123">
        <f>IF(B164="",0,N(N164)*X164)</f>
        <v/>
      </c>
    </row>
    <row r="165" ht="15" customHeight="1" s="83">
      <c r="A165" s="120" t="n"/>
      <c r="B165" s="116" t="n"/>
      <c r="C165" s="116" t="n"/>
      <c r="D165" s="116" t="n"/>
      <c r="E165" s="116" t="n"/>
      <c r="F165" s="116" t="n"/>
      <c r="G165" s="116" t="n"/>
      <c r="H165" s="121">
        <f>IF(G165="","",IF(ISNUMBER(SEARCH("CAPITA",UPPER(G165))),651110,IF(ISNUMBER(SEARCH("REFUERZO",UPPER(G165))),651110,IF(ISNUMBER(SEARCH("VACUNACION",UPPER(G165))),651110,IF(ISNUMBER(SEARCH("ENFERMERIA",UPPER(G165))),651110,IF(ISNUMBER(SEARCH("APORTES",UPPER(G165))),651110,IF(ISNUMBER(SEARCH("HONORARIOS",UPPER(G165))),702010,IF(ISNUMBER(SEARCH("ADMINISTRACION",UPPER(G165))),702010,IF(ISNUMBER(SEARCH("GERENCIAMIENTO",UPPER(G165))),702010,IF(ISNUMBER(SEARCH("ALQUILER",UPPER(G165))),702010,IF(ISNUMBER(SEARCH("AUDITORIA",UPPER(G165))),702010,IF(ISNUMBER(SEARCH("PRESTACIONAL",UPPER(G165))),702010,702010))))))))))))</f>
        <v/>
      </c>
      <c r="I165" s="122" t="n"/>
      <c r="J165" s="122" t="n"/>
      <c r="K165" s="123">
        <f>IF(N(I165)&gt;0,ROUND(N(I165)*IVA_general,2),0)</f>
        <v/>
      </c>
      <c r="L165" s="122" t="n">
        <v>0</v>
      </c>
      <c r="M165" s="122" t="n"/>
      <c r="N165" s="123">
        <f>IF(SUM(I165:M165)=0,"",SUM(I165:M165))</f>
        <v/>
      </c>
      <c r="O165" s="124">
        <f>IF(A165="","",TEXT(A165,"yyyy-mm"))</f>
        <v/>
      </c>
      <c r="P165" s="121">
        <f>IF(A165="","",YEAR(A165))</f>
        <v/>
      </c>
      <c r="Q165" s="121">
        <f>IF(A165="","",MONTH(A165))</f>
        <v/>
      </c>
      <c r="R165" s="116" t="n"/>
      <c r="S165" s="116" t="n"/>
      <c r="T165" s="120" t="n"/>
      <c r="U165" s="122" t="n">
        <v>0</v>
      </c>
      <c r="V165" s="123">
        <f>IF(B165="","",N165-U165)</f>
        <v/>
      </c>
      <c r="W165" s="116" t="n"/>
      <c r="X165" s="125">
        <f>IF(B165="","",IF(LEFT(B165,2)="NC",-1,1))</f>
        <v/>
      </c>
      <c r="Y165" s="123">
        <f>IF(B165="",0,N(I165)*X165)</f>
        <v/>
      </c>
      <c r="Z165" s="123">
        <f>IF(B165="",0,N(J165)*X165)</f>
        <v/>
      </c>
      <c r="AA165" s="123">
        <f>IF(B165="",0,N(K165)*X165)</f>
        <v/>
      </c>
      <c r="AB165" s="123">
        <f>IF(B165="",0,N(L165)*X165)</f>
        <v/>
      </c>
      <c r="AC165" s="123">
        <f>IF(B165="",0,N(N165)*X165)</f>
        <v/>
      </c>
    </row>
    <row r="166" ht="15" customHeight="1" s="83">
      <c r="A166" s="120" t="n"/>
      <c r="B166" s="116" t="n"/>
      <c r="C166" s="116" t="n"/>
      <c r="D166" s="116" t="n"/>
      <c r="E166" s="116" t="n"/>
      <c r="F166" s="116" t="n"/>
      <c r="G166" s="116" t="n"/>
      <c r="H166" s="121">
        <f>IF(G166="","",IF(ISNUMBER(SEARCH("CAPITA",UPPER(G166))),651110,IF(ISNUMBER(SEARCH("REFUERZO",UPPER(G166))),651110,IF(ISNUMBER(SEARCH("VACUNACION",UPPER(G166))),651110,IF(ISNUMBER(SEARCH("ENFERMERIA",UPPER(G166))),651110,IF(ISNUMBER(SEARCH("APORTES",UPPER(G166))),651110,IF(ISNUMBER(SEARCH("HONORARIOS",UPPER(G166))),702010,IF(ISNUMBER(SEARCH("ADMINISTRACION",UPPER(G166))),702010,IF(ISNUMBER(SEARCH("GERENCIAMIENTO",UPPER(G166))),702010,IF(ISNUMBER(SEARCH("ALQUILER",UPPER(G166))),702010,IF(ISNUMBER(SEARCH("AUDITORIA",UPPER(G166))),702010,IF(ISNUMBER(SEARCH("PRESTACIONAL",UPPER(G166))),702010,702010))))))))))))</f>
        <v/>
      </c>
      <c r="I166" s="122" t="n"/>
      <c r="J166" s="122" t="n"/>
      <c r="K166" s="123">
        <f>IF(N(I166)&gt;0,ROUND(N(I166)*IVA_general,2),0)</f>
        <v/>
      </c>
      <c r="L166" s="122" t="n">
        <v>0</v>
      </c>
      <c r="M166" s="122" t="n"/>
      <c r="N166" s="123">
        <f>IF(SUM(I166:M166)=0,"",SUM(I166:M166))</f>
        <v/>
      </c>
      <c r="O166" s="124">
        <f>IF(A166="","",TEXT(A166,"yyyy-mm"))</f>
        <v/>
      </c>
      <c r="P166" s="121">
        <f>IF(A166="","",YEAR(A166))</f>
        <v/>
      </c>
      <c r="Q166" s="121">
        <f>IF(A166="","",MONTH(A166))</f>
        <v/>
      </c>
      <c r="R166" s="116" t="n"/>
      <c r="S166" s="116" t="n"/>
      <c r="T166" s="120" t="n"/>
      <c r="U166" s="122" t="n">
        <v>0</v>
      </c>
      <c r="V166" s="123">
        <f>IF(B166="","",N166-U166)</f>
        <v/>
      </c>
      <c r="W166" s="116" t="n"/>
      <c r="X166" s="125">
        <f>IF(B166="","",IF(LEFT(B166,2)="NC",-1,1))</f>
        <v/>
      </c>
      <c r="Y166" s="123">
        <f>IF(B166="",0,N(I166)*X166)</f>
        <v/>
      </c>
      <c r="Z166" s="123">
        <f>IF(B166="",0,N(J166)*X166)</f>
        <v/>
      </c>
      <c r="AA166" s="123">
        <f>IF(B166="",0,N(K166)*X166)</f>
        <v/>
      </c>
      <c r="AB166" s="123">
        <f>IF(B166="",0,N(L166)*X166)</f>
        <v/>
      </c>
      <c r="AC166" s="123">
        <f>IF(B166="",0,N(N166)*X166)</f>
        <v/>
      </c>
    </row>
    <row r="167" ht="15" customHeight="1" s="83">
      <c r="A167" s="120" t="n"/>
      <c r="B167" s="116" t="n"/>
      <c r="C167" s="116" t="n"/>
      <c r="D167" s="116" t="n"/>
      <c r="E167" s="116" t="n"/>
      <c r="F167" s="116" t="n"/>
      <c r="G167" s="116" t="n"/>
      <c r="H167" s="121">
        <f>IF(G167="","",IF(ISNUMBER(SEARCH("CAPITA",UPPER(G167))),651110,IF(ISNUMBER(SEARCH("REFUERZO",UPPER(G167))),651110,IF(ISNUMBER(SEARCH("VACUNACION",UPPER(G167))),651110,IF(ISNUMBER(SEARCH("ENFERMERIA",UPPER(G167))),651110,IF(ISNUMBER(SEARCH("APORTES",UPPER(G167))),651110,IF(ISNUMBER(SEARCH("HONORARIOS",UPPER(G167))),702010,IF(ISNUMBER(SEARCH("ADMINISTRACION",UPPER(G167))),702010,IF(ISNUMBER(SEARCH("GERENCIAMIENTO",UPPER(G167))),702010,IF(ISNUMBER(SEARCH("ALQUILER",UPPER(G167))),702010,IF(ISNUMBER(SEARCH("AUDITORIA",UPPER(G167))),702010,IF(ISNUMBER(SEARCH("PRESTACIONAL",UPPER(G167))),702010,702010))))))))))))</f>
        <v/>
      </c>
      <c r="I167" s="122" t="n"/>
      <c r="J167" s="122" t="n"/>
      <c r="K167" s="123">
        <f>IF(N(I167)&gt;0,ROUND(N(I167)*IVA_general,2),0)</f>
        <v/>
      </c>
      <c r="L167" s="122" t="n">
        <v>0</v>
      </c>
      <c r="M167" s="122" t="n"/>
      <c r="N167" s="123">
        <f>IF(SUM(I167:M167)=0,"",SUM(I167:M167))</f>
        <v/>
      </c>
      <c r="O167" s="124">
        <f>IF(A167="","",TEXT(A167,"yyyy-mm"))</f>
        <v/>
      </c>
      <c r="P167" s="121">
        <f>IF(A167="","",YEAR(A167))</f>
        <v/>
      </c>
      <c r="Q167" s="121">
        <f>IF(A167="","",MONTH(A167))</f>
        <v/>
      </c>
      <c r="R167" s="116" t="n"/>
      <c r="S167" s="116" t="n"/>
      <c r="T167" s="120" t="n"/>
      <c r="U167" s="122" t="n">
        <v>0</v>
      </c>
      <c r="V167" s="123">
        <f>IF(B167="","",N167-U167)</f>
        <v/>
      </c>
      <c r="W167" s="116" t="n"/>
      <c r="X167" s="125">
        <f>IF(B167="","",IF(LEFT(B167,2)="NC",-1,1))</f>
        <v/>
      </c>
      <c r="Y167" s="123">
        <f>IF(B167="",0,N(I167)*X167)</f>
        <v/>
      </c>
      <c r="Z167" s="123">
        <f>IF(B167="",0,N(J167)*X167)</f>
        <v/>
      </c>
      <c r="AA167" s="123">
        <f>IF(B167="",0,N(K167)*X167)</f>
        <v/>
      </c>
      <c r="AB167" s="123">
        <f>IF(B167="",0,N(L167)*X167)</f>
        <v/>
      </c>
      <c r="AC167" s="123">
        <f>IF(B167="",0,N(N167)*X167)</f>
        <v/>
      </c>
    </row>
    <row r="168" ht="15" customHeight="1" s="83">
      <c r="A168" s="120" t="n"/>
      <c r="B168" s="116" t="n"/>
      <c r="C168" s="116" t="n"/>
      <c r="D168" s="116" t="n"/>
      <c r="E168" s="116" t="n"/>
      <c r="F168" s="116" t="n"/>
      <c r="G168" s="116" t="n"/>
      <c r="H168" s="121">
        <f>IF(G168="","",IF(ISNUMBER(SEARCH("CAPITA",UPPER(G168))),651110,IF(ISNUMBER(SEARCH("REFUERZO",UPPER(G168))),651110,IF(ISNUMBER(SEARCH("VACUNACION",UPPER(G168))),651110,IF(ISNUMBER(SEARCH("ENFERMERIA",UPPER(G168))),651110,IF(ISNUMBER(SEARCH("APORTES",UPPER(G168))),651110,IF(ISNUMBER(SEARCH("HONORARIOS",UPPER(G168))),702010,IF(ISNUMBER(SEARCH("ADMINISTRACION",UPPER(G168))),702010,IF(ISNUMBER(SEARCH("GERENCIAMIENTO",UPPER(G168))),702010,IF(ISNUMBER(SEARCH("ALQUILER",UPPER(G168))),702010,IF(ISNUMBER(SEARCH("AUDITORIA",UPPER(G168))),702010,IF(ISNUMBER(SEARCH("PRESTACIONAL",UPPER(G168))),702010,702010))))))))))))</f>
        <v/>
      </c>
      <c r="I168" s="122" t="n"/>
      <c r="J168" s="122" t="n"/>
      <c r="K168" s="123">
        <f>IF(N(I168)&gt;0,ROUND(N(I168)*IVA_general,2),0)</f>
        <v/>
      </c>
      <c r="L168" s="122" t="n">
        <v>0</v>
      </c>
      <c r="M168" s="122" t="n"/>
      <c r="N168" s="123">
        <f>IF(SUM(I168:M168)=0,"",SUM(I168:M168))</f>
        <v/>
      </c>
      <c r="O168" s="124">
        <f>IF(A168="","",TEXT(A168,"yyyy-mm"))</f>
        <v/>
      </c>
      <c r="P168" s="121">
        <f>IF(A168="","",YEAR(A168))</f>
        <v/>
      </c>
      <c r="Q168" s="121">
        <f>IF(A168="","",MONTH(A168))</f>
        <v/>
      </c>
      <c r="R168" s="116" t="n"/>
      <c r="S168" s="116" t="n"/>
      <c r="T168" s="120" t="n"/>
      <c r="U168" s="122" t="n">
        <v>0</v>
      </c>
      <c r="V168" s="123">
        <f>IF(B168="","",N168-U168)</f>
        <v/>
      </c>
      <c r="W168" s="116" t="n"/>
      <c r="X168" s="125">
        <f>IF(B168="","",IF(LEFT(B168,2)="NC",-1,1))</f>
        <v/>
      </c>
      <c r="Y168" s="123">
        <f>IF(B168="",0,N(I168)*X168)</f>
        <v/>
      </c>
      <c r="Z168" s="123">
        <f>IF(B168="",0,N(J168)*X168)</f>
        <v/>
      </c>
      <c r="AA168" s="123">
        <f>IF(B168="",0,N(K168)*X168)</f>
        <v/>
      </c>
      <c r="AB168" s="123">
        <f>IF(B168="",0,N(L168)*X168)</f>
        <v/>
      </c>
      <c r="AC168" s="123">
        <f>IF(B168="",0,N(N168)*X168)</f>
        <v/>
      </c>
    </row>
    <row r="169" ht="15" customHeight="1" s="83">
      <c r="A169" s="120" t="n"/>
      <c r="B169" s="116" t="n"/>
      <c r="C169" s="116" t="n"/>
      <c r="D169" s="116" t="n"/>
      <c r="E169" s="116" t="n"/>
      <c r="F169" s="116" t="n"/>
      <c r="G169" s="116" t="n"/>
      <c r="H169" s="121">
        <f>IF(G169="","",IF(ISNUMBER(SEARCH("CAPITA",UPPER(G169))),651110,IF(ISNUMBER(SEARCH("REFUERZO",UPPER(G169))),651110,IF(ISNUMBER(SEARCH("VACUNACION",UPPER(G169))),651110,IF(ISNUMBER(SEARCH("ENFERMERIA",UPPER(G169))),651110,IF(ISNUMBER(SEARCH("APORTES",UPPER(G169))),651110,IF(ISNUMBER(SEARCH("HONORARIOS",UPPER(G169))),702010,IF(ISNUMBER(SEARCH("ADMINISTRACION",UPPER(G169))),702010,IF(ISNUMBER(SEARCH("GERENCIAMIENTO",UPPER(G169))),702010,IF(ISNUMBER(SEARCH("ALQUILER",UPPER(G169))),702010,IF(ISNUMBER(SEARCH("AUDITORIA",UPPER(G169))),702010,IF(ISNUMBER(SEARCH("PRESTACIONAL",UPPER(G169))),702010,702010))))))))))))</f>
        <v/>
      </c>
      <c r="I169" s="122" t="n"/>
      <c r="J169" s="122" t="n"/>
      <c r="K169" s="123">
        <f>IF(N(I169)&gt;0,ROUND(N(I169)*IVA_general,2),0)</f>
        <v/>
      </c>
      <c r="L169" s="122" t="n">
        <v>0</v>
      </c>
      <c r="M169" s="122" t="n"/>
      <c r="N169" s="123">
        <f>IF(SUM(I169:M169)=0,"",SUM(I169:M169))</f>
        <v/>
      </c>
      <c r="O169" s="124">
        <f>IF(A169="","",TEXT(A169,"yyyy-mm"))</f>
        <v/>
      </c>
      <c r="P169" s="121">
        <f>IF(A169="","",YEAR(A169))</f>
        <v/>
      </c>
      <c r="Q169" s="121">
        <f>IF(A169="","",MONTH(A169))</f>
        <v/>
      </c>
      <c r="R169" s="116" t="n"/>
      <c r="S169" s="116" t="n"/>
      <c r="T169" s="120" t="n"/>
      <c r="U169" s="122" t="n">
        <v>0</v>
      </c>
      <c r="V169" s="123">
        <f>IF(B169="","",N169-U169)</f>
        <v/>
      </c>
      <c r="W169" s="116" t="n"/>
      <c r="X169" s="125">
        <f>IF(B169="","",IF(LEFT(B169,2)="NC",-1,1))</f>
        <v/>
      </c>
      <c r="Y169" s="123">
        <f>IF(B169="",0,N(I169)*X169)</f>
        <v/>
      </c>
      <c r="Z169" s="123">
        <f>IF(B169="",0,N(J169)*X169)</f>
        <v/>
      </c>
      <c r="AA169" s="123">
        <f>IF(B169="",0,N(K169)*X169)</f>
        <v/>
      </c>
      <c r="AB169" s="123">
        <f>IF(B169="",0,N(L169)*X169)</f>
        <v/>
      </c>
      <c r="AC169" s="123">
        <f>IF(B169="",0,N(N169)*X169)</f>
        <v/>
      </c>
    </row>
    <row r="170" ht="15" customHeight="1" s="83">
      <c r="A170" s="120" t="n"/>
      <c r="B170" s="116" t="n"/>
      <c r="C170" s="116" t="n"/>
      <c r="D170" s="116" t="n"/>
      <c r="E170" s="116" t="n"/>
      <c r="F170" s="116" t="n"/>
      <c r="G170" s="116" t="n"/>
      <c r="H170" s="121">
        <f>IF(G170="","",IF(ISNUMBER(SEARCH("CAPITA",UPPER(G170))),651110,IF(ISNUMBER(SEARCH("REFUERZO",UPPER(G170))),651110,IF(ISNUMBER(SEARCH("VACUNACION",UPPER(G170))),651110,IF(ISNUMBER(SEARCH("ENFERMERIA",UPPER(G170))),651110,IF(ISNUMBER(SEARCH("APORTES",UPPER(G170))),651110,IF(ISNUMBER(SEARCH("HONORARIOS",UPPER(G170))),702010,IF(ISNUMBER(SEARCH("ADMINISTRACION",UPPER(G170))),702010,IF(ISNUMBER(SEARCH("GERENCIAMIENTO",UPPER(G170))),702010,IF(ISNUMBER(SEARCH("ALQUILER",UPPER(G170))),702010,IF(ISNUMBER(SEARCH("AUDITORIA",UPPER(G170))),702010,IF(ISNUMBER(SEARCH("PRESTACIONAL",UPPER(G170))),702010,702010))))))))))))</f>
        <v/>
      </c>
      <c r="I170" s="122" t="n"/>
      <c r="J170" s="122" t="n"/>
      <c r="K170" s="123">
        <f>IF(N(I170)&gt;0,ROUND(N(I170)*IVA_general,2),0)</f>
        <v/>
      </c>
      <c r="L170" s="122" t="n">
        <v>0</v>
      </c>
      <c r="M170" s="122" t="n"/>
      <c r="N170" s="123">
        <f>IF(SUM(I170:M170)=0,"",SUM(I170:M170))</f>
        <v/>
      </c>
      <c r="O170" s="124">
        <f>IF(A170="","",TEXT(A170,"yyyy-mm"))</f>
        <v/>
      </c>
      <c r="P170" s="121">
        <f>IF(A170="","",YEAR(A170))</f>
        <v/>
      </c>
      <c r="Q170" s="121">
        <f>IF(A170="","",MONTH(A170))</f>
        <v/>
      </c>
      <c r="R170" s="116" t="n"/>
      <c r="S170" s="116" t="n"/>
      <c r="T170" s="120" t="n"/>
      <c r="U170" s="122" t="n">
        <v>0</v>
      </c>
      <c r="V170" s="123">
        <f>IF(B170="","",N170-U170)</f>
        <v/>
      </c>
      <c r="W170" s="116" t="n"/>
      <c r="X170" s="125">
        <f>IF(B170="","",IF(LEFT(B170,2)="NC",-1,1))</f>
        <v/>
      </c>
      <c r="Y170" s="123">
        <f>IF(B170="",0,N(I170)*X170)</f>
        <v/>
      </c>
      <c r="Z170" s="123">
        <f>IF(B170="",0,N(J170)*X170)</f>
        <v/>
      </c>
      <c r="AA170" s="123">
        <f>IF(B170="",0,N(K170)*X170)</f>
        <v/>
      </c>
      <c r="AB170" s="123">
        <f>IF(B170="",0,N(L170)*X170)</f>
        <v/>
      </c>
      <c r="AC170" s="123">
        <f>IF(B170="",0,N(N170)*X170)</f>
        <v/>
      </c>
    </row>
    <row r="171" ht="15" customHeight="1" s="83">
      <c r="A171" s="120" t="n"/>
      <c r="B171" s="116" t="n"/>
      <c r="C171" s="116" t="n"/>
      <c r="D171" s="116" t="n"/>
      <c r="E171" s="116" t="n"/>
      <c r="F171" s="116" t="n"/>
      <c r="G171" s="116" t="n"/>
      <c r="H171" s="121">
        <f>IF(G171="","",IF(ISNUMBER(SEARCH("CAPITA",UPPER(G171))),651110,IF(ISNUMBER(SEARCH("REFUERZO",UPPER(G171))),651110,IF(ISNUMBER(SEARCH("VACUNACION",UPPER(G171))),651110,IF(ISNUMBER(SEARCH("ENFERMERIA",UPPER(G171))),651110,IF(ISNUMBER(SEARCH("APORTES",UPPER(G171))),651110,IF(ISNUMBER(SEARCH("HONORARIOS",UPPER(G171))),702010,IF(ISNUMBER(SEARCH("ADMINISTRACION",UPPER(G171))),702010,IF(ISNUMBER(SEARCH("GERENCIAMIENTO",UPPER(G171))),702010,IF(ISNUMBER(SEARCH("ALQUILER",UPPER(G171))),702010,IF(ISNUMBER(SEARCH("AUDITORIA",UPPER(G171))),702010,IF(ISNUMBER(SEARCH("PRESTACIONAL",UPPER(G171))),702010,702010))))))))))))</f>
        <v/>
      </c>
      <c r="I171" s="122" t="n"/>
      <c r="J171" s="122" t="n"/>
      <c r="K171" s="123">
        <f>IF(N(I171)&gt;0,ROUND(N(I171)*IVA_general,2),0)</f>
        <v/>
      </c>
      <c r="L171" s="122" t="n">
        <v>0</v>
      </c>
      <c r="M171" s="122" t="n"/>
      <c r="N171" s="123">
        <f>IF(SUM(I171:M171)=0,"",SUM(I171:M171))</f>
        <v/>
      </c>
      <c r="O171" s="124">
        <f>IF(A171="","",TEXT(A171,"yyyy-mm"))</f>
        <v/>
      </c>
      <c r="P171" s="121">
        <f>IF(A171="","",YEAR(A171))</f>
        <v/>
      </c>
      <c r="Q171" s="121">
        <f>IF(A171="","",MONTH(A171))</f>
        <v/>
      </c>
      <c r="R171" s="116" t="n"/>
      <c r="S171" s="116" t="n"/>
      <c r="T171" s="120" t="n"/>
      <c r="U171" s="122" t="n">
        <v>0</v>
      </c>
      <c r="V171" s="123">
        <f>IF(B171="","",N171-U171)</f>
        <v/>
      </c>
      <c r="W171" s="116" t="n"/>
      <c r="X171" s="125">
        <f>IF(B171="","",IF(LEFT(B171,2)="NC",-1,1))</f>
        <v/>
      </c>
      <c r="Y171" s="123">
        <f>IF(B171="",0,N(I171)*X171)</f>
        <v/>
      </c>
      <c r="Z171" s="123">
        <f>IF(B171="",0,N(J171)*X171)</f>
        <v/>
      </c>
      <c r="AA171" s="123">
        <f>IF(B171="",0,N(K171)*X171)</f>
        <v/>
      </c>
      <c r="AB171" s="123">
        <f>IF(B171="",0,N(L171)*X171)</f>
        <v/>
      </c>
      <c r="AC171" s="123">
        <f>IF(B171="",0,N(N171)*X171)</f>
        <v/>
      </c>
    </row>
    <row r="172" ht="15" customHeight="1" s="83">
      <c r="A172" s="120" t="n"/>
      <c r="B172" s="116" t="n"/>
      <c r="C172" s="116" t="n"/>
      <c r="D172" s="116" t="n"/>
      <c r="E172" s="116" t="n"/>
      <c r="F172" s="116" t="n"/>
      <c r="G172" s="116" t="n"/>
      <c r="H172" s="121">
        <f>IF(G172="","",IF(ISNUMBER(SEARCH("CAPITA",UPPER(G172))),651110,IF(ISNUMBER(SEARCH("REFUERZO",UPPER(G172))),651110,IF(ISNUMBER(SEARCH("VACUNACION",UPPER(G172))),651110,IF(ISNUMBER(SEARCH("ENFERMERIA",UPPER(G172))),651110,IF(ISNUMBER(SEARCH("APORTES",UPPER(G172))),651110,IF(ISNUMBER(SEARCH("HONORARIOS",UPPER(G172))),702010,IF(ISNUMBER(SEARCH("ADMINISTRACION",UPPER(G172))),702010,IF(ISNUMBER(SEARCH("GERENCIAMIENTO",UPPER(G172))),702010,IF(ISNUMBER(SEARCH("ALQUILER",UPPER(G172))),702010,IF(ISNUMBER(SEARCH("AUDITORIA",UPPER(G172))),702010,IF(ISNUMBER(SEARCH("PRESTACIONAL",UPPER(G172))),702010,702010))))))))))))</f>
        <v/>
      </c>
      <c r="I172" s="122" t="n"/>
      <c r="J172" s="122" t="n"/>
      <c r="K172" s="123">
        <f>IF(N(I172)&gt;0,ROUND(N(I172)*IVA_general,2),0)</f>
        <v/>
      </c>
      <c r="L172" s="122" t="n">
        <v>0</v>
      </c>
      <c r="M172" s="122" t="n"/>
      <c r="N172" s="123">
        <f>IF(SUM(I172:M172)=0,"",SUM(I172:M172))</f>
        <v/>
      </c>
      <c r="O172" s="124">
        <f>IF(A172="","",TEXT(A172,"yyyy-mm"))</f>
        <v/>
      </c>
      <c r="P172" s="121">
        <f>IF(A172="","",YEAR(A172))</f>
        <v/>
      </c>
      <c r="Q172" s="121">
        <f>IF(A172="","",MONTH(A172))</f>
        <v/>
      </c>
      <c r="R172" s="116" t="n"/>
      <c r="S172" s="116" t="n"/>
      <c r="T172" s="120" t="n"/>
      <c r="U172" s="122" t="n">
        <v>0</v>
      </c>
      <c r="V172" s="123">
        <f>IF(B172="","",N172-U172)</f>
        <v/>
      </c>
      <c r="W172" s="116" t="n"/>
      <c r="X172" s="125">
        <f>IF(B172="","",IF(LEFT(B172,2)="NC",-1,1))</f>
        <v/>
      </c>
      <c r="Y172" s="123">
        <f>IF(B172="",0,N(I172)*X172)</f>
        <v/>
      </c>
      <c r="Z172" s="123">
        <f>IF(B172="",0,N(J172)*X172)</f>
        <v/>
      </c>
      <c r="AA172" s="123">
        <f>IF(B172="",0,N(K172)*X172)</f>
        <v/>
      </c>
      <c r="AB172" s="123">
        <f>IF(B172="",0,N(L172)*X172)</f>
        <v/>
      </c>
      <c r="AC172" s="123">
        <f>IF(B172="",0,N(N172)*X172)</f>
        <v/>
      </c>
    </row>
    <row r="173" ht="15" customHeight="1" s="83">
      <c r="A173" s="120" t="n"/>
      <c r="B173" s="116" t="n"/>
      <c r="C173" s="116" t="n"/>
      <c r="D173" s="116" t="n"/>
      <c r="E173" s="116" t="n"/>
      <c r="F173" s="116" t="n"/>
      <c r="G173" s="116" t="n"/>
      <c r="H173" s="121">
        <f>IF(G173="","",IF(ISNUMBER(SEARCH("CAPITA",UPPER(G173))),651110,IF(ISNUMBER(SEARCH("REFUERZO",UPPER(G173))),651110,IF(ISNUMBER(SEARCH("VACUNACION",UPPER(G173))),651110,IF(ISNUMBER(SEARCH("ENFERMERIA",UPPER(G173))),651110,IF(ISNUMBER(SEARCH("APORTES",UPPER(G173))),651110,IF(ISNUMBER(SEARCH("HONORARIOS",UPPER(G173))),702010,IF(ISNUMBER(SEARCH("ADMINISTRACION",UPPER(G173))),702010,IF(ISNUMBER(SEARCH("GERENCIAMIENTO",UPPER(G173))),702010,IF(ISNUMBER(SEARCH("ALQUILER",UPPER(G173))),702010,IF(ISNUMBER(SEARCH("AUDITORIA",UPPER(G173))),702010,IF(ISNUMBER(SEARCH("PRESTACIONAL",UPPER(G173))),702010,702010))))))))))))</f>
        <v/>
      </c>
      <c r="I173" s="122" t="n"/>
      <c r="J173" s="122" t="n"/>
      <c r="K173" s="123">
        <f>IF(N(I173)&gt;0,ROUND(N(I173)*IVA_general,2),0)</f>
        <v/>
      </c>
      <c r="L173" s="122" t="n">
        <v>0</v>
      </c>
      <c r="M173" s="122" t="n"/>
      <c r="N173" s="123">
        <f>IF(SUM(I173:M173)=0,"",SUM(I173:M173))</f>
        <v/>
      </c>
      <c r="O173" s="124">
        <f>IF(A173="","",TEXT(A173,"yyyy-mm"))</f>
        <v/>
      </c>
      <c r="P173" s="121">
        <f>IF(A173="","",YEAR(A173))</f>
        <v/>
      </c>
      <c r="Q173" s="121">
        <f>IF(A173="","",MONTH(A173))</f>
        <v/>
      </c>
      <c r="R173" s="116" t="n"/>
      <c r="S173" s="116" t="n"/>
      <c r="T173" s="120" t="n"/>
      <c r="U173" s="122" t="n">
        <v>0</v>
      </c>
      <c r="V173" s="123">
        <f>IF(B173="","",N173-U173)</f>
        <v/>
      </c>
      <c r="W173" s="116" t="n"/>
      <c r="X173" s="125">
        <f>IF(B173="","",IF(LEFT(B173,2)="NC",-1,1))</f>
        <v/>
      </c>
      <c r="Y173" s="123">
        <f>IF(B173="",0,N(I173)*X173)</f>
        <v/>
      </c>
      <c r="Z173" s="123">
        <f>IF(B173="",0,N(J173)*X173)</f>
        <v/>
      </c>
      <c r="AA173" s="123">
        <f>IF(B173="",0,N(K173)*X173)</f>
        <v/>
      </c>
      <c r="AB173" s="123">
        <f>IF(B173="",0,N(L173)*X173)</f>
        <v/>
      </c>
      <c r="AC173" s="123">
        <f>IF(B173="",0,N(N173)*X173)</f>
        <v/>
      </c>
    </row>
    <row r="174" ht="15" customHeight="1" s="83">
      <c r="A174" s="120" t="n"/>
      <c r="B174" s="116" t="n"/>
      <c r="C174" s="116" t="n"/>
      <c r="D174" s="116" t="n"/>
      <c r="E174" s="116" t="n"/>
      <c r="F174" s="116" t="n"/>
      <c r="G174" s="116" t="n"/>
      <c r="H174" s="121">
        <f>IF(G174="","",IF(ISNUMBER(SEARCH("CAPITA",UPPER(G174))),651110,IF(ISNUMBER(SEARCH("REFUERZO",UPPER(G174))),651110,IF(ISNUMBER(SEARCH("VACUNACION",UPPER(G174))),651110,IF(ISNUMBER(SEARCH("ENFERMERIA",UPPER(G174))),651110,IF(ISNUMBER(SEARCH("APORTES",UPPER(G174))),651110,IF(ISNUMBER(SEARCH("HONORARIOS",UPPER(G174))),702010,IF(ISNUMBER(SEARCH("ADMINISTRACION",UPPER(G174))),702010,IF(ISNUMBER(SEARCH("GERENCIAMIENTO",UPPER(G174))),702010,IF(ISNUMBER(SEARCH("ALQUILER",UPPER(G174))),702010,IF(ISNUMBER(SEARCH("AUDITORIA",UPPER(G174))),702010,IF(ISNUMBER(SEARCH("PRESTACIONAL",UPPER(G174))),702010,702010))))))))))))</f>
        <v/>
      </c>
      <c r="I174" s="122" t="n"/>
      <c r="J174" s="122" t="n"/>
      <c r="K174" s="123">
        <f>IF(N(I174)&gt;0,ROUND(N(I174)*IVA_general,2),0)</f>
        <v/>
      </c>
      <c r="L174" s="122" t="n">
        <v>0</v>
      </c>
      <c r="M174" s="122" t="n"/>
      <c r="N174" s="123">
        <f>IF(SUM(I174:M174)=0,"",SUM(I174:M174))</f>
        <v/>
      </c>
      <c r="O174" s="124">
        <f>IF(A174="","",TEXT(A174,"yyyy-mm"))</f>
        <v/>
      </c>
      <c r="P174" s="121">
        <f>IF(A174="","",YEAR(A174))</f>
        <v/>
      </c>
      <c r="Q174" s="121">
        <f>IF(A174="","",MONTH(A174))</f>
        <v/>
      </c>
      <c r="R174" s="116" t="n"/>
      <c r="S174" s="116" t="n"/>
      <c r="T174" s="120" t="n"/>
      <c r="U174" s="122" t="n">
        <v>0</v>
      </c>
      <c r="V174" s="123">
        <f>IF(B174="","",N174-U174)</f>
        <v/>
      </c>
      <c r="W174" s="116" t="n"/>
      <c r="X174" s="125">
        <f>IF(B174="","",IF(LEFT(B174,2)="NC",-1,1))</f>
        <v/>
      </c>
      <c r="Y174" s="123">
        <f>IF(B174="",0,N(I174)*X174)</f>
        <v/>
      </c>
      <c r="Z174" s="123">
        <f>IF(B174="",0,N(J174)*X174)</f>
        <v/>
      </c>
      <c r="AA174" s="123">
        <f>IF(B174="",0,N(K174)*X174)</f>
        <v/>
      </c>
      <c r="AB174" s="123">
        <f>IF(B174="",0,N(L174)*X174)</f>
        <v/>
      </c>
      <c r="AC174" s="123">
        <f>IF(B174="",0,N(N174)*X174)</f>
        <v/>
      </c>
    </row>
    <row r="175" ht="15" customHeight="1" s="83">
      <c r="A175" s="120" t="n"/>
      <c r="B175" s="116" t="n"/>
      <c r="C175" s="116" t="n"/>
      <c r="D175" s="116" t="n"/>
      <c r="E175" s="116" t="n"/>
      <c r="F175" s="116" t="n"/>
      <c r="G175" s="116" t="n"/>
      <c r="H175" s="121">
        <f>IF(G175="","",IF(ISNUMBER(SEARCH("CAPITA",UPPER(G175))),651110,IF(ISNUMBER(SEARCH("REFUERZO",UPPER(G175))),651110,IF(ISNUMBER(SEARCH("VACUNACION",UPPER(G175))),651110,IF(ISNUMBER(SEARCH("ENFERMERIA",UPPER(G175))),651110,IF(ISNUMBER(SEARCH("APORTES",UPPER(G175))),651110,IF(ISNUMBER(SEARCH("HONORARIOS",UPPER(G175))),702010,IF(ISNUMBER(SEARCH("ADMINISTRACION",UPPER(G175))),702010,IF(ISNUMBER(SEARCH("GERENCIAMIENTO",UPPER(G175))),702010,IF(ISNUMBER(SEARCH("ALQUILER",UPPER(G175))),702010,IF(ISNUMBER(SEARCH("AUDITORIA",UPPER(G175))),702010,IF(ISNUMBER(SEARCH("PRESTACIONAL",UPPER(G175))),702010,702010))))))))))))</f>
        <v/>
      </c>
      <c r="I175" s="122" t="n"/>
      <c r="J175" s="122" t="n"/>
      <c r="K175" s="123">
        <f>IF(N(I175)&gt;0,ROUND(N(I175)*IVA_general,2),0)</f>
        <v/>
      </c>
      <c r="L175" s="122" t="n">
        <v>0</v>
      </c>
      <c r="M175" s="122" t="n"/>
      <c r="N175" s="123">
        <f>IF(SUM(I175:M175)=0,"",SUM(I175:M175))</f>
        <v/>
      </c>
      <c r="O175" s="124">
        <f>IF(A175="","",TEXT(A175,"yyyy-mm"))</f>
        <v/>
      </c>
      <c r="P175" s="121">
        <f>IF(A175="","",YEAR(A175))</f>
        <v/>
      </c>
      <c r="Q175" s="121">
        <f>IF(A175="","",MONTH(A175))</f>
        <v/>
      </c>
      <c r="R175" s="116" t="n"/>
      <c r="S175" s="116" t="n"/>
      <c r="T175" s="120" t="n"/>
      <c r="U175" s="122" t="n">
        <v>0</v>
      </c>
      <c r="V175" s="123">
        <f>IF(B175="","",N175-U175)</f>
        <v/>
      </c>
      <c r="W175" s="116" t="n"/>
      <c r="X175" s="125">
        <f>IF(B175="","",IF(LEFT(B175,2)="NC",-1,1))</f>
        <v/>
      </c>
      <c r="Y175" s="123">
        <f>IF(B175="",0,N(I175)*X175)</f>
        <v/>
      </c>
      <c r="Z175" s="123">
        <f>IF(B175="",0,N(J175)*X175)</f>
        <v/>
      </c>
      <c r="AA175" s="123">
        <f>IF(B175="",0,N(K175)*X175)</f>
        <v/>
      </c>
      <c r="AB175" s="123">
        <f>IF(B175="",0,N(L175)*X175)</f>
        <v/>
      </c>
      <c r="AC175" s="123">
        <f>IF(B175="",0,N(N175)*X175)</f>
        <v/>
      </c>
    </row>
    <row r="176" ht="15" customHeight="1" s="83">
      <c r="A176" s="120" t="n"/>
      <c r="B176" s="116" t="n"/>
      <c r="C176" s="116" t="n"/>
      <c r="D176" s="116" t="n"/>
      <c r="E176" s="116" t="n"/>
      <c r="F176" s="116" t="n"/>
      <c r="G176" s="116" t="n"/>
      <c r="H176" s="121">
        <f>IF(G176="","",IF(ISNUMBER(SEARCH("CAPITA",UPPER(G176))),651110,IF(ISNUMBER(SEARCH("REFUERZO",UPPER(G176))),651110,IF(ISNUMBER(SEARCH("VACUNACION",UPPER(G176))),651110,IF(ISNUMBER(SEARCH("ENFERMERIA",UPPER(G176))),651110,IF(ISNUMBER(SEARCH("APORTES",UPPER(G176))),651110,IF(ISNUMBER(SEARCH("HONORARIOS",UPPER(G176))),702010,IF(ISNUMBER(SEARCH("ADMINISTRACION",UPPER(G176))),702010,IF(ISNUMBER(SEARCH("GERENCIAMIENTO",UPPER(G176))),702010,IF(ISNUMBER(SEARCH("ALQUILER",UPPER(G176))),702010,IF(ISNUMBER(SEARCH("AUDITORIA",UPPER(G176))),702010,IF(ISNUMBER(SEARCH("PRESTACIONAL",UPPER(G176))),702010,702010))))))))))))</f>
        <v/>
      </c>
      <c r="I176" s="122" t="n"/>
      <c r="J176" s="122" t="n"/>
      <c r="K176" s="123">
        <f>IF(N(I176)&gt;0,ROUND(N(I176)*IVA_general,2),0)</f>
        <v/>
      </c>
      <c r="L176" s="122" t="n">
        <v>0</v>
      </c>
      <c r="M176" s="122" t="n"/>
      <c r="N176" s="123">
        <f>IF(SUM(I176:M176)=0,"",SUM(I176:M176))</f>
        <v/>
      </c>
      <c r="O176" s="124">
        <f>IF(A176="","",TEXT(A176,"yyyy-mm"))</f>
        <v/>
      </c>
      <c r="P176" s="121">
        <f>IF(A176="","",YEAR(A176))</f>
        <v/>
      </c>
      <c r="Q176" s="121">
        <f>IF(A176="","",MONTH(A176))</f>
        <v/>
      </c>
      <c r="R176" s="116" t="n"/>
      <c r="S176" s="116" t="n"/>
      <c r="T176" s="120" t="n"/>
      <c r="U176" s="122" t="n">
        <v>0</v>
      </c>
      <c r="V176" s="123">
        <f>IF(B176="","",N176-U176)</f>
        <v/>
      </c>
      <c r="W176" s="116" t="n"/>
      <c r="X176" s="125">
        <f>IF(B176="","",IF(LEFT(B176,2)="NC",-1,1))</f>
        <v/>
      </c>
      <c r="Y176" s="123">
        <f>IF(B176="",0,N(I176)*X176)</f>
        <v/>
      </c>
      <c r="Z176" s="123">
        <f>IF(B176="",0,N(J176)*X176)</f>
        <v/>
      </c>
      <c r="AA176" s="123">
        <f>IF(B176="",0,N(K176)*X176)</f>
        <v/>
      </c>
      <c r="AB176" s="123">
        <f>IF(B176="",0,N(L176)*X176)</f>
        <v/>
      </c>
      <c r="AC176" s="123">
        <f>IF(B176="",0,N(N176)*X176)</f>
        <v/>
      </c>
    </row>
    <row r="177" ht="15" customHeight="1" s="83">
      <c r="A177" s="120" t="n"/>
      <c r="B177" s="116" t="n"/>
      <c r="C177" s="116" t="n"/>
      <c r="D177" s="116" t="n"/>
      <c r="E177" s="116" t="n"/>
      <c r="F177" s="116" t="n"/>
      <c r="G177" s="116" t="n"/>
      <c r="H177" s="121">
        <f>IF(G177="","",IF(ISNUMBER(SEARCH("CAPITA",UPPER(G177))),651110,IF(ISNUMBER(SEARCH("REFUERZO",UPPER(G177))),651110,IF(ISNUMBER(SEARCH("VACUNACION",UPPER(G177))),651110,IF(ISNUMBER(SEARCH("ENFERMERIA",UPPER(G177))),651110,IF(ISNUMBER(SEARCH("APORTES",UPPER(G177))),651110,IF(ISNUMBER(SEARCH("HONORARIOS",UPPER(G177))),702010,IF(ISNUMBER(SEARCH("ADMINISTRACION",UPPER(G177))),702010,IF(ISNUMBER(SEARCH("GERENCIAMIENTO",UPPER(G177))),702010,IF(ISNUMBER(SEARCH("ALQUILER",UPPER(G177))),702010,IF(ISNUMBER(SEARCH("AUDITORIA",UPPER(G177))),702010,IF(ISNUMBER(SEARCH("PRESTACIONAL",UPPER(G177))),702010,702010))))))))))))</f>
        <v/>
      </c>
      <c r="I177" s="122" t="n"/>
      <c r="J177" s="122" t="n"/>
      <c r="K177" s="123">
        <f>IF(N(I177)&gt;0,ROUND(N(I177)*IVA_general,2),0)</f>
        <v/>
      </c>
      <c r="L177" s="122" t="n">
        <v>0</v>
      </c>
      <c r="M177" s="122" t="n"/>
      <c r="N177" s="123">
        <f>IF(SUM(I177:M177)=0,"",SUM(I177:M177))</f>
        <v/>
      </c>
      <c r="O177" s="124">
        <f>IF(A177="","",TEXT(A177,"yyyy-mm"))</f>
        <v/>
      </c>
      <c r="P177" s="121">
        <f>IF(A177="","",YEAR(A177))</f>
        <v/>
      </c>
      <c r="Q177" s="121">
        <f>IF(A177="","",MONTH(A177))</f>
        <v/>
      </c>
      <c r="R177" s="116" t="n"/>
      <c r="S177" s="116" t="n"/>
      <c r="T177" s="120" t="n"/>
      <c r="U177" s="122" t="n">
        <v>0</v>
      </c>
      <c r="V177" s="123">
        <f>IF(B177="","",N177-U177)</f>
        <v/>
      </c>
      <c r="W177" s="116" t="n"/>
      <c r="X177" s="125">
        <f>IF(B177="","",IF(LEFT(B177,2)="NC",-1,1))</f>
        <v/>
      </c>
      <c r="Y177" s="123">
        <f>IF(B177="",0,N(I177)*X177)</f>
        <v/>
      </c>
      <c r="Z177" s="123">
        <f>IF(B177="",0,N(J177)*X177)</f>
        <v/>
      </c>
      <c r="AA177" s="123">
        <f>IF(B177="",0,N(K177)*X177)</f>
        <v/>
      </c>
      <c r="AB177" s="123">
        <f>IF(B177="",0,N(L177)*X177)</f>
        <v/>
      </c>
      <c r="AC177" s="123">
        <f>IF(B177="",0,N(N177)*X177)</f>
        <v/>
      </c>
    </row>
    <row r="178" ht="15" customHeight="1" s="83">
      <c r="A178" s="120" t="n"/>
      <c r="B178" s="116" t="n"/>
      <c r="C178" s="116" t="n"/>
      <c r="D178" s="116" t="n"/>
      <c r="E178" s="116" t="n"/>
      <c r="F178" s="116" t="n"/>
      <c r="G178" s="116" t="n"/>
      <c r="H178" s="121">
        <f>IF(G178="","",IF(ISNUMBER(SEARCH("CAPITA",UPPER(G178))),651110,IF(ISNUMBER(SEARCH("REFUERZO",UPPER(G178))),651110,IF(ISNUMBER(SEARCH("VACUNACION",UPPER(G178))),651110,IF(ISNUMBER(SEARCH("ENFERMERIA",UPPER(G178))),651110,IF(ISNUMBER(SEARCH("APORTES",UPPER(G178))),651110,IF(ISNUMBER(SEARCH("HONORARIOS",UPPER(G178))),702010,IF(ISNUMBER(SEARCH("ADMINISTRACION",UPPER(G178))),702010,IF(ISNUMBER(SEARCH("GERENCIAMIENTO",UPPER(G178))),702010,IF(ISNUMBER(SEARCH("ALQUILER",UPPER(G178))),702010,IF(ISNUMBER(SEARCH("AUDITORIA",UPPER(G178))),702010,IF(ISNUMBER(SEARCH("PRESTACIONAL",UPPER(G178))),702010,702010))))))))))))</f>
        <v/>
      </c>
      <c r="I178" s="122" t="n"/>
      <c r="J178" s="122" t="n"/>
      <c r="K178" s="123">
        <f>IF(N(I178)&gt;0,ROUND(N(I178)*IVA_general,2),0)</f>
        <v/>
      </c>
      <c r="L178" s="122" t="n">
        <v>0</v>
      </c>
      <c r="M178" s="122" t="n"/>
      <c r="N178" s="123">
        <f>IF(SUM(I178:M178)=0,"",SUM(I178:M178))</f>
        <v/>
      </c>
      <c r="O178" s="124">
        <f>IF(A178="","",TEXT(A178,"yyyy-mm"))</f>
        <v/>
      </c>
      <c r="P178" s="121">
        <f>IF(A178="","",YEAR(A178))</f>
        <v/>
      </c>
      <c r="Q178" s="121">
        <f>IF(A178="","",MONTH(A178))</f>
        <v/>
      </c>
      <c r="R178" s="116" t="n"/>
      <c r="S178" s="116" t="n"/>
      <c r="T178" s="120" t="n"/>
      <c r="U178" s="122" t="n">
        <v>0</v>
      </c>
      <c r="V178" s="123">
        <f>IF(B178="","",N178-U178)</f>
        <v/>
      </c>
      <c r="W178" s="116" t="n"/>
      <c r="X178" s="125">
        <f>IF(B178="","",IF(LEFT(B178,2)="NC",-1,1))</f>
        <v/>
      </c>
      <c r="Y178" s="123">
        <f>IF(B178="",0,N(I178)*X178)</f>
        <v/>
      </c>
      <c r="Z178" s="123">
        <f>IF(B178="",0,N(J178)*X178)</f>
        <v/>
      </c>
      <c r="AA178" s="123">
        <f>IF(B178="",0,N(K178)*X178)</f>
        <v/>
      </c>
      <c r="AB178" s="123">
        <f>IF(B178="",0,N(L178)*X178)</f>
        <v/>
      </c>
      <c r="AC178" s="123">
        <f>IF(B178="",0,N(N178)*X178)</f>
        <v/>
      </c>
    </row>
    <row r="179" ht="15" customHeight="1" s="83">
      <c r="A179" s="120" t="n"/>
      <c r="B179" s="116" t="n"/>
      <c r="C179" s="116" t="n"/>
      <c r="D179" s="116" t="n"/>
      <c r="E179" s="116" t="n"/>
      <c r="F179" s="116" t="n"/>
      <c r="G179" s="116" t="n"/>
      <c r="H179" s="121">
        <f>IF(G179="","",IF(ISNUMBER(SEARCH("CAPITA",UPPER(G179))),651110,IF(ISNUMBER(SEARCH("REFUERZO",UPPER(G179))),651110,IF(ISNUMBER(SEARCH("VACUNACION",UPPER(G179))),651110,IF(ISNUMBER(SEARCH("ENFERMERIA",UPPER(G179))),651110,IF(ISNUMBER(SEARCH("APORTES",UPPER(G179))),651110,IF(ISNUMBER(SEARCH("HONORARIOS",UPPER(G179))),702010,IF(ISNUMBER(SEARCH("ADMINISTRACION",UPPER(G179))),702010,IF(ISNUMBER(SEARCH("GERENCIAMIENTO",UPPER(G179))),702010,IF(ISNUMBER(SEARCH("ALQUILER",UPPER(G179))),702010,IF(ISNUMBER(SEARCH("AUDITORIA",UPPER(G179))),702010,IF(ISNUMBER(SEARCH("PRESTACIONAL",UPPER(G179))),702010,702010))))))))))))</f>
        <v/>
      </c>
      <c r="I179" s="122" t="n"/>
      <c r="J179" s="122" t="n"/>
      <c r="K179" s="123">
        <f>IF(N(I179)&gt;0,ROUND(N(I179)*IVA_general,2),0)</f>
        <v/>
      </c>
      <c r="L179" s="122" t="n">
        <v>0</v>
      </c>
      <c r="M179" s="122" t="n"/>
      <c r="N179" s="123">
        <f>IF(SUM(I179:M179)=0,"",SUM(I179:M179))</f>
        <v/>
      </c>
      <c r="O179" s="124">
        <f>IF(A179="","",TEXT(A179,"yyyy-mm"))</f>
        <v/>
      </c>
      <c r="P179" s="121">
        <f>IF(A179="","",YEAR(A179))</f>
        <v/>
      </c>
      <c r="Q179" s="121">
        <f>IF(A179="","",MONTH(A179))</f>
        <v/>
      </c>
      <c r="R179" s="116" t="n"/>
      <c r="S179" s="116" t="n"/>
      <c r="T179" s="120" t="n"/>
      <c r="U179" s="122" t="n">
        <v>0</v>
      </c>
      <c r="V179" s="123">
        <f>IF(B179="","",N179-U179)</f>
        <v/>
      </c>
      <c r="W179" s="116" t="n"/>
      <c r="X179" s="125">
        <f>IF(B179="","",IF(LEFT(B179,2)="NC",-1,1))</f>
        <v/>
      </c>
      <c r="Y179" s="123">
        <f>IF(B179="",0,N(I179)*X179)</f>
        <v/>
      </c>
      <c r="Z179" s="123">
        <f>IF(B179="",0,N(J179)*X179)</f>
        <v/>
      </c>
      <c r="AA179" s="123">
        <f>IF(B179="",0,N(K179)*X179)</f>
        <v/>
      </c>
      <c r="AB179" s="123">
        <f>IF(B179="",0,N(L179)*X179)</f>
        <v/>
      </c>
      <c r="AC179" s="123">
        <f>IF(B179="",0,N(N179)*X179)</f>
        <v/>
      </c>
    </row>
    <row r="180" ht="15" customHeight="1" s="83">
      <c r="A180" s="120" t="n"/>
      <c r="B180" s="116" t="n"/>
      <c r="C180" s="116" t="n"/>
      <c r="D180" s="116" t="n"/>
      <c r="E180" s="116" t="n"/>
      <c r="F180" s="116" t="n"/>
      <c r="G180" s="116" t="n"/>
      <c r="H180" s="121">
        <f>IF(G180="","",IF(ISNUMBER(SEARCH("CAPITA",UPPER(G180))),651110,IF(ISNUMBER(SEARCH("REFUERZO",UPPER(G180))),651110,IF(ISNUMBER(SEARCH("VACUNACION",UPPER(G180))),651110,IF(ISNUMBER(SEARCH("ENFERMERIA",UPPER(G180))),651110,IF(ISNUMBER(SEARCH("APORTES",UPPER(G180))),651110,IF(ISNUMBER(SEARCH("HONORARIOS",UPPER(G180))),702010,IF(ISNUMBER(SEARCH("ADMINISTRACION",UPPER(G180))),702010,IF(ISNUMBER(SEARCH("GERENCIAMIENTO",UPPER(G180))),702010,IF(ISNUMBER(SEARCH("ALQUILER",UPPER(G180))),702010,IF(ISNUMBER(SEARCH("AUDITORIA",UPPER(G180))),702010,IF(ISNUMBER(SEARCH("PRESTACIONAL",UPPER(G180))),702010,702010))))))))))))</f>
        <v/>
      </c>
      <c r="I180" s="122" t="n"/>
      <c r="J180" s="122" t="n"/>
      <c r="K180" s="123">
        <f>IF(N(I180)&gt;0,ROUND(N(I180)*IVA_general,2),0)</f>
        <v/>
      </c>
      <c r="L180" s="122" t="n">
        <v>0</v>
      </c>
      <c r="M180" s="122" t="n"/>
      <c r="N180" s="123">
        <f>IF(SUM(I180:M180)=0,"",SUM(I180:M180))</f>
        <v/>
      </c>
      <c r="O180" s="124">
        <f>IF(A180="","",TEXT(A180,"yyyy-mm"))</f>
        <v/>
      </c>
      <c r="P180" s="121">
        <f>IF(A180="","",YEAR(A180))</f>
        <v/>
      </c>
      <c r="Q180" s="121">
        <f>IF(A180="","",MONTH(A180))</f>
        <v/>
      </c>
      <c r="R180" s="116" t="n"/>
      <c r="S180" s="116" t="n"/>
      <c r="T180" s="120" t="n"/>
      <c r="U180" s="122" t="n">
        <v>0</v>
      </c>
      <c r="V180" s="123">
        <f>IF(B180="","",N180-U180)</f>
        <v/>
      </c>
      <c r="W180" s="116" t="n"/>
      <c r="X180" s="125">
        <f>IF(B180="","",IF(LEFT(B180,2)="NC",-1,1))</f>
        <v/>
      </c>
      <c r="Y180" s="123">
        <f>IF(B180="",0,N(I180)*X180)</f>
        <v/>
      </c>
      <c r="Z180" s="123">
        <f>IF(B180="",0,N(J180)*X180)</f>
        <v/>
      </c>
      <c r="AA180" s="123">
        <f>IF(B180="",0,N(K180)*X180)</f>
        <v/>
      </c>
      <c r="AB180" s="123">
        <f>IF(B180="",0,N(L180)*X180)</f>
        <v/>
      </c>
      <c r="AC180" s="123">
        <f>IF(B180="",0,N(N180)*X180)</f>
        <v/>
      </c>
    </row>
    <row r="181" ht="15" customHeight="1" s="83">
      <c r="A181" s="120" t="n"/>
      <c r="B181" s="116" t="n"/>
      <c r="C181" s="116" t="n"/>
      <c r="D181" s="116" t="n"/>
      <c r="E181" s="116" t="n"/>
      <c r="F181" s="116" t="n"/>
      <c r="G181" s="116" t="n"/>
      <c r="H181" s="121">
        <f>IF(G181="","",IF(ISNUMBER(SEARCH("CAPITA",UPPER(G181))),651110,IF(ISNUMBER(SEARCH("REFUERZO",UPPER(G181))),651110,IF(ISNUMBER(SEARCH("VACUNACION",UPPER(G181))),651110,IF(ISNUMBER(SEARCH("ENFERMERIA",UPPER(G181))),651110,IF(ISNUMBER(SEARCH("APORTES",UPPER(G181))),651110,IF(ISNUMBER(SEARCH("HONORARIOS",UPPER(G181))),702010,IF(ISNUMBER(SEARCH("ADMINISTRACION",UPPER(G181))),702010,IF(ISNUMBER(SEARCH("GERENCIAMIENTO",UPPER(G181))),702010,IF(ISNUMBER(SEARCH("ALQUILER",UPPER(G181))),702010,IF(ISNUMBER(SEARCH("AUDITORIA",UPPER(G181))),702010,IF(ISNUMBER(SEARCH("PRESTACIONAL",UPPER(G181))),702010,702010))))))))))))</f>
        <v/>
      </c>
      <c r="I181" s="122" t="n"/>
      <c r="J181" s="122" t="n"/>
      <c r="K181" s="123">
        <f>IF(N(I181)&gt;0,ROUND(N(I181)*IVA_general,2),0)</f>
        <v/>
      </c>
      <c r="L181" s="122" t="n">
        <v>0</v>
      </c>
      <c r="M181" s="122" t="n"/>
      <c r="N181" s="123">
        <f>IF(SUM(I181:M181)=0,"",SUM(I181:M181))</f>
        <v/>
      </c>
      <c r="O181" s="124">
        <f>IF(A181="","",TEXT(A181,"yyyy-mm"))</f>
        <v/>
      </c>
      <c r="P181" s="121">
        <f>IF(A181="","",YEAR(A181))</f>
        <v/>
      </c>
      <c r="Q181" s="121">
        <f>IF(A181="","",MONTH(A181))</f>
        <v/>
      </c>
      <c r="R181" s="116" t="n"/>
      <c r="S181" s="116" t="n"/>
      <c r="T181" s="120" t="n"/>
      <c r="U181" s="122" t="n">
        <v>0</v>
      </c>
      <c r="V181" s="123">
        <f>IF(B181="","",N181-U181)</f>
        <v/>
      </c>
      <c r="W181" s="116" t="n"/>
      <c r="X181" s="125">
        <f>IF(B181="","",IF(LEFT(B181,2)="NC",-1,1))</f>
        <v/>
      </c>
      <c r="Y181" s="123">
        <f>IF(B181="",0,N(I181)*X181)</f>
        <v/>
      </c>
      <c r="Z181" s="123">
        <f>IF(B181="",0,N(J181)*X181)</f>
        <v/>
      </c>
      <c r="AA181" s="123">
        <f>IF(B181="",0,N(K181)*X181)</f>
        <v/>
      </c>
      <c r="AB181" s="123">
        <f>IF(B181="",0,N(L181)*X181)</f>
        <v/>
      </c>
      <c r="AC181" s="123">
        <f>IF(B181="",0,N(N181)*X181)</f>
        <v/>
      </c>
    </row>
    <row r="182" ht="15" customHeight="1" s="83">
      <c r="A182" s="120" t="n"/>
      <c r="B182" s="116" t="n"/>
      <c r="C182" s="116" t="n"/>
      <c r="D182" s="116" t="n"/>
      <c r="E182" s="116" t="n"/>
      <c r="F182" s="116" t="n"/>
      <c r="G182" s="116" t="n"/>
      <c r="H182" s="121">
        <f>IF(G182="","",IF(ISNUMBER(SEARCH("CAPITA",UPPER(G182))),651110,IF(ISNUMBER(SEARCH("REFUERZO",UPPER(G182))),651110,IF(ISNUMBER(SEARCH("VACUNACION",UPPER(G182))),651110,IF(ISNUMBER(SEARCH("ENFERMERIA",UPPER(G182))),651110,IF(ISNUMBER(SEARCH("APORTES",UPPER(G182))),651110,IF(ISNUMBER(SEARCH("HONORARIOS",UPPER(G182))),702010,IF(ISNUMBER(SEARCH("ADMINISTRACION",UPPER(G182))),702010,IF(ISNUMBER(SEARCH("GERENCIAMIENTO",UPPER(G182))),702010,IF(ISNUMBER(SEARCH("ALQUILER",UPPER(G182))),702010,IF(ISNUMBER(SEARCH("AUDITORIA",UPPER(G182))),702010,IF(ISNUMBER(SEARCH("PRESTACIONAL",UPPER(G182))),702010,702010))))))))))))</f>
        <v/>
      </c>
      <c r="I182" s="122" t="n"/>
      <c r="J182" s="122" t="n"/>
      <c r="K182" s="123">
        <f>IF(N(I182)&gt;0,ROUND(N(I182)*IVA_general,2),0)</f>
        <v/>
      </c>
      <c r="L182" s="122" t="n">
        <v>0</v>
      </c>
      <c r="M182" s="122" t="n"/>
      <c r="N182" s="123">
        <f>IF(SUM(I182:M182)=0,"",SUM(I182:M182))</f>
        <v/>
      </c>
      <c r="O182" s="124">
        <f>IF(A182="","",TEXT(A182,"yyyy-mm"))</f>
        <v/>
      </c>
      <c r="P182" s="121">
        <f>IF(A182="","",YEAR(A182))</f>
        <v/>
      </c>
      <c r="Q182" s="121">
        <f>IF(A182="","",MONTH(A182))</f>
        <v/>
      </c>
      <c r="R182" s="116" t="n"/>
      <c r="S182" s="116" t="n"/>
      <c r="T182" s="120" t="n"/>
      <c r="U182" s="122" t="n">
        <v>0</v>
      </c>
      <c r="V182" s="123">
        <f>IF(B182="","",N182-U182)</f>
        <v/>
      </c>
      <c r="W182" s="116" t="n"/>
      <c r="X182" s="125">
        <f>IF(B182="","",IF(LEFT(B182,2)="NC",-1,1))</f>
        <v/>
      </c>
      <c r="Y182" s="123">
        <f>IF(B182="",0,N(I182)*X182)</f>
        <v/>
      </c>
      <c r="Z182" s="123">
        <f>IF(B182="",0,N(J182)*X182)</f>
        <v/>
      </c>
      <c r="AA182" s="123">
        <f>IF(B182="",0,N(K182)*X182)</f>
        <v/>
      </c>
      <c r="AB182" s="123">
        <f>IF(B182="",0,N(L182)*X182)</f>
        <v/>
      </c>
      <c r="AC182" s="123">
        <f>IF(B182="",0,N(N182)*X182)</f>
        <v/>
      </c>
    </row>
    <row r="183" ht="15" customHeight="1" s="83">
      <c r="A183" s="120" t="n"/>
      <c r="B183" s="116" t="n"/>
      <c r="C183" s="116" t="n"/>
      <c r="D183" s="116" t="n"/>
      <c r="E183" s="116" t="n"/>
      <c r="F183" s="116" t="n"/>
      <c r="G183" s="116" t="n"/>
      <c r="H183" s="121">
        <f>IF(G183="","",IF(ISNUMBER(SEARCH("CAPITA",UPPER(G183))),651110,IF(ISNUMBER(SEARCH("REFUERZO",UPPER(G183))),651110,IF(ISNUMBER(SEARCH("VACUNACION",UPPER(G183))),651110,IF(ISNUMBER(SEARCH("ENFERMERIA",UPPER(G183))),651110,IF(ISNUMBER(SEARCH("APORTES",UPPER(G183))),651110,IF(ISNUMBER(SEARCH("HONORARIOS",UPPER(G183))),702010,IF(ISNUMBER(SEARCH("ADMINISTRACION",UPPER(G183))),702010,IF(ISNUMBER(SEARCH("GERENCIAMIENTO",UPPER(G183))),702010,IF(ISNUMBER(SEARCH("ALQUILER",UPPER(G183))),702010,IF(ISNUMBER(SEARCH("AUDITORIA",UPPER(G183))),702010,IF(ISNUMBER(SEARCH("PRESTACIONAL",UPPER(G183))),702010,702010))))))))))))</f>
        <v/>
      </c>
      <c r="I183" s="122" t="n"/>
      <c r="J183" s="122" t="n"/>
      <c r="K183" s="123">
        <f>IF(N(I183)&gt;0,ROUND(N(I183)*IVA_general,2),0)</f>
        <v/>
      </c>
      <c r="L183" s="122" t="n">
        <v>0</v>
      </c>
      <c r="M183" s="122" t="n"/>
      <c r="N183" s="123">
        <f>IF(SUM(I183:M183)=0,"",SUM(I183:M183))</f>
        <v/>
      </c>
      <c r="O183" s="124">
        <f>IF(A183="","",TEXT(A183,"yyyy-mm"))</f>
        <v/>
      </c>
      <c r="P183" s="121">
        <f>IF(A183="","",YEAR(A183))</f>
        <v/>
      </c>
      <c r="Q183" s="121">
        <f>IF(A183="","",MONTH(A183))</f>
        <v/>
      </c>
      <c r="R183" s="116" t="n"/>
      <c r="S183" s="116" t="n"/>
      <c r="T183" s="120" t="n"/>
      <c r="U183" s="122" t="n">
        <v>0</v>
      </c>
      <c r="V183" s="123">
        <f>IF(B183="","",N183-U183)</f>
        <v/>
      </c>
      <c r="W183" s="116" t="n"/>
      <c r="X183" s="125">
        <f>IF(B183="","",IF(LEFT(B183,2)="NC",-1,1))</f>
        <v/>
      </c>
      <c r="Y183" s="123">
        <f>IF(B183="",0,N(I183)*X183)</f>
        <v/>
      </c>
      <c r="Z183" s="123">
        <f>IF(B183="",0,N(J183)*X183)</f>
        <v/>
      </c>
      <c r="AA183" s="123">
        <f>IF(B183="",0,N(K183)*X183)</f>
        <v/>
      </c>
      <c r="AB183" s="123">
        <f>IF(B183="",0,N(L183)*X183)</f>
        <v/>
      </c>
      <c r="AC183" s="123">
        <f>IF(B183="",0,N(N183)*X183)</f>
        <v/>
      </c>
    </row>
    <row r="184" ht="15" customHeight="1" s="83">
      <c r="A184" s="120" t="n"/>
      <c r="B184" s="116" t="n"/>
      <c r="C184" s="116" t="n"/>
      <c r="D184" s="116" t="n"/>
      <c r="E184" s="116" t="n"/>
      <c r="F184" s="116" t="n"/>
      <c r="G184" s="116" t="n"/>
      <c r="H184" s="121">
        <f>IF(G184="","",IF(ISNUMBER(SEARCH("CAPITA",UPPER(G184))),651110,IF(ISNUMBER(SEARCH("REFUERZO",UPPER(G184))),651110,IF(ISNUMBER(SEARCH("VACUNACION",UPPER(G184))),651110,IF(ISNUMBER(SEARCH("ENFERMERIA",UPPER(G184))),651110,IF(ISNUMBER(SEARCH("APORTES",UPPER(G184))),651110,IF(ISNUMBER(SEARCH("HONORARIOS",UPPER(G184))),702010,IF(ISNUMBER(SEARCH("ADMINISTRACION",UPPER(G184))),702010,IF(ISNUMBER(SEARCH("GERENCIAMIENTO",UPPER(G184))),702010,IF(ISNUMBER(SEARCH("ALQUILER",UPPER(G184))),702010,IF(ISNUMBER(SEARCH("AUDITORIA",UPPER(G184))),702010,IF(ISNUMBER(SEARCH("PRESTACIONAL",UPPER(G184))),702010,702010))))))))))))</f>
        <v/>
      </c>
      <c r="I184" s="122" t="n"/>
      <c r="J184" s="122" t="n"/>
      <c r="K184" s="123">
        <f>IF(N(I184)&gt;0,ROUND(N(I184)*IVA_general,2),0)</f>
        <v/>
      </c>
      <c r="L184" s="122" t="n">
        <v>0</v>
      </c>
      <c r="M184" s="122" t="n"/>
      <c r="N184" s="123">
        <f>IF(SUM(I184:M184)=0,"",SUM(I184:M184))</f>
        <v/>
      </c>
      <c r="O184" s="124">
        <f>IF(A184="","",TEXT(A184,"yyyy-mm"))</f>
        <v/>
      </c>
      <c r="P184" s="121">
        <f>IF(A184="","",YEAR(A184))</f>
        <v/>
      </c>
      <c r="Q184" s="121">
        <f>IF(A184="","",MONTH(A184))</f>
        <v/>
      </c>
      <c r="R184" s="116" t="n"/>
      <c r="S184" s="116" t="n"/>
      <c r="T184" s="120" t="n"/>
      <c r="U184" s="122" t="n">
        <v>0</v>
      </c>
      <c r="V184" s="123">
        <f>IF(B184="","",N184-U184)</f>
        <v/>
      </c>
      <c r="W184" s="116" t="n"/>
      <c r="X184" s="125">
        <f>IF(B184="","",IF(LEFT(B184,2)="NC",-1,1))</f>
        <v/>
      </c>
      <c r="Y184" s="123">
        <f>IF(B184="",0,N(I184)*X184)</f>
        <v/>
      </c>
      <c r="Z184" s="123">
        <f>IF(B184="",0,N(J184)*X184)</f>
        <v/>
      </c>
      <c r="AA184" s="123">
        <f>IF(B184="",0,N(K184)*X184)</f>
        <v/>
      </c>
      <c r="AB184" s="123">
        <f>IF(B184="",0,N(L184)*X184)</f>
        <v/>
      </c>
      <c r="AC184" s="123">
        <f>IF(B184="",0,N(N184)*X184)</f>
        <v/>
      </c>
    </row>
    <row r="185" ht="15" customHeight="1" s="83">
      <c r="A185" s="120" t="n"/>
      <c r="B185" s="116" t="n"/>
      <c r="C185" s="116" t="n"/>
      <c r="D185" s="116" t="n"/>
      <c r="E185" s="116" t="n"/>
      <c r="F185" s="116" t="n"/>
      <c r="G185" s="116" t="n"/>
      <c r="H185" s="121">
        <f>IF(G185="","",IF(ISNUMBER(SEARCH("CAPITA",UPPER(G185))),651110,IF(ISNUMBER(SEARCH("REFUERZO",UPPER(G185))),651110,IF(ISNUMBER(SEARCH("VACUNACION",UPPER(G185))),651110,IF(ISNUMBER(SEARCH("ENFERMERIA",UPPER(G185))),651110,IF(ISNUMBER(SEARCH("APORTES",UPPER(G185))),651110,IF(ISNUMBER(SEARCH("HONORARIOS",UPPER(G185))),702010,IF(ISNUMBER(SEARCH("ADMINISTRACION",UPPER(G185))),702010,IF(ISNUMBER(SEARCH("GERENCIAMIENTO",UPPER(G185))),702010,IF(ISNUMBER(SEARCH("ALQUILER",UPPER(G185))),702010,IF(ISNUMBER(SEARCH("AUDITORIA",UPPER(G185))),702010,IF(ISNUMBER(SEARCH("PRESTACIONAL",UPPER(G185))),702010,702010))))))))))))</f>
        <v/>
      </c>
      <c r="I185" s="122" t="n"/>
      <c r="J185" s="122" t="n"/>
      <c r="K185" s="123">
        <f>IF(N(I185)&gt;0,ROUND(N(I185)*IVA_general,2),0)</f>
        <v/>
      </c>
      <c r="L185" s="122" t="n">
        <v>0</v>
      </c>
      <c r="M185" s="122" t="n"/>
      <c r="N185" s="123">
        <f>IF(SUM(I185:M185)=0,"",SUM(I185:M185))</f>
        <v/>
      </c>
      <c r="O185" s="124">
        <f>IF(A185="","",TEXT(A185,"yyyy-mm"))</f>
        <v/>
      </c>
      <c r="P185" s="121">
        <f>IF(A185="","",YEAR(A185))</f>
        <v/>
      </c>
      <c r="Q185" s="121">
        <f>IF(A185="","",MONTH(A185))</f>
        <v/>
      </c>
      <c r="R185" s="116" t="n"/>
      <c r="S185" s="116" t="n"/>
      <c r="T185" s="120" t="n"/>
      <c r="U185" s="122" t="n">
        <v>0</v>
      </c>
      <c r="V185" s="123">
        <f>IF(B185="","",N185-U185)</f>
        <v/>
      </c>
      <c r="W185" s="116" t="n"/>
      <c r="X185" s="125">
        <f>IF(B185="","",IF(LEFT(B185,2)="NC",-1,1))</f>
        <v/>
      </c>
      <c r="Y185" s="123">
        <f>IF(B185="",0,N(I185)*X185)</f>
        <v/>
      </c>
      <c r="Z185" s="123">
        <f>IF(B185="",0,N(J185)*X185)</f>
        <v/>
      </c>
      <c r="AA185" s="123">
        <f>IF(B185="",0,N(K185)*X185)</f>
        <v/>
      </c>
      <c r="AB185" s="123">
        <f>IF(B185="",0,N(L185)*X185)</f>
        <v/>
      </c>
      <c r="AC185" s="123">
        <f>IF(B185="",0,N(N185)*X185)</f>
        <v/>
      </c>
    </row>
    <row r="186" ht="15" customHeight="1" s="83">
      <c r="A186" s="120" t="n"/>
      <c r="B186" s="116" t="n"/>
      <c r="C186" s="116" t="n"/>
      <c r="D186" s="116" t="n"/>
      <c r="E186" s="116" t="n"/>
      <c r="F186" s="116" t="n"/>
      <c r="G186" s="116" t="n"/>
      <c r="H186" s="121">
        <f>IF(G186="","",IF(ISNUMBER(SEARCH("CAPITA",UPPER(G186))),651110,IF(ISNUMBER(SEARCH("REFUERZO",UPPER(G186))),651110,IF(ISNUMBER(SEARCH("VACUNACION",UPPER(G186))),651110,IF(ISNUMBER(SEARCH("ENFERMERIA",UPPER(G186))),651110,IF(ISNUMBER(SEARCH("APORTES",UPPER(G186))),651110,IF(ISNUMBER(SEARCH("HONORARIOS",UPPER(G186))),702010,IF(ISNUMBER(SEARCH("ADMINISTRACION",UPPER(G186))),702010,IF(ISNUMBER(SEARCH("GERENCIAMIENTO",UPPER(G186))),702010,IF(ISNUMBER(SEARCH("ALQUILER",UPPER(G186))),702010,IF(ISNUMBER(SEARCH("AUDITORIA",UPPER(G186))),702010,IF(ISNUMBER(SEARCH("PRESTACIONAL",UPPER(G186))),702010,702010))))))))))))</f>
        <v/>
      </c>
      <c r="I186" s="122" t="n"/>
      <c r="J186" s="122" t="n"/>
      <c r="K186" s="123">
        <f>IF(N(I186)&gt;0,ROUND(N(I186)*IVA_general,2),0)</f>
        <v/>
      </c>
      <c r="L186" s="122" t="n">
        <v>0</v>
      </c>
      <c r="M186" s="122" t="n"/>
      <c r="N186" s="123">
        <f>IF(SUM(I186:M186)=0,"",SUM(I186:M186))</f>
        <v/>
      </c>
      <c r="O186" s="124">
        <f>IF(A186="","",TEXT(A186,"yyyy-mm"))</f>
        <v/>
      </c>
      <c r="P186" s="121">
        <f>IF(A186="","",YEAR(A186))</f>
        <v/>
      </c>
      <c r="Q186" s="121">
        <f>IF(A186="","",MONTH(A186))</f>
        <v/>
      </c>
      <c r="R186" s="116" t="n"/>
      <c r="S186" s="116" t="n"/>
      <c r="T186" s="120" t="n"/>
      <c r="U186" s="122" t="n">
        <v>0</v>
      </c>
      <c r="V186" s="123">
        <f>IF(B186="","",N186-U186)</f>
        <v/>
      </c>
      <c r="W186" s="116" t="n"/>
      <c r="X186" s="125">
        <f>IF(B186="","",IF(LEFT(B186,2)="NC",-1,1))</f>
        <v/>
      </c>
      <c r="Y186" s="123">
        <f>IF(B186="",0,N(I186)*X186)</f>
        <v/>
      </c>
      <c r="Z186" s="123">
        <f>IF(B186="",0,N(J186)*X186)</f>
        <v/>
      </c>
      <c r="AA186" s="123">
        <f>IF(B186="",0,N(K186)*X186)</f>
        <v/>
      </c>
      <c r="AB186" s="123">
        <f>IF(B186="",0,N(L186)*X186)</f>
        <v/>
      </c>
      <c r="AC186" s="123">
        <f>IF(B186="",0,N(N186)*X186)</f>
        <v/>
      </c>
    </row>
    <row r="187" ht="15" customHeight="1" s="83">
      <c r="A187" s="120" t="n"/>
      <c r="B187" s="116" t="n"/>
      <c r="C187" s="116" t="n"/>
      <c r="D187" s="116" t="n"/>
      <c r="E187" s="116" t="n"/>
      <c r="F187" s="116" t="n"/>
      <c r="G187" s="116" t="n"/>
      <c r="H187" s="121">
        <f>IF(G187="","",IF(ISNUMBER(SEARCH("CAPITA",UPPER(G187))),651110,IF(ISNUMBER(SEARCH("REFUERZO",UPPER(G187))),651110,IF(ISNUMBER(SEARCH("VACUNACION",UPPER(G187))),651110,IF(ISNUMBER(SEARCH("ENFERMERIA",UPPER(G187))),651110,IF(ISNUMBER(SEARCH("APORTES",UPPER(G187))),651110,IF(ISNUMBER(SEARCH("HONORARIOS",UPPER(G187))),702010,IF(ISNUMBER(SEARCH("ADMINISTRACION",UPPER(G187))),702010,IF(ISNUMBER(SEARCH("GERENCIAMIENTO",UPPER(G187))),702010,IF(ISNUMBER(SEARCH("ALQUILER",UPPER(G187))),702010,IF(ISNUMBER(SEARCH("AUDITORIA",UPPER(G187))),702010,IF(ISNUMBER(SEARCH("PRESTACIONAL",UPPER(G187))),702010,702010))))))))))))</f>
        <v/>
      </c>
      <c r="I187" s="122" t="n"/>
      <c r="J187" s="122" t="n"/>
      <c r="K187" s="123">
        <f>IF(N(I187)&gt;0,ROUND(N(I187)*IVA_general,2),0)</f>
        <v/>
      </c>
      <c r="L187" s="122" t="n">
        <v>0</v>
      </c>
      <c r="M187" s="122" t="n"/>
      <c r="N187" s="123">
        <f>IF(SUM(I187:M187)=0,"",SUM(I187:M187))</f>
        <v/>
      </c>
      <c r="O187" s="124">
        <f>IF(A187="","",TEXT(A187,"yyyy-mm"))</f>
        <v/>
      </c>
      <c r="P187" s="121">
        <f>IF(A187="","",YEAR(A187))</f>
        <v/>
      </c>
      <c r="Q187" s="121">
        <f>IF(A187="","",MONTH(A187))</f>
        <v/>
      </c>
      <c r="R187" s="116" t="n"/>
      <c r="S187" s="116" t="n"/>
      <c r="T187" s="120" t="n"/>
      <c r="U187" s="122" t="n">
        <v>0</v>
      </c>
      <c r="V187" s="123">
        <f>IF(B187="","",N187-U187)</f>
        <v/>
      </c>
      <c r="W187" s="116" t="n"/>
      <c r="X187" s="125">
        <f>IF(B187="","",IF(LEFT(B187,2)="NC",-1,1))</f>
        <v/>
      </c>
      <c r="Y187" s="123">
        <f>IF(B187="",0,N(I187)*X187)</f>
        <v/>
      </c>
      <c r="Z187" s="123">
        <f>IF(B187="",0,N(J187)*X187)</f>
        <v/>
      </c>
      <c r="AA187" s="123">
        <f>IF(B187="",0,N(K187)*X187)</f>
        <v/>
      </c>
      <c r="AB187" s="123">
        <f>IF(B187="",0,N(L187)*X187)</f>
        <v/>
      </c>
      <c r="AC187" s="123">
        <f>IF(B187="",0,N(N187)*X187)</f>
        <v/>
      </c>
    </row>
    <row r="188" ht="15" customHeight="1" s="83">
      <c r="A188" s="120" t="n"/>
      <c r="B188" s="116" t="n"/>
      <c r="C188" s="116" t="n"/>
      <c r="D188" s="116" t="n"/>
      <c r="E188" s="116" t="n"/>
      <c r="F188" s="116" t="n"/>
      <c r="G188" s="116" t="n"/>
      <c r="H188" s="121">
        <f>IF(G188="","",IF(ISNUMBER(SEARCH("CAPITA",UPPER(G188))),651110,IF(ISNUMBER(SEARCH("REFUERZO",UPPER(G188))),651110,IF(ISNUMBER(SEARCH("VACUNACION",UPPER(G188))),651110,IF(ISNUMBER(SEARCH("ENFERMERIA",UPPER(G188))),651110,IF(ISNUMBER(SEARCH("APORTES",UPPER(G188))),651110,IF(ISNUMBER(SEARCH("HONORARIOS",UPPER(G188))),702010,IF(ISNUMBER(SEARCH("ADMINISTRACION",UPPER(G188))),702010,IF(ISNUMBER(SEARCH("GERENCIAMIENTO",UPPER(G188))),702010,IF(ISNUMBER(SEARCH("ALQUILER",UPPER(G188))),702010,IF(ISNUMBER(SEARCH("AUDITORIA",UPPER(G188))),702010,IF(ISNUMBER(SEARCH("PRESTACIONAL",UPPER(G188))),702010,702010))))))))))))</f>
        <v/>
      </c>
      <c r="I188" s="122" t="n"/>
      <c r="J188" s="122" t="n"/>
      <c r="K188" s="123">
        <f>IF(N(I188)&gt;0,ROUND(N(I188)*IVA_general,2),0)</f>
        <v/>
      </c>
      <c r="L188" s="122" t="n">
        <v>0</v>
      </c>
      <c r="M188" s="122" t="n"/>
      <c r="N188" s="123">
        <f>IF(SUM(I188:M188)=0,"",SUM(I188:M188))</f>
        <v/>
      </c>
      <c r="O188" s="124">
        <f>IF(A188="","",TEXT(A188,"yyyy-mm"))</f>
        <v/>
      </c>
      <c r="P188" s="121">
        <f>IF(A188="","",YEAR(A188))</f>
        <v/>
      </c>
      <c r="Q188" s="121">
        <f>IF(A188="","",MONTH(A188))</f>
        <v/>
      </c>
      <c r="R188" s="116" t="n"/>
      <c r="S188" s="116" t="n"/>
      <c r="T188" s="120" t="n"/>
      <c r="U188" s="122" t="n">
        <v>0</v>
      </c>
      <c r="V188" s="123">
        <f>IF(B188="","",N188-U188)</f>
        <v/>
      </c>
      <c r="W188" s="116" t="n"/>
      <c r="X188" s="125">
        <f>IF(B188="","",IF(LEFT(B188,2)="NC",-1,1))</f>
        <v/>
      </c>
      <c r="Y188" s="123">
        <f>IF(B188="",0,N(I188)*X188)</f>
        <v/>
      </c>
      <c r="Z188" s="123">
        <f>IF(B188="",0,N(J188)*X188)</f>
        <v/>
      </c>
      <c r="AA188" s="123">
        <f>IF(B188="",0,N(K188)*X188)</f>
        <v/>
      </c>
      <c r="AB188" s="123">
        <f>IF(B188="",0,N(L188)*X188)</f>
        <v/>
      </c>
      <c r="AC188" s="123">
        <f>IF(B188="",0,N(N188)*X188)</f>
        <v/>
      </c>
    </row>
    <row r="189" ht="15" customHeight="1" s="83">
      <c r="A189" s="120" t="n"/>
      <c r="B189" s="116" t="n"/>
      <c r="C189" s="116" t="n"/>
      <c r="D189" s="116" t="n"/>
      <c r="E189" s="116" t="n"/>
      <c r="F189" s="116" t="n"/>
      <c r="G189" s="116" t="n"/>
      <c r="H189" s="121">
        <f>IF(G189="","",IF(ISNUMBER(SEARCH("CAPITA",UPPER(G189))),651110,IF(ISNUMBER(SEARCH("REFUERZO",UPPER(G189))),651110,IF(ISNUMBER(SEARCH("VACUNACION",UPPER(G189))),651110,IF(ISNUMBER(SEARCH("ENFERMERIA",UPPER(G189))),651110,IF(ISNUMBER(SEARCH("APORTES",UPPER(G189))),651110,IF(ISNUMBER(SEARCH("HONORARIOS",UPPER(G189))),702010,IF(ISNUMBER(SEARCH("ADMINISTRACION",UPPER(G189))),702010,IF(ISNUMBER(SEARCH("GERENCIAMIENTO",UPPER(G189))),702010,IF(ISNUMBER(SEARCH("ALQUILER",UPPER(G189))),702010,IF(ISNUMBER(SEARCH("AUDITORIA",UPPER(G189))),702010,IF(ISNUMBER(SEARCH("PRESTACIONAL",UPPER(G189))),702010,702010))))))))))))</f>
        <v/>
      </c>
      <c r="I189" s="122" t="n"/>
      <c r="J189" s="122" t="n"/>
      <c r="K189" s="123">
        <f>IF(N(I189)&gt;0,ROUND(N(I189)*IVA_general,2),0)</f>
        <v/>
      </c>
      <c r="L189" s="122" t="n">
        <v>0</v>
      </c>
      <c r="M189" s="122" t="n"/>
      <c r="N189" s="123">
        <f>IF(SUM(I189:M189)=0,"",SUM(I189:M189))</f>
        <v/>
      </c>
      <c r="O189" s="124">
        <f>IF(A189="","",TEXT(A189,"yyyy-mm"))</f>
        <v/>
      </c>
      <c r="P189" s="121">
        <f>IF(A189="","",YEAR(A189))</f>
        <v/>
      </c>
      <c r="Q189" s="121">
        <f>IF(A189="","",MONTH(A189))</f>
        <v/>
      </c>
      <c r="R189" s="116" t="n"/>
      <c r="S189" s="116" t="n"/>
      <c r="T189" s="120" t="n"/>
      <c r="U189" s="122" t="n">
        <v>0</v>
      </c>
      <c r="V189" s="123">
        <f>IF(B189="","",N189-U189)</f>
        <v/>
      </c>
      <c r="W189" s="116" t="n"/>
      <c r="X189" s="125">
        <f>IF(B189="","",IF(LEFT(B189,2)="NC",-1,1))</f>
        <v/>
      </c>
      <c r="Y189" s="123">
        <f>IF(B189="",0,N(I189)*X189)</f>
        <v/>
      </c>
      <c r="Z189" s="123">
        <f>IF(B189="",0,N(J189)*X189)</f>
        <v/>
      </c>
      <c r="AA189" s="123">
        <f>IF(B189="",0,N(K189)*X189)</f>
        <v/>
      </c>
      <c r="AB189" s="123">
        <f>IF(B189="",0,N(L189)*X189)</f>
        <v/>
      </c>
      <c r="AC189" s="123">
        <f>IF(B189="",0,N(N189)*X189)</f>
        <v/>
      </c>
    </row>
    <row r="190" ht="15" customHeight="1" s="83">
      <c r="A190" s="120" t="n"/>
      <c r="B190" s="116" t="n"/>
      <c r="C190" s="116" t="n"/>
      <c r="D190" s="116" t="n"/>
      <c r="E190" s="116" t="n"/>
      <c r="F190" s="116" t="n"/>
      <c r="G190" s="116" t="n"/>
      <c r="H190" s="121">
        <f>IF(G190="","",IF(ISNUMBER(SEARCH("CAPITA",UPPER(G190))),651110,IF(ISNUMBER(SEARCH("REFUERZO",UPPER(G190))),651110,IF(ISNUMBER(SEARCH("VACUNACION",UPPER(G190))),651110,IF(ISNUMBER(SEARCH("ENFERMERIA",UPPER(G190))),651110,IF(ISNUMBER(SEARCH("APORTES",UPPER(G190))),651110,IF(ISNUMBER(SEARCH("HONORARIOS",UPPER(G190))),702010,IF(ISNUMBER(SEARCH("ADMINISTRACION",UPPER(G190))),702010,IF(ISNUMBER(SEARCH("GERENCIAMIENTO",UPPER(G190))),702010,IF(ISNUMBER(SEARCH("ALQUILER",UPPER(G190))),702010,IF(ISNUMBER(SEARCH("AUDITORIA",UPPER(G190))),702010,IF(ISNUMBER(SEARCH("PRESTACIONAL",UPPER(G190))),702010,702010))))))))))))</f>
        <v/>
      </c>
      <c r="I190" s="122" t="n"/>
      <c r="J190" s="122" t="n"/>
      <c r="K190" s="123">
        <f>IF(N(I190)&gt;0,ROUND(N(I190)*IVA_general,2),0)</f>
        <v/>
      </c>
      <c r="L190" s="122" t="n">
        <v>0</v>
      </c>
      <c r="M190" s="122" t="n"/>
      <c r="N190" s="123">
        <f>IF(SUM(I190:M190)=0,"",SUM(I190:M190))</f>
        <v/>
      </c>
      <c r="O190" s="124">
        <f>IF(A190="","",TEXT(A190,"yyyy-mm"))</f>
        <v/>
      </c>
      <c r="P190" s="121">
        <f>IF(A190="","",YEAR(A190))</f>
        <v/>
      </c>
      <c r="Q190" s="121">
        <f>IF(A190="","",MONTH(A190))</f>
        <v/>
      </c>
      <c r="R190" s="116" t="n"/>
      <c r="S190" s="116" t="n"/>
      <c r="T190" s="120" t="n"/>
      <c r="U190" s="122" t="n">
        <v>0</v>
      </c>
      <c r="V190" s="123">
        <f>IF(B190="","",N190-U190)</f>
        <v/>
      </c>
      <c r="W190" s="116" t="n"/>
      <c r="X190" s="125">
        <f>IF(B190="","",IF(LEFT(B190,2)="NC",-1,1))</f>
        <v/>
      </c>
      <c r="Y190" s="123">
        <f>IF(B190="",0,N(I190)*X190)</f>
        <v/>
      </c>
      <c r="Z190" s="123">
        <f>IF(B190="",0,N(J190)*X190)</f>
        <v/>
      </c>
      <c r="AA190" s="123">
        <f>IF(B190="",0,N(K190)*X190)</f>
        <v/>
      </c>
      <c r="AB190" s="123">
        <f>IF(B190="",0,N(L190)*X190)</f>
        <v/>
      </c>
      <c r="AC190" s="123">
        <f>IF(B190="",0,N(N190)*X190)</f>
        <v/>
      </c>
    </row>
    <row r="191" ht="15" customHeight="1" s="83">
      <c r="A191" s="120" t="n"/>
      <c r="B191" s="116" t="n"/>
      <c r="C191" s="116" t="n"/>
      <c r="D191" s="116" t="n"/>
      <c r="E191" s="116" t="n"/>
      <c r="F191" s="116" t="n"/>
      <c r="G191" s="116" t="n"/>
      <c r="H191" s="121">
        <f>IF(G191="","",IF(ISNUMBER(SEARCH("CAPITA",UPPER(G191))),651110,IF(ISNUMBER(SEARCH("REFUERZO",UPPER(G191))),651110,IF(ISNUMBER(SEARCH("VACUNACION",UPPER(G191))),651110,IF(ISNUMBER(SEARCH("ENFERMERIA",UPPER(G191))),651110,IF(ISNUMBER(SEARCH("APORTES",UPPER(G191))),651110,IF(ISNUMBER(SEARCH("HONORARIOS",UPPER(G191))),702010,IF(ISNUMBER(SEARCH("ADMINISTRACION",UPPER(G191))),702010,IF(ISNUMBER(SEARCH("GERENCIAMIENTO",UPPER(G191))),702010,IF(ISNUMBER(SEARCH("ALQUILER",UPPER(G191))),702010,IF(ISNUMBER(SEARCH("AUDITORIA",UPPER(G191))),702010,IF(ISNUMBER(SEARCH("PRESTACIONAL",UPPER(G191))),702010,702010))))))))))))</f>
        <v/>
      </c>
      <c r="I191" s="122" t="n"/>
      <c r="J191" s="122" t="n"/>
      <c r="K191" s="123">
        <f>IF(N(I191)&gt;0,ROUND(N(I191)*IVA_general,2),0)</f>
        <v/>
      </c>
      <c r="L191" s="122" t="n">
        <v>0</v>
      </c>
      <c r="M191" s="122" t="n"/>
      <c r="N191" s="123">
        <f>IF(SUM(I191:M191)=0,"",SUM(I191:M191))</f>
        <v/>
      </c>
      <c r="O191" s="124">
        <f>IF(A191="","",TEXT(A191,"yyyy-mm"))</f>
        <v/>
      </c>
      <c r="P191" s="121">
        <f>IF(A191="","",YEAR(A191))</f>
        <v/>
      </c>
      <c r="Q191" s="121">
        <f>IF(A191="","",MONTH(A191))</f>
        <v/>
      </c>
      <c r="R191" s="116" t="n"/>
      <c r="S191" s="116" t="n"/>
      <c r="T191" s="120" t="n"/>
      <c r="U191" s="122" t="n">
        <v>0</v>
      </c>
      <c r="V191" s="123">
        <f>IF(B191="","",N191-U191)</f>
        <v/>
      </c>
      <c r="W191" s="116" t="n"/>
      <c r="X191" s="125">
        <f>IF(B191="","",IF(LEFT(B191,2)="NC",-1,1))</f>
        <v/>
      </c>
      <c r="Y191" s="123">
        <f>IF(B191="",0,N(I191)*X191)</f>
        <v/>
      </c>
      <c r="Z191" s="123">
        <f>IF(B191="",0,N(J191)*X191)</f>
        <v/>
      </c>
      <c r="AA191" s="123">
        <f>IF(B191="",0,N(K191)*X191)</f>
        <v/>
      </c>
      <c r="AB191" s="123">
        <f>IF(B191="",0,N(L191)*X191)</f>
        <v/>
      </c>
      <c r="AC191" s="123">
        <f>IF(B191="",0,N(N191)*X191)</f>
        <v/>
      </c>
    </row>
    <row r="192" ht="15" customHeight="1" s="83">
      <c r="A192" s="120" t="n"/>
      <c r="B192" s="116" t="n"/>
      <c r="C192" s="116" t="n"/>
      <c r="D192" s="116" t="n"/>
      <c r="E192" s="116" t="n"/>
      <c r="F192" s="116" t="n"/>
      <c r="G192" s="116" t="n"/>
      <c r="H192" s="121">
        <f>IF(G192="","",IF(ISNUMBER(SEARCH("CAPITA",UPPER(G192))),651110,IF(ISNUMBER(SEARCH("REFUERZO",UPPER(G192))),651110,IF(ISNUMBER(SEARCH("VACUNACION",UPPER(G192))),651110,IF(ISNUMBER(SEARCH("ENFERMERIA",UPPER(G192))),651110,IF(ISNUMBER(SEARCH("APORTES",UPPER(G192))),651110,IF(ISNUMBER(SEARCH("HONORARIOS",UPPER(G192))),702010,IF(ISNUMBER(SEARCH("ADMINISTRACION",UPPER(G192))),702010,IF(ISNUMBER(SEARCH("GERENCIAMIENTO",UPPER(G192))),702010,IF(ISNUMBER(SEARCH("ALQUILER",UPPER(G192))),702010,IF(ISNUMBER(SEARCH("AUDITORIA",UPPER(G192))),702010,IF(ISNUMBER(SEARCH("PRESTACIONAL",UPPER(G192))),702010,702010))))))))))))</f>
        <v/>
      </c>
      <c r="I192" s="122" t="n"/>
      <c r="J192" s="122" t="n"/>
      <c r="K192" s="123">
        <f>IF(N(I192)&gt;0,ROUND(N(I192)*IVA_general,2),0)</f>
        <v/>
      </c>
      <c r="L192" s="122" t="n">
        <v>0</v>
      </c>
      <c r="M192" s="122" t="n"/>
      <c r="N192" s="123">
        <f>IF(SUM(I192:M192)=0,"",SUM(I192:M192))</f>
        <v/>
      </c>
      <c r="O192" s="124">
        <f>IF(A192="","",TEXT(A192,"yyyy-mm"))</f>
        <v/>
      </c>
      <c r="P192" s="121">
        <f>IF(A192="","",YEAR(A192))</f>
        <v/>
      </c>
      <c r="Q192" s="121">
        <f>IF(A192="","",MONTH(A192))</f>
        <v/>
      </c>
      <c r="R192" s="116" t="n"/>
      <c r="S192" s="116" t="n"/>
      <c r="T192" s="120" t="n"/>
      <c r="U192" s="122" t="n">
        <v>0</v>
      </c>
      <c r="V192" s="123">
        <f>IF(B192="","",N192-U192)</f>
        <v/>
      </c>
      <c r="W192" s="116" t="n"/>
      <c r="X192" s="125">
        <f>IF(B192="","",IF(LEFT(B192,2)="NC",-1,1))</f>
        <v/>
      </c>
      <c r="Y192" s="123">
        <f>IF(B192="",0,N(I192)*X192)</f>
        <v/>
      </c>
      <c r="Z192" s="123">
        <f>IF(B192="",0,N(J192)*X192)</f>
        <v/>
      </c>
      <c r="AA192" s="123">
        <f>IF(B192="",0,N(K192)*X192)</f>
        <v/>
      </c>
      <c r="AB192" s="123">
        <f>IF(B192="",0,N(L192)*X192)</f>
        <v/>
      </c>
      <c r="AC192" s="123">
        <f>IF(B192="",0,N(N192)*X192)</f>
        <v/>
      </c>
    </row>
    <row r="193" ht="15" customHeight="1" s="83">
      <c r="A193" s="120" t="n"/>
      <c r="B193" s="116" t="n"/>
      <c r="C193" s="116" t="n"/>
      <c r="D193" s="116" t="n"/>
      <c r="E193" s="116" t="n"/>
      <c r="F193" s="116" t="n"/>
      <c r="G193" s="116" t="n"/>
      <c r="H193" s="121">
        <f>IF(G193="","",IF(ISNUMBER(SEARCH("CAPITA",UPPER(G193))),651110,IF(ISNUMBER(SEARCH("REFUERZO",UPPER(G193))),651110,IF(ISNUMBER(SEARCH("VACUNACION",UPPER(G193))),651110,IF(ISNUMBER(SEARCH("ENFERMERIA",UPPER(G193))),651110,IF(ISNUMBER(SEARCH("APORTES",UPPER(G193))),651110,IF(ISNUMBER(SEARCH("HONORARIOS",UPPER(G193))),702010,IF(ISNUMBER(SEARCH("ADMINISTRACION",UPPER(G193))),702010,IF(ISNUMBER(SEARCH("GERENCIAMIENTO",UPPER(G193))),702010,IF(ISNUMBER(SEARCH("ALQUILER",UPPER(G193))),702010,IF(ISNUMBER(SEARCH("AUDITORIA",UPPER(G193))),702010,IF(ISNUMBER(SEARCH("PRESTACIONAL",UPPER(G193))),702010,702010))))))))))))</f>
        <v/>
      </c>
      <c r="I193" s="122" t="n"/>
      <c r="J193" s="122" t="n"/>
      <c r="K193" s="123">
        <f>IF(N(I193)&gt;0,ROUND(N(I193)*IVA_general,2),0)</f>
        <v/>
      </c>
      <c r="L193" s="122" t="n">
        <v>0</v>
      </c>
      <c r="M193" s="122" t="n"/>
      <c r="N193" s="123">
        <f>IF(SUM(I193:M193)=0,"",SUM(I193:M193))</f>
        <v/>
      </c>
      <c r="O193" s="124">
        <f>IF(A193="","",TEXT(A193,"yyyy-mm"))</f>
        <v/>
      </c>
      <c r="P193" s="121">
        <f>IF(A193="","",YEAR(A193))</f>
        <v/>
      </c>
      <c r="Q193" s="121">
        <f>IF(A193="","",MONTH(A193))</f>
        <v/>
      </c>
      <c r="R193" s="116" t="n"/>
      <c r="S193" s="116" t="n"/>
      <c r="T193" s="120" t="n"/>
      <c r="U193" s="122" t="n">
        <v>0</v>
      </c>
      <c r="V193" s="123">
        <f>IF(B193="","",N193-U193)</f>
        <v/>
      </c>
      <c r="W193" s="116" t="n"/>
      <c r="X193" s="125">
        <f>IF(B193="","",IF(LEFT(B193,2)="NC",-1,1))</f>
        <v/>
      </c>
      <c r="Y193" s="123">
        <f>IF(B193="",0,N(I193)*X193)</f>
        <v/>
      </c>
      <c r="Z193" s="123">
        <f>IF(B193="",0,N(J193)*X193)</f>
        <v/>
      </c>
      <c r="AA193" s="123">
        <f>IF(B193="",0,N(K193)*X193)</f>
        <v/>
      </c>
      <c r="AB193" s="123">
        <f>IF(B193="",0,N(L193)*X193)</f>
        <v/>
      </c>
      <c r="AC193" s="123">
        <f>IF(B193="",0,N(N193)*X193)</f>
        <v/>
      </c>
    </row>
    <row r="194" ht="15" customHeight="1" s="83">
      <c r="A194" s="120" t="n"/>
      <c r="B194" s="116" t="n"/>
      <c r="C194" s="116" t="n"/>
      <c r="D194" s="116" t="n"/>
      <c r="E194" s="116" t="n"/>
      <c r="F194" s="116" t="n"/>
      <c r="G194" s="116" t="n"/>
      <c r="H194" s="121">
        <f>IF(G194="","",IF(ISNUMBER(SEARCH("CAPITA",UPPER(G194))),651110,IF(ISNUMBER(SEARCH("REFUERZO",UPPER(G194))),651110,IF(ISNUMBER(SEARCH("VACUNACION",UPPER(G194))),651110,IF(ISNUMBER(SEARCH("ENFERMERIA",UPPER(G194))),651110,IF(ISNUMBER(SEARCH("APORTES",UPPER(G194))),651110,IF(ISNUMBER(SEARCH("HONORARIOS",UPPER(G194))),702010,IF(ISNUMBER(SEARCH("ADMINISTRACION",UPPER(G194))),702010,IF(ISNUMBER(SEARCH("GERENCIAMIENTO",UPPER(G194))),702010,IF(ISNUMBER(SEARCH("ALQUILER",UPPER(G194))),702010,IF(ISNUMBER(SEARCH("AUDITORIA",UPPER(G194))),702010,IF(ISNUMBER(SEARCH("PRESTACIONAL",UPPER(G194))),702010,702010))))))))))))</f>
        <v/>
      </c>
      <c r="I194" s="122" t="n"/>
      <c r="J194" s="122" t="n"/>
      <c r="K194" s="123">
        <f>IF(N(I194)&gt;0,ROUND(N(I194)*IVA_general,2),0)</f>
        <v/>
      </c>
      <c r="L194" s="122" t="n">
        <v>0</v>
      </c>
      <c r="M194" s="122" t="n"/>
      <c r="N194" s="123">
        <f>IF(SUM(I194:M194)=0,"",SUM(I194:M194))</f>
        <v/>
      </c>
      <c r="O194" s="124">
        <f>IF(A194="","",TEXT(A194,"yyyy-mm"))</f>
        <v/>
      </c>
      <c r="P194" s="121">
        <f>IF(A194="","",YEAR(A194))</f>
        <v/>
      </c>
      <c r="Q194" s="121">
        <f>IF(A194="","",MONTH(A194))</f>
        <v/>
      </c>
      <c r="R194" s="116" t="n"/>
      <c r="S194" s="116" t="n"/>
      <c r="T194" s="120" t="n"/>
      <c r="U194" s="122" t="n">
        <v>0</v>
      </c>
      <c r="V194" s="123">
        <f>IF(B194="","",N194-U194)</f>
        <v/>
      </c>
      <c r="W194" s="116" t="n"/>
      <c r="X194" s="125">
        <f>IF(B194="","",IF(LEFT(B194,2)="NC",-1,1))</f>
        <v/>
      </c>
      <c r="Y194" s="123">
        <f>IF(B194="",0,N(I194)*X194)</f>
        <v/>
      </c>
      <c r="Z194" s="123">
        <f>IF(B194="",0,N(J194)*X194)</f>
        <v/>
      </c>
      <c r="AA194" s="123">
        <f>IF(B194="",0,N(K194)*X194)</f>
        <v/>
      </c>
      <c r="AB194" s="123">
        <f>IF(B194="",0,N(L194)*X194)</f>
        <v/>
      </c>
      <c r="AC194" s="123">
        <f>IF(B194="",0,N(N194)*X194)</f>
        <v/>
      </c>
    </row>
    <row r="195" ht="15" customHeight="1" s="83">
      <c r="A195" s="120" t="n"/>
      <c r="B195" s="116" t="n"/>
      <c r="C195" s="116" t="n"/>
      <c r="D195" s="116" t="n"/>
      <c r="E195" s="116" t="n"/>
      <c r="F195" s="116" t="n"/>
      <c r="G195" s="116" t="n"/>
      <c r="H195" s="121">
        <f>IF(G195="","",IF(ISNUMBER(SEARCH("CAPITA",UPPER(G195))),651110,IF(ISNUMBER(SEARCH("REFUERZO",UPPER(G195))),651110,IF(ISNUMBER(SEARCH("VACUNACION",UPPER(G195))),651110,IF(ISNUMBER(SEARCH("ENFERMERIA",UPPER(G195))),651110,IF(ISNUMBER(SEARCH("APORTES",UPPER(G195))),651110,IF(ISNUMBER(SEARCH("HONORARIOS",UPPER(G195))),702010,IF(ISNUMBER(SEARCH("ADMINISTRACION",UPPER(G195))),702010,IF(ISNUMBER(SEARCH("GERENCIAMIENTO",UPPER(G195))),702010,IF(ISNUMBER(SEARCH("ALQUILER",UPPER(G195))),702010,IF(ISNUMBER(SEARCH("AUDITORIA",UPPER(G195))),702010,IF(ISNUMBER(SEARCH("PRESTACIONAL",UPPER(G195))),702010,702010))))))))))))</f>
        <v/>
      </c>
      <c r="I195" s="122" t="n"/>
      <c r="J195" s="122" t="n"/>
      <c r="K195" s="123">
        <f>IF(N(I195)&gt;0,ROUND(N(I195)*IVA_general,2),0)</f>
        <v/>
      </c>
      <c r="L195" s="122" t="n">
        <v>0</v>
      </c>
      <c r="M195" s="122" t="n"/>
      <c r="N195" s="123">
        <f>IF(SUM(I195:M195)=0,"",SUM(I195:M195))</f>
        <v/>
      </c>
      <c r="O195" s="124">
        <f>IF(A195="","",TEXT(A195,"yyyy-mm"))</f>
        <v/>
      </c>
      <c r="P195" s="121">
        <f>IF(A195="","",YEAR(A195))</f>
        <v/>
      </c>
      <c r="Q195" s="121">
        <f>IF(A195="","",MONTH(A195))</f>
        <v/>
      </c>
      <c r="R195" s="116" t="n"/>
      <c r="S195" s="116" t="n"/>
      <c r="T195" s="120" t="n"/>
      <c r="U195" s="122" t="n">
        <v>0</v>
      </c>
      <c r="V195" s="123">
        <f>IF(B195="","",N195-U195)</f>
        <v/>
      </c>
      <c r="W195" s="116" t="n"/>
      <c r="X195" s="125">
        <f>IF(B195="","",IF(LEFT(B195,2)="NC",-1,1))</f>
        <v/>
      </c>
      <c r="Y195" s="123">
        <f>IF(B195="",0,N(I195)*X195)</f>
        <v/>
      </c>
      <c r="Z195" s="123">
        <f>IF(B195="",0,N(J195)*X195)</f>
        <v/>
      </c>
      <c r="AA195" s="123">
        <f>IF(B195="",0,N(K195)*X195)</f>
        <v/>
      </c>
      <c r="AB195" s="123">
        <f>IF(B195="",0,N(L195)*X195)</f>
        <v/>
      </c>
      <c r="AC195" s="123">
        <f>IF(B195="",0,N(N195)*X195)</f>
        <v/>
      </c>
    </row>
    <row r="196" ht="15" customHeight="1" s="83">
      <c r="A196" s="120" t="n"/>
      <c r="B196" s="116" t="n"/>
      <c r="C196" s="116" t="n"/>
      <c r="D196" s="116" t="n"/>
      <c r="E196" s="116" t="n"/>
      <c r="F196" s="116" t="n"/>
      <c r="G196" s="116" t="n"/>
      <c r="H196" s="121">
        <f>IF(G196="","",IF(ISNUMBER(SEARCH("CAPITA",UPPER(G196))),651110,IF(ISNUMBER(SEARCH("REFUERZO",UPPER(G196))),651110,IF(ISNUMBER(SEARCH("VACUNACION",UPPER(G196))),651110,IF(ISNUMBER(SEARCH("ENFERMERIA",UPPER(G196))),651110,IF(ISNUMBER(SEARCH("APORTES",UPPER(G196))),651110,IF(ISNUMBER(SEARCH("HONORARIOS",UPPER(G196))),702010,IF(ISNUMBER(SEARCH("ADMINISTRACION",UPPER(G196))),702010,IF(ISNUMBER(SEARCH("GERENCIAMIENTO",UPPER(G196))),702010,IF(ISNUMBER(SEARCH("ALQUILER",UPPER(G196))),702010,IF(ISNUMBER(SEARCH("AUDITORIA",UPPER(G196))),702010,IF(ISNUMBER(SEARCH("PRESTACIONAL",UPPER(G196))),702010,702010))))))))))))</f>
        <v/>
      </c>
      <c r="I196" s="122" t="n"/>
      <c r="J196" s="122" t="n"/>
      <c r="K196" s="123">
        <f>IF(N(I196)&gt;0,ROUND(N(I196)*IVA_general,2),0)</f>
        <v/>
      </c>
      <c r="L196" s="122" t="n">
        <v>0</v>
      </c>
      <c r="M196" s="122" t="n"/>
      <c r="N196" s="123">
        <f>IF(SUM(I196:M196)=0,"",SUM(I196:M196))</f>
        <v/>
      </c>
      <c r="O196" s="124">
        <f>IF(A196="","",TEXT(A196,"yyyy-mm"))</f>
        <v/>
      </c>
      <c r="P196" s="121">
        <f>IF(A196="","",YEAR(A196))</f>
        <v/>
      </c>
      <c r="Q196" s="121">
        <f>IF(A196="","",MONTH(A196))</f>
        <v/>
      </c>
      <c r="R196" s="116" t="n"/>
      <c r="S196" s="116" t="n"/>
      <c r="T196" s="120" t="n"/>
      <c r="U196" s="122" t="n">
        <v>0</v>
      </c>
      <c r="V196" s="123">
        <f>IF(B196="","",N196-U196)</f>
        <v/>
      </c>
      <c r="W196" s="116" t="n"/>
      <c r="X196" s="125">
        <f>IF(B196="","",IF(LEFT(B196,2)="NC",-1,1))</f>
        <v/>
      </c>
      <c r="Y196" s="123">
        <f>IF(B196="",0,N(I196)*X196)</f>
        <v/>
      </c>
      <c r="Z196" s="123">
        <f>IF(B196="",0,N(J196)*X196)</f>
        <v/>
      </c>
      <c r="AA196" s="123">
        <f>IF(B196="",0,N(K196)*X196)</f>
        <v/>
      </c>
      <c r="AB196" s="123">
        <f>IF(B196="",0,N(L196)*X196)</f>
        <v/>
      </c>
      <c r="AC196" s="123">
        <f>IF(B196="",0,N(N196)*X196)</f>
        <v/>
      </c>
    </row>
    <row r="197" ht="15" customHeight="1" s="83">
      <c r="A197" s="120" t="n"/>
      <c r="B197" s="116" t="n"/>
      <c r="C197" s="116" t="n"/>
      <c r="D197" s="116" t="n"/>
      <c r="E197" s="116" t="n"/>
      <c r="F197" s="116" t="n"/>
      <c r="G197" s="116" t="n"/>
      <c r="H197" s="121">
        <f>IF(G197="","",IF(ISNUMBER(SEARCH("CAPITA",UPPER(G197))),651110,IF(ISNUMBER(SEARCH("REFUERZO",UPPER(G197))),651110,IF(ISNUMBER(SEARCH("VACUNACION",UPPER(G197))),651110,IF(ISNUMBER(SEARCH("ENFERMERIA",UPPER(G197))),651110,IF(ISNUMBER(SEARCH("APORTES",UPPER(G197))),651110,IF(ISNUMBER(SEARCH("HONORARIOS",UPPER(G197))),702010,IF(ISNUMBER(SEARCH("ADMINISTRACION",UPPER(G197))),702010,IF(ISNUMBER(SEARCH("GERENCIAMIENTO",UPPER(G197))),702010,IF(ISNUMBER(SEARCH("ALQUILER",UPPER(G197))),702010,IF(ISNUMBER(SEARCH("AUDITORIA",UPPER(G197))),702010,IF(ISNUMBER(SEARCH("PRESTACIONAL",UPPER(G197))),702010,702010))))))))))))</f>
        <v/>
      </c>
      <c r="I197" s="122" t="n"/>
      <c r="J197" s="122" t="n"/>
      <c r="K197" s="123">
        <f>IF(N(I197)&gt;0,ROUND(N(I197)*IVA_general,2),0)</f>
        <v/>
      </c>
      <c r="L197" s="122" t="n">
        <v>0</v>
      </c>
      <c r="M197" s="122" t="n"/>
      <c r="N197" s="123">
        <f>IF(SUM(I197:M197)=0,"",SUM(I197:M197))</f>
        <v/>
      </c>
      <c r="O197" s="124">
        <f>IF(A197="","",TEXT(A197,"yyyy-mm"))</f>
        <v/>
      </c>
      <c r="P197" s="121">
        <f>IF(A197="","",YEAR(A197))</f>
        <v/>
      </c>
      <c r="Q197" s="121">
        <f>IF(A197="","",MONTH(A197))</f>
        <v/>
      </c>
      <c r="R197" s="116" t="n"/>
      <c r="S197" s="116" t="n"/>
      <c r="T197" s="120" t="n"/>
      <c r="U197" s="122" t="n">
        <v>0</v>
      </c>
      <c r="V197" s="123">
        <f>IF(B197="","",N197-U197)</f>
        <v/>
      </c>
      <c r="W197" s="116" t="n"/>
      <c r="X197" s="125">
        <f>IF(B197="","",IF(LEFT(B197,2)="NC",-1,1))</f>
        <v/>
      </c>
      <c r="Y197" s="123">
        <f>IF(B197="",0,N(I197)*X197)</f>
        <v/>
      </c>
      <c r="Z197" s="123">
        <f>IF(B197="",0,N(J197)*X197)</f>
        <v/>
      </c>
      <c r="AA197" s="123">
        <f>IF(B197="",0,N(K197)*X197)</f>
        <v/>
      </c>
      <c r="AB197" s="123">
        <f>IF(B197="",0,N(L197)*X197)</f>
        <v/>
      </c>
      <c r="AC197" s="123">
        <f>IF(B197="",0,N(N197)*X197)</f>
        <v/>
      </c>
    </row>
    <row r="198" ht="15" customHeight="1" s="83">
      <c r="A198" s="120" t="n"/>
      <c r="B198" s="116" t="n"/>
      <c r="C198" s="116" t="n"/>
      <c r="D198" s="116" t="n"/>
      <c r="E198" s="116" t="n"/>
      <c r="F198" s="116" t="n"/>
      <c r="G198" s="116" t="n"/>
      <c r="H198" s="121">
        <f>IF(G198="","",IF(ISNUMBER(SEARCH("CAPITA",UPPER(G198))),651110,IF(ISNUMBER(SEARCH("REFUERZO",UPPER(G198))),651110,IF(ISNUMBER(SEARCH("VACUNACION",UPPER(G198))),651110,IF(ISNUMBER(SEARCH("ENFERMERIA",UPPER(G198))),651110,IF(ISNUMBER(SEARCH("APORTES",UPPER(G198))),651110,IF(ISNUMBER(SEARCH("HONORARIOS",UPPER(G198))),702010,IF(ISNUMBER(SEARCH("ADMINISTRACION",UPPER(G198))),702010,IF(ISNUMBER(SEARCH("GERENCIAMIENTO",UPPER(G198))),702010,IF(ISNUMBER(SEARCH("ALQUILER",UPPER(G198))),702010,IF(ISNUMBER(SEARCH("AUDITORIA",UPPER(G198))),702010,IF(ISNUMBER(SEARCH("PRESTACIONAL",UPPER(G198))),702010,702010))))))))))))</f>
        <v/>
      </c>
      <c r="I198" s="122" t="n"/>
      <c r="J198" s="122" t="n"/>
      <c r="K198" s="123">
        <f>IF(N(I198)&gt;0,ROUND(N(I198)*IVA_general,2),0)</f>
        <v/>
      </c>
      <c r="L198" s="122" t="n">
        <v>0</v>
      </c>
      <c r="M198" s="122" t="n"/>
      <c r="N198" s="123">
        <f>IF(SUM(I198:M198)=0,"",SUM(I198:M198))</f>
        <v/>
      </c>
      <c r="O198" s="124">
        <f>IF(A198="","",TEXT(A198,"yyyy-mm"))</f>
        <v/>
      </c>
      <c r="P198" s="121">
        <f>IF(A198="","",YEAR(A198))</f>
        <v/>
      </c>
      <c r="Q198" s="121">
        <f>IF(A198="","",MONTH(A198))</f>
        <v/>
      </c>
      <c r="R198" s="116" t="n"/>
      <c r="S198" s="116" t="n"/>
      <c r="T198" s="120" t="n"/>
      <c r="U198" s="122" t="n">
        <v>0</v>
      </c>
      <c r="V198" s="123">
        <f>IF(B198="","",N198-U198)</f>
        <v/>
      </c>
      <c r="W198" s="116" t="n"/>
      <c r="X198" s="125">
        <f>IF(B198="","",IF(LEFT(B198,2)="NC",-1,1))</f>
        <v/>
      </c>
      <c r="Y198" s="123">
        <f>IF(B198="",0,N(I198)*X198)</f>
        <v/>
      </c>
      <c r="Z198" s="123">
        <f>IF(B198="",0,N(J198)*X198)</f>
        <v/>
      </c>
      <c r="AA198" s="123">
        <f>IF(B198="",0,N(K198)*X198)</f>
        <v/>
      </c>
      <c r="AB198" s="123">
        <f>IF(B198="",0,N(L198)*X198)</f>
        <v/>
      </c>
      <c r="AC198" s="123">
        <f>IF(B198="",0,N(N198)*X198)</f>
        <v/>
      </c>
    </row>
    <row r="199" ht="15" customHeight="1" s="83">
      <c r="A199" s="120" t="n"/>
      <c r="B199" s="116" t="n"/>
      <c r="C199" s="116" t="n"/>
      <c r="D199" s="116" t="n"/>
      <c r="E199" s="116" t="n"/>
      <c r="F199" s="116" t="n"/>
      <c r="G199" s="116" t="n"/>
      <c r="H199" s="121">
        <f>IF(G199="","",IF(ISNUMBER(SEARCH("CAPITA",UPPER(G199))),651110,IF(ISNUMBER(SEARCH("REFUERZO",UPPER(G199))),651110,IF(ISNUMBER(SEARCH("VACUNACION",UPPER(G199))),651110,IF(ISNUMBER(SEARCH("ENFERMERIA",UPPER(G199))),651110,IF(ISNUMBER(SEARCH("APORTES",UPPER(G199))),651110,IF(ISNUMBER(SEARCH("HONORARIOS",UPPER(G199))),702010,IF(ISNUMBER(SEARCH("ADMINISTRACION",UPPER(G199))),702010,IF(ISNUMBER(SEARCH("GERENCIAMIENTO",UPPER(G199))),702010,IF(ISNUMBER(SEARCH("ALQUILER",UPPER(G199))),702010,IF(ISNUMBER(SEARCH("AUDITORIA",UPPER(G199))),702010,IF(ISNUMBER(SEARCH("PRESTACIONAL",UPPER(G199))),702010,702010))))))))))))</f>
        <v/>
      </c>
      <c r="I199" s="122" t="n"/>
      <c r="J199" s="122" t="n"/>
      <c r="K199" s="123">
        <f>IF(N(I199)&gt;0,ROUND(N(I199)*IVA_general,2),0)</f>
        <v/>
      </c>
      <c r="L199" s="122" t="n">
        <v>0</v>
      </c>
      <c r="M199" s="122" t="n"/>
      <c r="N199" s="123">
        <f>IF(SUM(I199:M199)=0,"",SUM(I199:M199))</f>
        <v/>
      </c>
      <c r="O199" s="124">
        <f>IF(A199="","",TEXT(A199,"yyyy-mm"))</f>
        <v/>
      </c>
      <c r="P199" s="121">
        <f>IF(A199="","",YEAR(A199))</f>
        <v/>
      </c>
      <c r="Q199" s="121">
        <f>IF(A199="","",MONTH(A199))</f>
        <v/>
      </c>
      <c r="R199" s="116" t="n"/>
      <c r="S199" s="116" t="n"/>
      <c r="T199" s="120" t="n"/>
      <c r="U199" s="122" t="n">
        <v>0</v>
      </c>
      <c r="V199" s="123">
        <f>IF(B199="","",N199-U199)</f>
        <v/>
      </c>
      <c r="W199" s="116" t="n"/>
      <c r="X199" s="125">
        <f>IF(B199="","",IF(LEFT(B199,2)="NC",-1,1))</f>
        <v/>
      </c>
      <c r="Y199" s="123">
        <f>IF(B199="",0,N(I199)*X199)</f>
        <v/>
      </c>
      <c r="Z199" s="123">
        <f>IF(B199="",0,N(J199)*X199)</f>
        <v/>
      </c>
      <c r="AA199" s="123">
        <f>IF(B199="",0,N(K199)*X199)</f>
        <v/>
      </c>
      <c r="AB199" s="123">
        <f>IF(B199="",0,N(L199)*X199)</f>
        <v/>
      </c>
      <c r="AC199" s="123">
        <f>IF(B199="",0,N(N199)*X199)</f>
        <v/>
      </c>
    </row>
    <row r="200" ht="15" customHeight="1" s="83">
      <c r="A200" s="120" t="n"/>
      <c r="B200" s="116" t="n"/>
      <c r="C200" s="116" t="n"/>
      <c r="D200" s="116" t="n"/>
      <c r="E200" s="116" t="n"/>
      <c r="F200" s="116" t="n"/>
      <c r="G200" s="116" t="n"/>
      <c r="H200" s="121">
        <f>IF(G200="","",IF(ISNUMBER(SEARCH("CAPITA",UPPER(G200))),651110,IF(ISNUMBER(SEARCH("REFUERZO",UPPER(G200))),651110,IF(ISNUMBER(SEARCH("VACUNACION",UPPER(G200))),651110,IF(ISNUMBER(SEARCH("ENFERMERIA",UPPER(G200))),651110,IF(ISNUMBER(SEARCH("APORTES",UPPER(G200))),651110,IF(ISNUMBER(SEARCH("HONORARIOS",UPPER(G200))),702010,IF(ISNUMBER(SEARCH("ADMINISTRACION",UPPER(G200))),702010,IF(ISNUMBER(SEARCH("GERENCIAMIENTO",UPPER(G200))),702010,IF(ISNUMBER(SEARCH("ALQUILER",UPPER(G200))),702010,IF(ISNUMBER(SEARCH("AUDITORIA",UPPER(G200))),702010,IF(ISNUMBER(SEARCH("PRESTACIONAL",UPPER(G200))),702010,702010))))))))))))</f>
        <v/>
      </c>
      <c r="I200" s="122" t="n"/>
      <c r="J200" s="122" t="n"/>
      <c r="K200" s="123">
        <f>IF(N(I200)&gt;0,ROUND(N(I200)*IVA_general,2),0)</f>
        <v/>
      </c>
      <c r="L200" s="122" t="n">
        <v>0</v>
      </c>
      <c r="M200" s="122" t="n"/>
      <c r="N200" s="123">
        <f>IF(SUM(I200:M200)=0,"",SUM(I200:M200))</f>
        <v/>
      </c>
      <c r="O200" s="124">
        <f>IF(A200="","",TEXT(A200,"yyyy-mm"))</f>
        <v/>
      </c>
      <c r="P200" s="121">
        <f>IF(A200="","",YEAR(A200))</f>
        <v/>
      </c>
      <c r="Q200" s="121">
        <f>IF(A200="","",MONTH(A200))</f>
        <v/>
      </c>
      <c r="R200" s="116" t="n"/>
      <c r="S200" s="116" t="n"/>
      <c r="T200" s="120" t="n"/>
      <c r="U200" s="122" t="n">
        <v>0</v>
      </c>
      <c r="V200" s="123">
        <f>IF(B200="","",N200-U200)</f>
        <v/>
      </c>
      <c r="W200" s="116" t="n"/>
      <c r="X200" s="125">
        <f>IF(B200="","",IF(LEFT(B200,2)="NC",-1,1))</f>
        <v/>
      </c>
      <c r="Y200" s="123">
        <f>IF(B200="",0,N(I200)*X200)</f>
        <v/>
      </c>
      <c r="Z200" s="123">
        <f>IF(B200="",0,N(J200)*X200)</f>
        <v/>
      </c>
      <c r="AA200" s="123">
        <f>IF(B200="",0,N(K200)*X200)</f>
        <v/>
      </c>
      <c r="AB200" s="123">
        <f>IF(B200="",0,N(L200)*X200)</f>
        <v/>
      </c>
      <c r="AC200" s="123">
        <f>IF(B200="",0,N(N200)*X200)</f>
        <v/>
      </c>
    </row>
    <row r="201" ht="15" customHeight="1" s="83">
      <c r="A201" s="120" t="n"/>
      <c r="B201" s="116" t="n"/>
      <c r="C201" s="116" t="n"/>
      <c r="D201" s="116" t="n"/>
      <c r="E201" s="116" t="n"/>
      <c r="F201" s="116" t="n"/>
      <c r="G201" s="116" t="n"/>
      <c r="H201" s="121">
        <f>IF(G201="","",IF(ISNUMBER(SEARCH("CAPITA",UPPER(G201))),651110,IF(ISNUMBER(SEARCH("REFUERZO",UPPER(G201))),651110,IF(ISNUMBER(SEARCH("VACUNACION",UPPER(G201))),651110,IF(ISNUMBER(SEARCH("ENFERMERIA",UPPER(G201))),651110,IF(ISNUMBER(SEARCH("APORTES",UPPER(G201))),651110,IF(ISNUMBER(SEARCH("HONORARIOS",UPPER(G201))),702010,IF(ISNUMBER(SEARCH("ADMINISTRACION",UPPER(G201))),702010,IF(ISNUMBER(SEARCH("GERENCIAMIENTO",UPPER(G201))),702010,IF(ISNUMBER(SEARCH("ALQUILER",UPPER(G201))),702010,IF(ISNUMBER(SEARCH("AUDITORIA",UPPER(G201))),702010,IF(ISNUMBER(SEARCH("PRESTACIONAL",UPPER(G201))),702010,702010))))))))))))</f>
        <v/>
      </c>
      <c r="I201" s="122" t="n"/>
      <c r="J201" s="122" t="n"/>
      <c r="K201" s="123">
        <f>IF(N(I201)&gt;0,ROUND(N(I201)*IVA_general,2),0)</f>
        <v/>
      </c>
      <c r="L201" s="122" t="n">
        <v>0</v>
      </c>
      <c r="M201" s="122" t="n"/>
      <c r="N201" s="123">
        <f>IF(SUM(I201:M201)=0,"",SUM(I201:M201))</f>
        <v/>
      </c>
      <c r="O201" s="124">
        <f>IF(A201="","",TEXT(A201,"yyyy-mm"))</f>
        <v/>
      </c>
      <c r="P201" s="121">
        <f>IF(A201="","",YEAR(A201))</f>
        <v/>
      </c>
      <c r="Q201" s="121">
        <f>IF(A201="","",MONTH(A201))</f>
        <v/>
      </c>
      <c r="R201" s="116" t="n"/>
      <c r="S201" s="116" t="n"/>
      <c r="T201" s="120" t="n"/>
      <c r="U201" s="122" t="n">
        <v>0</v>
      </c>
      <c r="V201" s="123">
        <f>IF(B201="","",N201-U201)</f>
        <v/>
      </c>
      <c r="W201" s="116" t="n"/>
      <c r="X201" s="125">
        <f>IF(B201="","",IF(LEFT(B201,2)="NC",-1,1))</f>
        <v/>
      </c>
      <c r="Y201" s="123">
        <f>IF(B201="",0,N(I201)*X201)</f>
        <v/>
      </c>
      <c r="Z201" s="123">
        <f>IF(B201="",0,N(J201)*X201)</f>
        <v/>
      </c>
      <c r="AA201" s="123">
        <f>IF(B201="",0,N(K201)*X201)</f>
        <v/>
      </c>
      <c r="AB201" s="123">
        <f>IF(B201="",0,N(L201)*X201)</f>
        <v/>
      </c>
      <c r="AC201" s="123">
        <f>IF(B201="",0,N(N201)*X201)</f>
        <v/>
      </c>
    </row>
    <row r="202" ht="15" customHeight="1" s="83">
      <c r="A202" s="120" t="n"/>
      <c r="B202" s="116" t="n"/>
      <c r="C202" s="116" t="n"/>
      <c r="D202" s="116" t="n"/>
      <c r="E202" s="116" t="n"/>
      <c r="F202" s="116" t="n"/>
      <c r="G202" s="116" t="n"/>
      <c r="H202" s="121">
        <f>IF(G202="","",IF(ISNUMBER(SEARCH("CAPITA",UPPER(G202))),651110,IF(ISNUMBER(SEARCH("REFUERZO",UPPER(G202))),651110,IF(ISNUMBER(SEARCH("VACUNACION",UPPER(G202))),651110,IF(ISNUMBER(SEARCH("ENFERMERIA",UPPER(G202))),651110,IF(ISNUMBER(SEARCH("APORTES",UPPER(G202))),651110,IF(ISNUMBER(SEARCH("HONORARIOS",UPPER(G202))),702010,IF(ISNUMBER(SEARCH("ADMINISTRACION",UPPER(G202))),702010,IF(ISNUMBER(SEARCH("GERENCIAMIENTO",UPPER(G202))),702010,IF(ISNUMBER(SEARCH("ALQUILER",UPPER(G202))),702010,IF(ISNUMBER(SEARCH("AUDITORIA",UPPER(G202))),702010,IF(ISNUMBER(SEARCH("PRESTACIONAL",UPPER(G202))),702010,702010))))))))))))</f>
        <v/>
      </c>
      <c r="I202" s="122" t="n"/>
      <c r="J202" s="122" t="n"/>
      <c r="K202" s="123">
        <f>IF(N(I202)&gt;0,ROUND(N(I202)*IVA_general,2),0)</f>
        <v/>
      </c>
      <c r="L202" s="122" t="n">
        <v>0</v>
      </c>
      <c r="M202" s="122" t="n"/>
      <c r="N202" s="123">
        <f>IF(SUM(I202:M202)=0,"",SUM(I202:M202))</f>
        <v/>
      </c>
      <c r="O202" s="124">
        <f>IF(A202="","",TEXT(A202,"yyyy-mm"))</f>
        <v/>
      </c>
      <c r="P202" s="121">
        <f>IF(A202="","",YEAR(A202))</f>
        <v/>
      </c>
      <c r="Q202" s="121">
        <f>IF(A202="","",MONTH(A202))</f>
        <v/>
      </c>
      <c r="R202" s="116" t="n"/>
      <c r="S202" s="116" t="n"/>
      <c r="T202" s="120" t="n"/>
      <c r="U202" s="122" t="n">
        <v>0</v>
      </c>
      <c r="V202" s="123">
        <f>IF(B202="","",N202-U202)</f>
        <v/>
      </c>
      <c r="W202" s="116" t="n"/>
      <c r="X202" s="125">
        <f>IF(B202="","",IF(LEFT(B202,2)="NC",-1,1))</f>
        <v/>
      </c>
      <c r="Y202" s="123">
        <f>IF(B202="",0,N(I202)*X202)</f>
        <v/>
      </c>
      <c r="Z202" s="123">
        <f>IF(B202="",0,N(J202)*X202)</f>
        <v/>
      </c>
      <c r="AA202" s="123">
        <f>IF(B202="",0,N(K202)*X202)</f>
        <v/>
      </c>
      <c r="AB202" s="123">
        <f>IF(B202="",0,N(L202)*X202)</f>
        <v/>
      </c>
      <c r="AC202" s="123">
        <f>IF(B202="",0,N(N202)*X202)</f>
        <v/>
      </c>
    </row>
    <row r="203" ht="15" customHeight="1" s="83">
      <c r="A203" s="120" t="n"/>
      <c r="B203" s="116" t="n"/>
      <c r="C203" s="116" t="n"/>
      <c r="D203" s="116" t="n"/>
      <c r="E203" s="116" t="n"/>
      <c r="F203" s="116" t="n"/>
      <c r="G203" s="116" t="n"/>
      <c r="H203" s="121">
        <f>IF(G203="","",IF(ISNUMBER(SEARCH("CAPITA",UPPER(G203))),651110,IF(ISNUMBER(SEARCH("REFUERZO",UPPER(G203))),651110,IF(ISNUMBER(SEARCH("VACUNACION",UPPER(G203))),651110,IF(ISNUMBER(SEARCH("ENFERMERIA",UPPER(G203))),651110,IF(ISNUMBER(SEARCH("APORTES",UPPER(G203))),651110,IF(ISNUMBER(SEARCH("HONORARIOS",UPPER(G203))),702010,IF(ISNUMBER(SEARCH("ADMINISTRACION",UPPER(G203))),702010,IF(ISNUMBER(SEARCH("GERENCIAMIENTO",UPPER(G203))),702010,IF(ISNUMBER(SEARCH("ALQUILER",UPPER(G203))),702010,IF(ISNUMBER(SEARCH("AUDITORIA",UPPER(G203))),702010,IF(ISNUMBER(SEARCH("PRESTACIONAL",UPPER(G203))),702010,702010))))))))))))</f>
        <v/>
      </c>
      <c r="I203" s="122" t="n"/>
      <c r="J203" s="122" t="n"/>
      <c r="K203" s="123">
        <f>IF(N(I203)&gt;0,ROUND(N(I203)*IVA_general,2),0)</f>
        <v/>
      </c>
      <c r="L203" s="122" t="n">
        <v>0</v>
      </c>
      <c r="M203" s="122" t="n"/>
      <c r="N203" s="123">
        <f>IF(SUM(I203:M203)=0,"",SUM(I203:M203))</f>
        <v/>
      </c>
      <c r="O203" s="124">
        <f>IF(A203="","",TEXT(A203,"yyyy-mm"))</f>
        <v/>
      </c>
      <c r="P203" s="121">
        <f>IF(A203="","",YEAR(A203))</f>
        <v/>
      </c>
      <c r="Q203" s="121">
        <f>IF(A203="","",MONTH(A203))</f>
        <v/>
      </c>
      <c r="R203" s="116" t="n"/>
      <c r="S203" s="116" t="n"/>
      <c r="T203" s="120" t="n"/>
      <c r="U203" s="122" t="n">
        <v>0</v>
      </c>
      <c r="V203" s="123">
        <f>IF(B203="","",N203-U203)</f>
        <v/>
      </c>
      <c r="W203" s="116" t="n"/>
      <c r="X203" s="125">
        <f>IF(B203="","",IF(LEFT(B203,2)="NC",-1,1))</f>
        <v/>
      </c>
      <c r="Y203" s="123">
        <f>IF(B203="",0,N(I203)*X203)</f>
        <v/>
      </c>
      <c r="Z203" s="123">
        <f>IF(B203="",0,N(J203)*X203)</f>
        <v/>
      </c>
      <c r="AA203" s="123">
        <f>IF(B203="",0,N(K203)*X203)</f>
        <v/>
      </c>
      <c r="AB203" s="123">
        <f>IF(B203="",0,N(L203)*X203)</f>
        <v/>
      </c>
      <c r="AC203" s="123">
        <f>IF(B203="",0,N(N203)*X203)</f>
        <v/>
      </c>
    </row>
    <row r="204" ht="15" customHeight="1" s="83">
      <c r="A204" s="120" t="n"/>
      <c r="B204" s="116" t="n"/>
      <c r="C204" s="116" t="n"/>
      <c r="D204" s="116" t="n"/>
      <c r="E204" s="116" t="n"/>
      <c r="F204" s="116" t="n"/>
      <c r="G204" s="116" t="n"/>
      <c r="H204" s="121">
        <f>IF(G204="","",IF(ISNUMBER(SEARCH("CAPITA",UPPER(G204))),651110,IF(ISNUMBER(SEARCH("REFUERZO",UPPER(G204))),651110,IF(ISNUMBER(SEARCH("VACUNACION",UPPER(G204))),651110,IF(ISNUMBER(SEARCH("ENFERMERIA",UPPER(G204))),651110,IF(ISNUMBER(SEARCH("APORTES",UPPER(G204))),651110,IF(ISNUMBER(SEARCH("HONORARIOS",UPPER(G204))),702010,IF(ISNUMBER(SEARCH("ADMINISTRACION",UPPER(G204))),702010,IF(ISNUMBER(SEARCH("GERENCIAMIENTO",UPPER(G204))),702010,IF(ISNUMBER(SEARCH("ALQUILER",UPPER(G204))),702010,IF(ISNUMBER(SEARCH("AUDITORIA",UPPER(G204))),702010,IF(ISNUMBER(SEARCH("PRESTACIONAL",UPPER(G204))),702010,702010))))))))))))</f>
        <v/>
      </c>
      <c r="I204" s="122" t="n"/>
      <c r="J204" s="122" t="n"/>
      <c r="K204" s="123">
        <f>IF(N(I204)&gt;0,ROUND(N(I204)*IVA_general,2),0)</f>
        <v/>
      </c>
      <c r="L204" s="122" t="n">
        <v>0</v>
      </c>
      <c r="M204" s="122" t="n"/>
      <c r="N204" s="123">
        <f>IF(SUM(I204:M204)=0,"",SUM(I204:M204))</f>
        <v/>
      </c>
      <c r="O204" s="124">
        <f>IF(A204="","",TEXT(A204,"yyyy-mm"))</f>
        <v/>
      </c>
      <c r="P204" s="121">
        <f>IF(A204="","",YEAR(A204))</f>
        <v/>
      </c>
      <c r="Q204" s="121">
        <f>IF(A204="","",MONTH(A204))</f>
        <v/>
      </c>
      <c r="R204" s="116" t="n"/>
      <c r="S204" s="116" t="n"/>
      <c r="T204" s="120" t="n"/>
      <c r="U204" s="122" t="n">
        <v>0</v>
      </c>
      <c r="V204" s="123">
        <f>IF(B204="","",N204-U204)</f>
        <v/>
      </c>
      <c r="W204" s="116" t="n"/>
      <c r="X204" s="125">
        <f>IF(B204="","",IF(LEFT(B204,2)="NC",-1,1))</f>
        <v/>
      </c>
      <c r="Y204" s="123">
        <f>IF(B204="",0,N(I204)*X204)</f>
        <v/>
      </c>
      <c r="Z204" s="123">
        <f>IF(B204="",0,N(J204)*X204)</f>
        <v/>
      </c>
      <c r="AA204" s="123">
        <f>IF(B204="",0,N(K204)*X204)</f>
        <v/>
      </c>
      <c r="AB204" s="123">
        <f>IF(B204="",0,N(L204)*X204)</f>
        <v/>
      </c>
      <c r="AC204" s="123">
        <f>IF(B204="",0,N(N204)*X204)</f>
        <v/>
      </c>
    </row>
    <row r="205" ht="15" customHeight="1" s="83">
      <c r="A205" s="120" t="n"/>
      <c r="B205" s="116" t="n"/>
      <c r="C205" s="116" t="n"/>
      <c r="D205" s="116" t="n"/>
      <c r="E205" s="116" t="n"/>
      <c r="F205" s="116" t="n"/>
      <c r="G205" s="116" t="n"/>
      <c r="H205" s="121">
        <f>IF(G205="","",IF(ISNUMBER(SEARCH("CAPITA",UPPER(G205))),651110,IF(ISNUMBER(SEARCH("REFUERZO",UPPER(G205))),651110,IF(ISNUMBER(SEARCH("VACUNACION",UPPER(G205))),651110,IF(ISNUMBER(SEARCH("ENFERMERIA",UPPER(G205))),651110,IF(ISNUMBER(SEARCH("APORTES",UPPER(G205))),651110,IF(ISNUMBER(SEARCH("HONORARIOS",UPPER(G205))),702010,IF(ISNUMBER(SEARCH("ADMINISTRACION",UPPER(G205))),702010,IF(ISNUMBER(SEARCH("GERENCIAMIENTO",UPPER(G205))),702010,IF(ISNUMBER(SEARCH("ALQUILER",UPPER(G205))),702010,IF(ISNUMBER(SEARCH("AUDITORIA",UPPER(G205))),702010,IF(ISNUMBER(SEARCH("PRESTACIONAL",UPPER(G205))),702010,702010))))))))))))</f>
        <v/>
      </c>
      <c r="I205" s="122" t="n"/>
      <c r="J205" s="122" t="n"/>
      <c r="K205" s="123">
        <f>IF(N(I205)&gt;0,ROUND(N(I205)*IVA_general,2),0)</f>
        <v/>
      </c>
      <c r="L205" s="122" t="n">
        <v>0</v>
      </c>
      <c r="M205" s="122" t="n"/>
      <c r="N205" s="123">
        <f>IF(SUM(I205:M205)=0,"",SUM(I205:M205))</f>
        <v/>
      </c>
      <c r="O205" s="124">
        <f>IF(A205="","",TEXT(A205,"yyyy-mm"))</f>
        <v/>
      </c>
      <c r="P205" s="121">
        <f>IF(A205="","",YEAR(A205))</f>
        <v/>
      </c>
      <c r="Q205" s="121">
        <f>IF(A205="","",MONTH(A205))</f>
        <v/>
      </c>
      <c r="R205" s="116" t="n"/>
      <c r="S205" s="116" t="n"/>
      <c r="T205" s="120" t="n"/>
      <c r="U205" s="122" t="n">
        <v>0</v>
      </c>
      <c r="V205" s="123">
        <f>IF(B205="","",N205-U205)</f>
        <v/>
      </c>
      <c r="W205" s="116" t="n"/>
      <c r="X205" s="125">
        <f>IF(B205="","",IF(LEFT(B205,2)="NC",-1,1))</f>
        <v/>
      </c>
      <c r="Y205" s="123">
        <f>IF(B205="",0,N(I205)*X205)</f>
        <v/>
      </c>
      <c r="Z205" s="123">
        <f>IF(B205="",0,N(J205)*X205)</f>
        <v/>
      </c>
      <c r="AA205" s="123">
        <f>IF(B205="",0,N(K205)*X205)</f>
        <v/>
      </c>
      <c r="AB205" s="123">
        <f>IF(B205="",0,N(L205)*X205)</f>
        <v/>
      </c>
      <c r="AC205" s="123">
        <f>IF(B205="",0,N(N205)*X205)</f>
        <v/>
      </c>
    </row>
    <row r="206" ht="15" customHeight="1" s="83">
      <c r="A206" s="120" t="n"/>
      <c r="B206" s="116" t="n"/>
      <c r="C206" s="116" t="n"/>
      <c r="D206" s="116" t="n"/>
      <c r="E206" s="116" t="n"/>
      <c r="F206" s="116" t="n"/>
      <c r="G206" s="116" t="n"/>
      <c r="H206" s="121">
        <f>IF(G206="","",IF(ISNUMBER(SEARCH("CAPITA",UPPER(G206))),651110,IF(ISNUMBER(SEARCH("REFUERZO",UPPER(G206))),651110,IF(ISNUMBER(SEARCH("VACUNACION",UPPER(G206))),651110,IF(ISNUMBER(SEARCH("ENFERMERIA",UPPER(G206))),651110,IF(ISNUMBER(SEARCH("APORTES",UPPER(G206))),651110,IF(ISNUMBER(SEARCH("HONORARIOS",UPPER(G206))),702010,IF(ISNUMBER(SEARCH("ADMINISTRACION",UPPER(G206))),702010,IF(ISNUMBER(SEARCH("GERENCIAMIENTO",UPPER(G206))),702010,IF(ISNUMBER(SEARCH("ALQUILER",UPPER(G206))),702010,IF(ISNUMBER(SEARCH("AUDITORIA",UPPER(G206))),702010,IF(ISNUMBER(SEARCH("PRESTACIONAL",UPPER(G206))),702010,702010))))))))))))</f>
        <v/>
      </c>
      <c r="I206" s="122" t="n"/>
      <c r="J206" s="122" t="n"/>
      <c r="K206" s="123">
        <f>IF(N(I206)&gt;0,ROUND(N(I206)*IVA_general,2),0)</f>
        <v/>
      </c>
      <c r="L206" s="122" t="n">
        <v>0</v>
      </c>
      <c r="M206" s="122" t="n"/>
      <c r="N206" s="123">
        <f>IF(SUM(I206:M206)=0,"",SUM(I206:M206))</f>
        <v/>
      </c>
      <c r="O206" s="124">
        <f>IF(A206="","",TEXT(A206,"yyyy-mm"))</f>
        <v/>
      </c>
      <c r="P206" s="121">
        <f>IF(A206="","",YEAR(A206))</f>
        <v/>
      </c>
      <c r="Q206" s="121">
        <f>IF(A206="","",MONTH(A206))</f>
        <v/>
      </c>
      <c r="R206" s="116" t="n"/>
      <c r="S206" s="116" t="n"/>
      <c r="T206" s="120" t="n"/>
      <c r="U206" s="122" t="n">
        <v>0</v>
      </c>
      <c r="V206" s="123">
        <f>IF(B206="","",N206-U206)</f>
        <v/>
      </c>
      <c r="W206" s="116" t="n"/>
      <c r="X206" s="125">
        <f>IF(B206="","",IF(LEFT(B206,2)="NC",-1,1))</f>
        <v/>
      </c>
      <c r="Y206" s="123">
        <f>IF(B206="",0,N(I206)*X206)</f>
        <v/>
      </c>
      <c r="Z206" s="123">
        <f>IF(B206="",0,N(J206)*X206)</f>
        <v/>
      </c>
      <c r="AA206" s="123">
        <f>IF(B206="",0,N(K206)*X206)</f>
        <v/>
      </c>
      <c r="AB206" s="123">
        <f>IF(B206="",0,N(L206)*X206)</f>
        <v/>
      </c>
      <c r="AC206" s="123">
        <f>IF(B206="",0,N(N206)*X206)</f>
        <v/>
      </c>
    </row>
    <row r="207" ht="15" customHeight="1" s="83">
      <c r="A207" s="120" t="n"/>
      <c r="B207" s="116" t="n"/>
      <c r="C207" s="116" t="n"/>
      <c r="D207" s="116" t="n"/>
      <c r="E207" s="116" t="n"/>
      <c r="F207" s="116" t="n"/>
      <c r="G207" s="116" t="n"/>
      <c r="H207" s="121">
        <f>IF(G207="","",IF(ISNUMBER(SEARCH("CAPITA",UPPER(G207))),651110,IF(ISNUMBER(SEARCH("REFUERZO",UPPER(G207))),651110,IF(ISNUMBER(SEARCH("VACUNACION",UPPER(G207))),651110,IF(ISNUMBER(SEARCH("ENFERMERIA",UPPER(G207))),651110,IF(ISNUMBER(SEARCH("APORTES",UPPER(G207))),651110,IF(ISNUMBER(SEARCH("HONORARIOS",UPPER(G207))),702010,IF(ISNUMBER(SEARCH("ADMINISTRACION",UPPER(G207))),702010,IF(ISNUMBER(SEARCH("GERENCIAMIENTO",UPPER(G207))),702010,IF(ISNUMBER(SEARCH("ALQUILER",UPPER(G207))),702010,IF(ISNUMBER(SEARCH("AUDITORIA",UPPER(G207))),702010,IF(ISNUMBER(SEARCH("PRESTACIONAL",UPPER(G207))),702010,702010))))))))))))</f>
        <v/>
      </c>
      <c r="I207" s="122" t="n"/>
      <c r="J207" s="122" t="n"/>
      <c r="K207" s="123">
        <f>IF(N(I207)&gt;0,ROUND(N(I207)*IVA_general,2),0)</f>
        <v/>
      </c>
      <c r="L207" s="122" t="n">
        <v>0</v>
      </c>
      <c r="M207" s="122" t="n"/>
      <c r="N207" s="123">
        <f>IF(SUM(I207:M207)=0,"",SUM(I207:M207))</f>
        <v/>
      </c>
      <c r="O207" s="124">
        <f>IF(A207="","",TEXT(A207,"yyyy-mm"))</f>
        <v/>
      </c>
      <c r="P207" s="121">
        <f>IF(A207="","",YEAR(A207))</f>
        <v/>
      </c>
      <c r="Q207" s="121">
        <f>IF(A207="","",MONTH(A207))</f>
        <v/>
      </c>
      <c r="R207" s="116" t="n"/>
      <c r="S207" s="116" t="n"/>
      <c r="T207" s="120" t="n"/>
      <c r="U207" s="122" t="n">
        <v>0</v>
      </c>
      <c r="V207" s="123">
        <f>IF(B207="","",N207-U207)</f>
        <v/>
      </c>
      <c r="W207" s="116" t="n"/>
      <c r="X207" s="125">
        <f>IF(B207="","",IF(LEFT(B207,2)="NC",-1,1))</f>
        <v/>
      </c>
      <c r="Y207" s="123">
        <f>IF(B207="",0,N(I207)*X207)</f>
        <v/>
      </c>
      <c r="Z207" s="123">
        <f>IF(B207="",0,N(J207)*X207)</f>
        <v/>
      </c>
      <c r="AA207" s="123">
        <f>IF(B207="",0,N(K207)*X207)</f>
        <v/>
      </c>
      <c r="AB207" s="123">
        <f>IF(B207="",0,N(L207)*X207)</f>
        <v/>
      </c>
      <c r="AC207" s="123">
        <f>IF(B207="",0,N(N207)*X207)</f>
        <v/>
      </c>
    </row>
    <row r="208" ht="15" customHeight="1" s="83">
      <c r="A208" s="120" t="n"/>
      <c r="B208" s="116" t="n"/>
      <c r="C208" s="116" t="n"/>
      <c r="D208" s="116" t="n"/>
      <c r="E208" s="116" t="n"/>
      <c r="F208" s="116" t="n"/>
      <c r="G208" s="116" t="n"/>
      <c r="H208" s="121">
        <f>IF(G208="","",IF(ISNUMBER(SEARCH("CAPITA",UPPER(G208))),651110,IF(ISNUMBER(SEARCH("REFUERZO",UPPER(G208))),651110,IF(ISNUMBER(SEARCH("VACUNACION",UPPER(G208))),651110,IF(ISNUMBER(SEARCH("ENFERMERIA",UPPER(G208))),651110,IF(ISNUMBER(SEARCH("APORTES",UPPER(G208))),651110,IF(ISNUMBER(SEARCH("HONORARIOS",UPPER(G208))),702010,IF(ISNUMBER(SEARCH("ADMINISTRACION",UPPER(G208))),702010,IF(ISNUMBER(SEARCH("GERENCIAMIENTO",UPPER(G208))),702010,IF(ISNUMBER(SEARCH("ALQUILER",UPPER(G208))),702010,IF(ISNUMBER(SEARCH("AUDITORIA",UPPER(G208))),702010,IF(ISNUMBER(SEARCH("PRESTACIONAL",UPPER(G208))),702010,702010))))))))))))</f>
        <v/>
      </c>
      <c r="I208" s="122" t="n"/>
      <c r="J208" s="122" t="n"/>
      <c r="K208" s="123">
        <f>IF(N(I208)&gt;0,ROUND(N(I208)*IVA_general,2),0)</f>
        <v/>
      </c>
      <c r="L208" s="122" t="n">
        <v>0</v>
      </c>
      <c r="M208" s="122" t="n"/>
      <c r="N208" s="123">
        <f>IF(SUM(I208:M208)=0,"",SUM(I208:M208))</f>
        <v/>
      </c>
      <c r="O208" s="124">
        <f>IF(A208="","",TEXT(A208,"yyyy-mm"))</f>
        <v/>
      </c>
      <c r="P208" s="121">
        <f>IF(A208="","",YEAR(A208))</f>
        <v/>
      </c>
      <c r="Q208" s="121">
        <f>IF(A208="","",MONTH(A208))</f>
        <v/>
      </c>
      <c r="R208" s="116" t="n"/>
      <c r="S208" s="116" t="n"/>
      <c r="T208" s="120" t="n"/>
      <c r="U208" s="122" t="n">
        <v>0</v>
      </c>
      <c r="V208" s="123">
        <f>IF(B208="","",N208-U208)</f>
        <v/>
      </c>
      <c r="W208" s="116" t="n"/>
      <c r="X208" s="125">
        <f>IF(B208="","",IF(LEFT(B208,2)="NC",-1,1))</f>
        <v/>
      </c>
      <c r="Y208" s="123">
        <f>IF(B208="",0,N(I208)*X208)</f>
        <v/>
      </c>
      <c r="Z208" s="123">
        <f>IF(B208="",0,N(J208)*X208)</f>
        <v/>
      </c>
      <c r="AA208" s="123">
        <f>IF(B208="",0,N(K208)*X208)</f>
        <v/>
      </c>
      <c r="AB208" s="123">
        <f>IF(B208="",0,N(L208)*X208)</f>
        <v/>
      </c>
      <c r="AC208" s="123">
        <f>IF(B208="",0,N(N208)*X208)</f>
        <v/>
      </c>
    </row>
    <row r="209" ht="15" customHeight="1" s="83">
      <c r="A209" s="120" t="n"/>
      <c r="B209" s="116" t="n"/>
      <c r="C209" s="116" t="n"/>
      <c r="D209" s="116" t="n"/>
      <c r="E209" s="116" t="n"/>
      <c r="F209" s="116" t="n"/>
      <c r="G209" s="116" t="n"/>
      <c r="H209" s="121">
        <f>IF(G209="","",IF(ISNUMBER(SEARCH("CAPITA",UPPER(G209))),651110,IF(ISNUMBER(SEARCH("REFUERZO",UPPER(G209))),651110,IF(ISNUMBER(SEARCH("VACUNACION",UPPER(G209))),651110,IF(ISNUMBER(SEARCH("ENFERMERIA",UPPER(G209))),651110,IF(ISNUMBER(SEARCH("APORTES",UPPER(G209))),651110,IF(ISNUMBER(SEARCH("HONORARIOS",UPPER(G209))),702010,IF(ISNUMBER(SEARCH("ADMINISTRACION",UPPER(G209))),702010,IF(ISNUMBER(SEARCH("GERENCIAMIENTO",UPPER(G209))),702010,IF(ISNUMBER(SEARCH("ALQUILER",UPPER(G209))),702010,IF(ISNUMBER(SEARCH("AUDITORIA",UPPER(G209))),702010,IF(ISNUMBER(SEARCH("PRESTACIONAL",UPPER(G209))),702010,702010))))))))))))</f>
        <v/>
      </c>
      <c r="I209" s="122" t="n"/>
      <c r="J209" s="122" t="n"/>
      <c r="K209" s="123">
        <f>IF(N(I209)&gt;0,ROUND(N(I209)*IVA_general,2),0)</f>
        <v/>
      </c>
      <c r="L209" s="122" t="n">
        <v>0</v>
      </c>
      <c r="M209" s="122" t="n"/>
      <c r="N209" s="123">
        <f>IF(SUM(I209:M209)=0,"",SUM(I209:M209))</f>
        <v/>
      </c>
      <c r="O209" s="124">
        <f>IF(A209="","",TEXT(A209,"yyyy-mm"))</f>
        <v/>
      </c>
      <c r="P209" s="121">
        <f>IF(A209="","",YEAR(A209))</f>
        <v/>
      </c>
      <c r="Q209" s="121">
        <f>IF(A209="","",MONTH(A209))</f>
        <v/>
      </c>
      <c r="R209" s="116" t="n"/>
      <c r="S209" s="116" t="n"/>
      <c r="T209" s="120" t="n"/>
      <c r="U209" s="122" t="n">
        <v>0</v>
      </c>
      <c r="V209" s="123">
        <f>IF(B209="","",N209-U209)</f>
        <v/>
      </c>
      <c r="W209" s="116" t="n"/>
      <c r="X209" s="125">
        <f>IF(B209="","",IF(LEFT(B209,2)="NC",-1,1))</f>
        <v/>
      </c>
      <c r="Y209" s="123">
        <f>IF(B209="",0,N(I209)*X209)</f>
        <v/>
      </c>
      <c r="Z209" s="123">
        <f>IF(B209="",0,N(J209)*X209)</f>
        <v/>
      </c>
      <c r="AA209" s="123">
        <f>IF(B209="",0,N(K209)*X209)</f>
        <v/>
      </c>
      <c r="AB209" s="123">
        <f>IF(B209="",0,N(L209)*X209)</f>
        <v/>
      </c>
      <c r="AC209" s="123">
        <f>IF(B209="",0,N(N209)*X209)</f>
        <v/>
      </c>
    </row>
    <row r="210" ht="15" customHeight="1" s="83">
      <c r="A210" s="120" t="n"/>
      <c r="B210" s="116" t="n"/>
      <c r="C210" s="116" t="n"/>
      <c r="D210" s="116" t="n"/>
      <c r="E210" s="116" t="n"/>
      <c r="F210" s="116" t="n"/>
      <c r="G210" s="116" t="n"/>
      <c r="H210" s="121">
        <f>IF(G210="","",IF(ISNUMBER(SEARCH("CAPITA",UPPER(G210))),651110,IF(ISNUMBER(SEARCH("REFUERZO",UPPER(G210))),651110,IF(ISNUMBER(SEARCH("VACUNACION",UPPER(G210))),651110,IF(ISNUMBER(SEARCH("ENFERMERIA",UPPER(G210))),651110,IF(ISNUMBER(SEARCH("APORTES",UPPER(G210))),651110,IF(ISNUMBER(SEARCH("HONORARIOS",UPPER(G210))),702010,IF(ISNUMBER(SEARCH("ADMINISTRACION",UPPER(G210))),702010,IF(ISNUMBER(SEARCH("GERENCIAMIENTO",UPPER(G210))),702010,IF(ISNUMBER(SEARCH("ALQUILER",UPPER(G210))),702010,IF(ISNUMBER(SEARCH("AUDITORIA",UPPER(G210))),702010,IF(ISNUMBER(SEARCH("PRESTACIONAL",UPPER(G210))),702010,702010))))))))))))</f>
        <v/>
      </c>
      <c r="I210" s="122" t="n"/>
      <c r="J210" s="122" t="n"/>
      <c r="K210" s="123">
        <f>IF(N(I210)&gt;0,ROUND(N(I210)*IVA_general,2),0)</f>
        <v/>
      </c>
      <c r="L210" s="122" t="n">
        <v>0</v>
      </c>
      <c r="M210" s="122" t="n"/>
      <c r="N210" s="123">
        <f>IF(SUM(I210:M210)=0,"",SUM(I210:M210))</f>
        <v/>
      </c>
      <c r="O210" s="124">
        <f>IF(A210="","",TEXT(A210,"yyyy-mm"))</f>
        <v/>
      </c>
      <c r="P210" s="121">
        <f>IF(A210="","",YEAR(A210))</f>
        <v/>
      </c>
      <c r="Q210" s="121">
        <f>IF(A210="","",MONTH(A210))</f>
        <v/>
      </c>
      <c r="R210" s="116" t="n"/>
      <c r="S210" s="116" t="n"/>
      <c r="T210" s="120" t="n"/>
      <c r="U210" s="122" t="n">
        <v>0</v>
      </c>
      <c r="V210" s="123">
        <f>IF(B210="","",N210-U210)</f>
        <v/>
      </c>
      <c r="W210" s="116" t="n"/>
      <c r="X210" s="125">
        <f>IF(B210="","",IF(LEFT(B210,2)="NC",-1,1))</f>
        <v/>
      </c>
      <c r="Y210" s="123">
        <f>IF(B210="",0,N(I210)*X210)</f>
        <v/>
      </c>
      <c r="Z210" s="123">
        <f>IF(B210="",0,N(J210)*X210)</f>
        <v/>
      </c>
      <c r="AA210" s="123">
        <f>IF(B210="",0,N(K210)*X210)</f>
        <v/>
      </c>
      <c r="AB210" s="123">
        <f>IF(B210="",0,N(L210)*X210)</f>
        <v/>
      </c>
      <c r="AC210" s="123">
        <f>IF(B210="",0,N(N210)*X210)</f>
        <v/>
      </c>
    </row>
    <row r="211" ht="15" customHeight="1" s="83">
      <c r="A211" s="120" t="n"/>
      <c r="B211" s="116" t="n"/>
      <c r="C211" s="116" t="n"/>
      <c r="D211" s="116" t="n"/>
      <c r="E211" s="116" t="n"/>
      <c r="F211" s="116" t="n"/>
      <c r="G211" s="116" t="n"/>
      <c r="H211" s="121">
        <f>IF(G211="","",IF(ISNUMBER(SEARCH("CAPITA",UPPER(G211))),651110,IF(ISNUMBER(SEARCH("REFUERZO",UPPER(G211))),651110,IF(ISNUMBER(SEARCH("VACUNACION",UPPER(G211))),651110,IF(ISNUMBER(SEARCH("ENFERMERIA",UPPER(G211))),651110,IF(ISNUMBER(SEARCH("APORTES",UPPER(G211))),651110,IF(ISNUMBER(SEARCH("HONORARIOS",UPPER(G211))),702010,IF(ISNUMBER(SEARCH("ADMINISTRACION",UPPER(G211))),702010,IF(ISNUMBER(SEARCH("GERENCIAMIENTO",UPPER(G211))),702010,IF(ISNUMBER(SEARCH("ALQUILER",UPPER(G211))),702010,IF(ISNUMBER(SEARCH("AUDITORIA",UPPER(G211))),702010,IF(ISNUMBER(SEARCH("PRESTACIONAL",UPPER(G211))),702010,702010))))))))))))</f>
        <v/>
      </c>
      <c r="I211" s="122" t="n"/>
      <c r="J211" s="122" t="n"/>
      <c r="K211" s="123">
        <f>IF(N(I211)&gt;0,ROUND(N(I211)*IVA_general,2),0)</f>
        <v/>
      </c>
      <c r="L211" s="122" t="n">
        <v>0</v>
      </c>
      <c r="M211" s="122" t="n"/>
      <c r="N211" s="123">
        <f>IF(SUM(I211:M211)=0,"",SUM(I211:M211))</f>
        <v/>
      </c>
      <c r="O211" s="124">
        <f>IF(A211="","",TEXT(A211,"yyyy-mm"))</f>
        <v/>
      </c>
      <c r="P211" s="121">
        <f>IF(A211="","",YEAR(A211))</f>
        <v/>
      </c>
      <c r="Q211" s="121">
        <f>IF(A211="","",MONTH(A211))</f>
        <v/>
      </c>
      <c r="R211" s="116" t="n"/>
      <c r="S211" s="116" t="n"/>
      <c r="T211" s="120" t="n"/>
      <c r="U211" s="122" t="n">
        <v>0</v>
      </c>
      <c r="V211" s="123">
        <f>IF(B211="","",N211-U211)</f>
        <v/>
      </c>
      <c r="W211" s="116" t="n"/>
      <c r="X211" s="125">
        <f>IF(B211="","",IF(LEFT(B211,2)="NC",-1,1))</f>
        <v/>
      </c>
      <c r="Y211" s="123">
        <f>IF(B211="",0,N(I211)*X211)</f>
        <v/>
      </c>
      <c r="Z211" s="123">
        <f>IF(B211="",0,N(J211)*X211)</f>
        <v/>
      </c>
      <c r="AA211" s="123">
        <f>IF(B211="",0,N(K211)*X211)</f>
        <v/>
      </c>
      <c r="AB211" s="123">
        <f>IF(B211="",0,N(L211)*X211)</f>
        <v/>
      </c>
      <c r="AC211" s="123">
        <f>IF(B211="",0,N(N211)*X211)</f>
        <v/>
      </c>
    </row>
    <row r="212" ht="15" customHeight="1" s="83">
      <c r="A212" s="120" t="n"/>
      <c r="B212" s="116" t="n"/>
      <c r="C212" s="116" t="n"/>
      <c r="D212" s="116" t="n"/>
      <c r="E212" s="116" t="n"/>
      <c r="F212" s="116" t="n"/>
      <c r="G212" s="116" t="n"/>
      <c r="H212" s="121">
        <f>IF(G212="","",IF(ISNUMBER(SEARCH("CAPITA",UPPER(G212))),651110,IF(ISNUMBER(SEARCH("REFUERZO",UPPER(G212))),651110,IF(ISNUMBER(SEARCH("VACUNACION",UPPER(G212))),651110,IF(ISNUMBER(SEARCH("ENFERMERIA",UPPER(G212))),651110,IF(ISNUMBER(SEARCH("APORTES",UPPER(G212))),651110,IF(ISNUMBER(SEARCH("HONORARIOS",UPPER(G212))),702010,IF(ISNUMBER(SEARCH("ADMINISTRACION",UPPER(G212))),702010,IF(ISNUMBER(SEARCH("GERENCIAMIENTO",UPPER(G212))),702010,IF(ISNUMBER(SEARCH("ALQUILER",UPPER(G212))),702010,IF(ISNUMBER(SEARCH("AUDITORIA",UPPER(G212))),702010,IF(ISNUMBER(SEARCH("PRESTACIONAL",UPPER(G212))),702010,702010))))))))))))</f>
        <v/>
      </c>
      <c r="I212" s="122" t="n"/>
      <c r="J212" s="122" t="n"/>
      <c r="K212" s="123">
        <f>IF(N(I212)&gt;0,ROUND(N(I212)*IVA_general,2),0)</f>
        <v/>
      </c>
      <c r="L212" s="122" t="n">
        <v>0</v>
      </c>
      <c r="M212" s="122" t="n"/>
      <c r="N212" s="123">
        <f>IF(SUM(I212:M212)=0,"",SUM(I212:M212))</f>
        <v/>
      </c>
      <c r="O212" s="124">
        <f>IF(A212="","",TEXT(A212,"yyyy-mm"))</f>
        <v/>
      </c>
      <c r="P212" s="121">
        <f>IF(A212="","",YEAR(A212))</f>
        <v/>
      </c>
      <c r="Q212" s="121">
        <f>IF(A212="","",MONTH(A212))</f>
        <v/>
      </c>
      <c r="R212" s="116" t="n"/>
      <c r="S212" s="116" t="n"/>
      <c r="T212" s="120" t="n"/>
      <c r="U212" s="122" t="n">
        <v>0</v>
      </c>
      <c r="V212" s="123">
        <f>IF(B212="","",N212-U212)</f>
        <v/>
      </c>
      <c r="W212" s="116" t="n"/>
      <c r="X212" s="125">
        <f>IF(B212="","",IF(LEFT(B212,2)="NC",-1,1))</f>
        <v/>
      </c>
      <c r="Y212" s="123">
        <f>IF(B212="",0,N(I212)*X212)</f>
        <v/>
      </c>
      <c r="Z212" s="123">
        <f>IF(B212="",0,N(J212)*X212)</f>
        <v/>
      </c>
      <c r="AA212" s="123">
        <f>IF(B212="",0,N(K212)*X212)</f>
        <v/>
      </c>
      <c r="AB212" s="123">
        <f>IF(B212="",0,N(L212)*X212)</f>
        <v/>
      </c>
      <c r="AC212" s="123">
        <f>IF(B212="",0,N(N212)*X212)</f>
        <v/>
      </c>
    </row>
    <row r="213" ht="15" customHeight="1" s="83">
      <c r="A213" s="120" t="n"/>
      <c r="B213" s="116" t="n"/>
      <c r="C213" s="116" t="n"/>
      <c r="D213" s="116" t="n"/>
      <c r="E213" s="116" t="n"/>
      <c r="F213" s="116" t="n"/>
      <c r="G213" s="116" t="n"/>
      <c r="H213" s="121">
        <f>IF(G213="","",IF(ISNUMBER(SEARCH("CAPITA",UPPER(G213))),651110,IF(ISNUMBER(SEARCH("REFUERZO",UPPER(G213))),651110,IF(ISNUMBER(SEARCH("VACUNACION",UPPER(G213))),651110,IF(ISNUMBER(SEARCH("ENFERMERIA",UPPER(G213))),651110,IF(ISNUMBER(SEARCH("APORTES",UPPER(G213))),651110,IF(ISNUMBER(SEARCH("HONORARIOS",UPPER(G213))),702010,IF(ISNUMBER(SEARCH("ADMINISTRACION",UPPER(G213))),702010,IF(ISNUMBER(SEARCH("GERENCIAMIENTO",UPPER(G213))),702010,IF(ISNUMBER(SEARCH("ALQUILER",UPPER(G213))),702010,IF(ISNUMBER(SEARCH("AUDITORIA",UPPER(G213))),702010,IF(ISNUMBER(SEARCH("PRESTACIONAL",UPPER(G213))),702010,702010))))))))))))</f>
        <v/>
      </c>
      <c r="I213" s="122" t="n"/>
      <c r="J213" s="122" t="n"/>
      <c r="K213" s="123">
        <f>IF(N(I213)&gt;0,ROUND(N(I213)*IVA_general,2),0)</f>
        <v/>
      </c>
      <c r="L213" s="122" t="n">
        <v>0</v>
      </c>
      <c r="M213" s="122" t="n"/>
      <c r="N213" s="123">
        <f>IF(SUM(I213:M213)=0,"",SUM(I213:M213))</f>
        <v/>
      </c>
      <c r="O213" s="124">
        <f>IF(A213="","",TEXT(A213,"yyyy-mm"))</f>
        <v/>
      </c>
      <c r="P213" s="121">
        <f>IF(A213="","",YEAR(A213))</f>
        <v/>
      </c>
      <c r="Q213" s="121">
        <f>IF(A213="","",MONTH(A213))</f>
        <v/>
      </c>
      <c r="R213" s="116" t="n"/>
      <c r="S213" s="116" t="n"/>
      <c r="T213" s="120" t="n"/>
      <c r="U213" s="122" t="n">
        <v>0</v>
      </c>
      <c r="V213" s="123">
        <f>IF(B213="","",N213-U213)</f>
        <v/>
      </c>
      <c r="W213" s="116" t="n"/>
      <c r="X213" s="125">
        <f>IF(B213="","",IF(LEFT(B213,2)="NC",-1,1))</f>
        <v/>
      </c>
      <c r="Y213" s="123">
        <f>IF(B213="",0,N(I213)*X213)</f>
        <v/>
      </c>
      <c r="Z213" s="123">
        <f>IF(B213="",0,N(J213)*X213)</f>
        <v/>
      </c>
      <c r="AA213" s="123">
        <f>IF(B213="",0,N(K213)*X213)</f>
        <v/>
      </c>
      <c r="AB213" s="123">
        <f>IF(B213="",0,N(L213)*X213)</f>
        <v/>
      </c>
      <c r="AC213" s="123">
        <f>IF(B213="",0,N(N213)*X213)</f>
        <v/>
      </c>
    </row>
    <row r="214" ht="15" customHeight="1" s="83">
      <c r="A214" s="120" t="n"/>
      <c r="B214" s="116" t="n"/>
      <c r="C214" s="116" t="n"/>
      <c r="D214" s="116" t="n"/>
      <c r="E214" s="116" t="n"/>
      <c r="F214" s="116" t="n"/>
      <c r="G214" s="116" t="n"/>
      <c r="H214" s="121">
        <f>IF(G214="","",IF(ISNUMBER(SEARCH("CAPITA",UPPER(G214))),651110,IF(ISNUMBER(SEARCH("REFUERZO",UPPER(G214))),651110,IF(ISNUMBER(SEARCH("VACUNACION",UPPER(G214))),651110,IF(ISNUMBER(SEARCH("ENFERMERIA",UPPER(G214))),651110,IF(ISNUMBER(SEARCH("APORTES",UPPER(G214))),651110,IF(ISNUMBER(SEARCH("HONORARIOS",UPPER(G214))),702010,IF(ISNUMBER(SEARCH("ADMINISTRACION",UPPER(G214))),702010,IF(ISNUMBER(SEARCH("GERENCIAMIENTO",UPPER(G214))),702010,IF(ISNUMBER(SEARCH("ALQUILER",UPPER(G214))),702010,IF(ISNUMBER(SEARCH("AUDITORIA",UPPER(G214))),702010,IF(ISNUMBER(SEARCH("PRESTACIONAL",UPPER(G214))),702010,702010))))))))))))</f>
        <v/>
      </c>
      <c r="I214" s="122" t="n"/>
      <c r="J214" s="122" t="n"/>
      <c r="K214" s="123">
        <f>IF(N(I214)&gt;0,ROUND(N(I214)*IVA_general,2),0)</f>
        <v/>
      </c>
      <c r="L214" s="122" t="n">
        <v>0</v>
      </c>
      <c r="M214" s="122" t="n"/>
      <c r="N214" s="123">
        <f>IF(SUM(I214:M214)=0,"",SUM(I214:M214))</f>
        <v/>
      </c>
      <c r="O214" s="124">
        <f>IF(A214="","",TEXT(A214,"yyyy-mm"))</f>
        <v/>
      </c>
      <c r="P214" s="121">
        <f>IF(A214="","",YEAR(A214))</f>
        <v/>
      </c>
      <c r="Q214" s="121">
        <f>IF(A214="","",MONTH(A214))</f>
        <v/>
      </c>
      <c r="R214" s="116" t="n"/>
      <c r="S214" s="116" t="n"/>
      <c r="T214" s="120" t="n"/>
      <c r="U214" s="122" t="n">
        <v>0</v>
      </c>
      <c r="V214" s="123">
        <f>IF(B214="","",N214-U214)</f>
        <v/>
      </c>
      <c r="W214" s="116" t="n"/>
      <c r="X214" s="125">
        <f>IF(B214="","",IF(LEFT(B214,2)="NC",-1,1))</f>
        <v/>
      </c>
      <c r="Y214" s="123">
        <f>IF(B214="",0,N(I214)*X214)</f>
        <v/>
      </c>
      <c r="Z214" s="123">
        <f>IF(B214="",0,N(J214)*X214)</f>
        <v/>
      </c>
      <c r="AA214" s="123">
        <f>IF(B214="",0,N(K214)*X214)</f>
        <v/>
      </c>
      <c r="AB214" s="123">
        <f>IF(B214="",0,N(L214)*X214)</f>
        <v/>
      </c>
      <c r="AC214" s="123">
        <f>IF(B214="",0,N(N214)*X214)</f>
        <v/>
      </c>
    </row>
    <row r="215" ht="15" customHeight="1" s="83">
      <c r="A215" s="120" t="n"/>
      <c r="B215" s="116" t="n"/>
      <c r="C215" s="116" t="n"/>
      <c r="D215" s="116" t="n"/>
      <c r="E215" s="116" t="n"/>
      <c r="F215" s="116" t="n"/>
      <c r="G215" s="116" t="n"/>
      <c r="H215" s="121">
        <f>IF(G215="","",IF(ISNUMBER(SEARCH("CAPITA",UPPER(G215))),651110,IF(ISNUMBER(SEARCH("REFUERZO",UPPER(G215))),651110,IF(ISNUMBER(SEARCH("VACUNACION",UPPER(G215))),651110,IF(ISNUMBER(SEARCH("ENFERMERIA",UPPER(G215))),651110,IF(ISNUMBER(SEARCH("APORTES",UPPER(G215))),651110,IF(ISNUMBER(SEARCH("HONORARIOS",UPPER(G215))),702010,IF(ISNUMBER(SEARCH("ADMINISTRACION",UPPER(G215))),702010,IF(ISNUMBER(SEARCH("GERENCIAMIENTO",UPPER(G215))),702010,IF(ISNUMBER(SEARCH("ALQUILER",UPPER(G215))),702010,IF(ISNUMBER(SEARCH("AUDITORIA",UPPER(G215))),702010,IF(ISNUMBER(SEARCH("PRESTACIONAL",UPPER(G215))),702010,702010))))))))))))</f>
        <v/>
      </c>
      <c r="I215" s="122" t="n"/>
      <c r="J215" s="122" t="n"/>
      <c r="K215" s="123">
        <f>IF(N(I215)&gt;0,ROUND(N(I215)*IVA_general,2),0)</f>
        <v/>
      </c>
      <c r="L215" s="122" t="n">
        <v>0</v>
      </c>
      <c r="M215" s="122" t="n"/>
      <c r="N215" s="123">
        <f>IF(SUM(I215:M215)=0,"",SUM(I215:M215))</f>
        <v/>
      </c>
      <c r="O215" s="124">
        <f>IF(A215="","",TEXT(A215,"yyyy-mm"))</f>
        <v/>
      </c>
      <c r="P215" s="121">
        <f>IF(A215="","",YEAR(A215))</f>
        <v/>
      </c>
      <c r="Q215" s="121">
        <f>IF(A215="","",MONTH(A215))</f>
        <v/>
      </c>
      <c r="R215" s="116" t="n"/>
      <c r="S215" s="116" t="n"/>
      <c r="T215" s="120" t="n"/>
      <c r="U215" s="122" t="n">
        <v>0</v>
      </c>
      <c r="V215" s="123">
        <f>IF(B215="","",N215-U215)</f>
        <v/>
      </c>
      <c r="W215" s="116" t="n"/>
      <c r="X215" s="125">
        <f>IF(B215="","",IF(LEFT(B215,2)="NC",-1,1))</f>
        <v/>
      </c>
      <c r="Y215" s="123">
        <f>IF(B215="",0,N(I215)*X215)</f>
        <v/>
      </c>
      <c r="Z215" s="123">
        <f>IF(B215="",0,N(J215)*X215)</f>
        <v/>
      </c>
      <c r="AA215" s="123">
        <f>IF(B215="",0,N(K215)*X215)</f>
        <v/>
      </c>
      <c r="AB215" s="123">
        <f>IF(B215="",0,N(L215)*X215)</f>
        <v/>
      </c>
      <c r="AC215" s="123">
        <f>IF(B215="",0,N(N215)*X215)</f>
        <v/>
      </c>
    </row>
    <row r="216" ht="15" customHeight="1" s="83">
      <c r="A216" s="120" t="n"/>
      <c r="B216" s="116" t="n"/>
      <c r="C216" s="116" t="n"/>
      <c r="D216" s="116" t="n"/>
      <c r="E216" s="116" t="n"/>
      <c r="F216" s="116" t="n"/>
      <c r="G216" s="116" t="n"/>
      <c r="H216" s="121">
        <f>IF(G216="","",IF(ISNUMBER(SEARCH("CAPITA",UPPER(G216))),651110,IF(ISNUMBER(SEARCH("REFUERZO",UPPER(G216))),651110,IF(ISNUMBER(SEARCH("VACUNACION",UPPER(G216))),651110,IF(ISNUMBER(SEARCH("ENFERMERIA",UPPER(G216))),651110,IF(ISNUMBER(SEARCH("APORTES",UPPER(G216))),651110,IF(ISNUMBER(SEARCH("HONORARIOS",UPPER(G216))),702010,IF(ISNUMBER(SEARCH("ADMINISTRACION",UPPER(G216))),702010,IF(ISNUMBER(SEARCH("GERENCIAMIENTO",UPPER(G216))),702010,IF(ISNUMBER(SEARCH("ALQUILER",UPPER(G216))),702010,IF(ISNUMBER(SEARCH("AUDITORIA",UPPER(G216))),702010,IF(ISNUMBER(SEARCH("PRESTACIONAL",UPPER(G216))),702010,702010))))))))))))</f>
        <v/>
      </c>
      <c r="I216" s="122" t="n"/>
      <c r="J216" s="122" t="n"/>
      <c r="K216" s="123">
        <f>IF(N(I216)&gt;0,ROUND(N(I216)*IVA_general,2),0)</f>
        <v/>
      </c>
      <c r="L216" s="122" t="n">
        <v>0</v>
      </c>
      <c r="M216" s="122" t="n"/>
      <c r="N216" s="123">
        <f>IF(SUM(I216:M216)=0,"",SUM(I216:M216))</f>
        <v/>
      </c>
      <c r="O216" s="124">
        <f>IF(A216="","",TEXT(A216,"yyyy-mm"))</f>
        <v/>
      </c>
      <c r="P216" s="121">
        <f>IF(A216="","",YEAR(A216))</f>
        <v/>
      </c>
      <c r="Q216" s="121">
        <f>IF(A216="","",MONTH(A216))</f>
        <v/>
      </c>
      <c r="R216" s="116" t="n"/>
      <c r="S216" s="116" t="n"/>
      <c r="T216" s="120" t="n"/>
      <c r="U216" s="122" t="n">
        <v>0</v>
      </c>
      <c r="V216" s="123">
        <f>IF(B216="","",N216-U216)</f>
        <v/>
      </c>
      <c r="W216" s="116" t="n"/>
      <c r="X216" s="125">
        <f>IF(B216="","",IF(LEFT(B216,2)="NC",-1,1))</f>
        <v/>
      </c>
      <c r="Y216" s="123">
        <f>IF(B216="",0,N(I216)*X216)</f>
        <v/>
      </c>
      <c r="Z216" s="123">
        <f>IF(B216="",0,N(J216)*X216)</f>
        <v/>
      </c>
      <c r="AA216" s="123">
        <f>IF(B216="",0,N(K216)*X216)</f>
        <v/>
      </c>
      <c r="AB216" s="123">
        <f>IF(B216="",0,N(L216)*X216)</f>
        <v/>
      </c>
      <c r="AC216" s="123">
        <f>IF(B216="",0,N(N216)*X216)</f>
        <v/>
      </c>
    </row>
    <row r="217" ht="15" customHeight="1" s="83">
      <c r="A217" s="120" t="n"/>
      <c r="B217" s="116" t="n"/>
      <c r="C217" s="116" t="n"/>
      <c r="D217" s="116" t="n"/>
      <c r="E217" s="116" t="n"/>
      <c r="F217" s="116" t="n"/>
      <c r="G217" s="116" t="n"/>
      <c r="H217" s="121">
        <f>IF(G217="","",IF(ISNUMBER(SEARCH("CAPITA",UPPER(G217))),651110,IF(ISNUMBER(SEARCH("REFUERZO",UPPER(G217))),651110,IF(ISNUMBER(SEARCH("VACUNACION",UPPER(G217))),651110,IF(ISNUMBER(SEARCH("ENFERMERIA",UPPER(G217))),651110,IF(ISNUMBER(SEARCH("APORTES",UPPER(G217))),651110,IF(ISNUMBER(SEARCH("HONORARIOS",UPPER(G217))),702010,IF(ISNUMBER(SEARCH("ADMINISTRACION",UPPER(G217))),702010,IF(ISNUMBER(SEARCH("GERENCIAMIENTO",UPPER(G217))),702010,IF(ISNUMBER(SEARCH("ALQUILER",UPPER(G217))),702010,IF(ISNUMBER(SEARCH("AUDITORIA",UPPER(G217))),702010,IF(ISNUMBER(SEARCH("PRESTACIONAL",UPPER(G217))),702010,702010))))))))))))</f>
        <v/>
      </c>
      <c r="I217" s="122" t="n"/>
      <c r="J217" s="122" t="n"/>
      <c r="K217" s="123">
        <f>IF(N(I217)&gt;0,ROUND(N(I217)*IVA_general,2),0)</f>
        <v/>
      </c>
      <c r="L217" s="122" t="n">
        <v>0</v>
      </c>
      <c r="M217" s="122" t="n"/>
      <c r="N217" s="123">
        <f>IF(SUM(I217:M217)=0,"",SUM(I217:M217))</f>
        <v/>
      </c>
      <c r="O217" s="124">
        <f>IF(A217="","",TEXT(A217,"yyyy-mm"))</f>
        <v/>
      </c>
      <c r="P217" s="121">
        <f>IF(A217="","",YEAR(A217))</f>
        <v/>
      </c>
      <c r="Q217" s="121">
        <f>IF(A217="","",MONTH(A217))</f>
        <v/>
      </c>
      <c r="R217" s="116" t="n"/>
      <c r="S217" s="116" t="n"/>
      <c r="T217" s="120" t="n"/>
      <c r="U217" s="122" t="n">
        <v>0</v>
      </c>
      <c r="V217" s="123">
        <f>IF(B217="","",N217-U217)</f>
        <v/>
      </c>
      <c r="W217" s="116" t="n"/>
      <c r="X217" s="125">
        <f>IF(B217="","",IF(LEFT(B217,2)="NC",-1,1))</f>
        <v/>
      </c>
      <c r="Y217" s="123">
        <f>IF(B217="",0,N(I217)*X217)</f>
        <v/>
      </c>
      <c r="Z217" s="123">
        <f>IF(B217="",0,N(J217)*X217)</f>
        <v/>
      </c>
      <c r="AA217" s="123">
        <f>IF(B217="",0,N(K217)*X217)</f>
        <v/>
      </c>
      <c r="AB217" s="123">
        <f>IF(B217="",0,N(L217)*X217)</f>
        <v/>
      </c>
      <c r="AC217" s="123">
        <f>IF(B217="",0,N(N217)*X217)</f>
        <v/>
      </c>
    </row>
    <row r="218" ht="15" customHeight="1" s="83">
      <c r="A218" s="120" t="n"/>
      <c r="B218" s="116" t="n"/>
      <c r="C218" s="116" t="n"/>
      <c r="D218" s="116" t="n"/>
      <c r="E218" s="116" t="n"/>
      <c r="F218" s="116" t="n"/>
      <c r="G218" s="116" t="n"/>
      <c r="H218" s="121">
        <f>IF(G218="","",IF(ISNUMBER(SEARCH("CAPITA",UPPER(G218))),651110,IF(ISNUMBER(SEARCH("REFUERZO",UPPER(G218))),651110,IF(ISNUMBER(SEARCH("VACUNACION",UPPER(G218))),651110,IF(ISNUMBER(SEARCH("ENFERMERIA",UPPER(G218))),651110,IF(ISNUMBER(SEARCH("APORTES",UPPER(G218))),651110,IF(ISNUMBER(SEARCH("HONORARIOS",UPPER(G218))),702010,IF(ISNUMBER(SEARCH("ADMINISTRACION",UPPER(G218))),702010,IF(ISNUMBER(SEARCH("GERENCIAMIENTO",UPPER(G218))),702010,IF(ISNUMBER(SEARCH("ALQUILER",UPPER(G218))),702010,IF(ISNUMBER(SEARCH("AUDITORIA",UPPER(G218))),702010,IF(ISNUMBER(SEARCH("PRESTACIONAL",UPPER(G218))),702010,702010))))))))))))</f>
        <v/>
      </c>
      <c r="I218" s="122" t="n"/>
      <c r="J218" s="122" t="n"/>
      <c r="K218" s="123">
        <f>IF(N(I218)&gt;0,ROUND(N(I218)*IVA_general,2),0)</f>
        <v/>
      </c>
      <c r="L218" s="122" t="n">
        <v>0</v>
      </c>
      <c r="M218" s="122" t="n"/>
      <c r="N218" s="123">
        <f>IF(SUM(I218:M218)=0,"",SUM(I218:M218))</f>
        <v/>
      </c>
      <c r="O218" s="124">
        <f>IF(A218="","",TEXT(A218,"yyyy-mm"))</f>
        <v/>
      </c>
      <c r="P218" s="121">
        <f>IF(A218="","",YEAR(A218))</f>
        <v/>
      </c>
      <c r="Q218" s="121">
        <f>IF(A218="","",MONTH(A218))</f>
        <v/>
      </c>
      <c r="R218" s="116" t="n"/>
      <c r="S218" s="116" t="n"/>
      <c r="T218" s="120" t="n"/>
      <c r="U218" s="122" t="n">
        <v>0</v>
      </c>
      <c r="V218" s="123">
        <f>IF(B218="","",N218-U218)</f>
        <v/>
      </c>
      <c r="W218" s="116" t="n"/>
      <c r="X218" s="125">
        <f>IF(B218="","",IF(LEFT(B218,2)="NC",-1,1))</f>
        <v/>
      </c>
      <c r="Y218" s="123">
        <f>IF(B218="",0,N(I218)*X218)</f>
        <v/>
      </c>
      <c r="Z218" s="123">
        <f>IF(B218="",0,N(J218)*X218)</f>
        <v/>
      </c>
      <c r="AA218" s="123">
        <f>IF(B218="",0,N(K218)*X218)</f>
        <v/>
      </c>
      <c r="AB218" s="123">
        <f>IF(B218="",0,N(L218)*X218)</f>
        <v/>
      </c>
      <c r="AC218" s="123">
        <f>IF(B218="",0,N(N218)*X218)</f>
        <v/>
      </c>
    </row>
    <row r="219" ht="15" customHeight="1" s="83">
      <c r="A219" s="120" t="n"/>
      <c r="B219" s="116" t="n"/>
      <c r="C219" s="116" t="n"/>
      <c r="D219" s="116" t="n"/>
      <c r="E219" s="116" t="n"/>
      <c r="F219" s="116" t="n"/>
      <c r="G219" s="116" t="n"/>
      <c r="H219" s="121">
        <f>IF(G219="","",IF(ISNUMBER(SEARCH("CAPITA",UPPER(G219))),651110,IF(ISNUMBER(SEARCH("REFUERZO",UPPER(G219))),651110,IF(ISNUMBER(SEARCH("VACUNACION",UPPER(G219))),651110,IF(ISNUMBER(SEARCH("ENFERMERIA",UPPER(G219))),651110,IF(ISNUMBER(SEARCH("APORTES",UPPER(G219))),651110,IF(ISNUMBER(SEARCH("HONORARIOS",UPPER(G219))),702010,IF(ISNUMBER(SEARCH("ADMINISTRACION",UPPER(G219))),702010,IF(ISNUMBER(SEARCH("GERENCIAMIENTO",UPPER(G219))),702010,IF(ISNUMBER(SEARCH("ALQUILER",UPPER(G219))),702010,IF(ISNUMBER(SEARCH("AUDITORIA",UPPER(G219))),702010,IF(ISNUMBER(SEARCH("PRESTACIONAL",UPPER(G219))),702010,702010))))))))))))</f>
        <v/>
      </c>
      <c r="I219" s="122" t="n"/>
      <c r="J219" s="122" t="n"/>
      <c r="K219" s="123">
        <f>IF(N(I219)&gt;0,ROUND(N(I219)*IVA_general,2),0)</f>
        <v/>
      </c>
      <c r="L219" s="122" t="n">
        <v>0</v>
      </c>
      <c r="M219" s="122" t="n"/>
      <c r="N219" s="123">
        <f>IF(SUM(I219:M219)=0,"",SUM(I219:M219))</f>
        <v/>
      </c>
      <c r="O219" s="124">
        <f>IF(A219="","",TEXT(A219,"yyyy-mm"))</f>
        <v/>
      </c>
      <c r="P219" s="121">
        <f>IF(A219="","",YEAR(A219))</f>
        <v/>
      </c>
      <c r="Q219" s="121">
        <f>IF(A219="","",MONTH(A219))</f>
        <v/>
      </c>
      <c r="R219" s="116" t="n"/>
      <c r="S219" s="116" t="n"/>
      <c r="T219" s="120" t="n"/>
      <c r="U219" s="122" t="n">
        <v>0</v>
      </c>
      <c r="V219" s="123">
        <f>IF(B219="","",N219-U219)</f>
        <v/>
      </c>
      <c r="W219" s="116" t="n"/>
      <c r="X219" s="125">
        <f>IF(B219="","",IF(LEFT(B219,2)="NC",-1,1))</f>
        <v/>
      </c>
      <c r="Y219" s="123">
        <f>IF(B219="",0,N(I219)*X219)</f>
        <v/>
      </c>
      <c r="Z219" s="123">
        <f>IF(B219="",0,N(J219)*X219)</f>
        <v/>
      </c>
      <c r="AA219" s="123">
        <f>IF(B219="",0,N(K219)*X219)</f>
        <v/>
      </c>
      <c r="AB219" s="123">
        <f>IF(B219="",0,N(L219)*X219)</f>
        <v/>
      </c>
      <c r="AC219" s="123">
        <f>IF(B219="",0,N(N219)*X219)</f>
        <v/>
      </c>
    </row>
    <row r="220" ht="15" customHeight="1" s="83">
      <c r="A220" s="120" t="n"/>
      <c r="B220" s="116" t="n"/>
      <c r="C220" s="116" t="n"/>
      <c r="D220" s="116" t="n"/>
      <c r="E220" s="116" t="n"/>
      <c r="F220" s="116" t="n"/>
      <c r="G220" s="116" t="n"/>
      <c r="H220" s="121">
        <f>IF(G220="","",IF(ISNUMBER(SEARCH("CAPITA",UPPER(G220))),651110,IF(ISNUMBER(SEARCH("REFUERZO",UPPER(G220))),651110,IF(ISNUMBER(SEARCH("VACUNACION",UPPER(G220))),651110,IF(ISNUMBER(SEARCH("ENFERMERIA",UPPER(G220))),651110,IF(ISNUMBER(SEARCH("APORTES",UPPER(G220))),651110,IF(ISNUMBER(SEARCH("HONORARIOS",UPPER(G220))),702010,IF(ISNUMBER(SEARCH("ADMINISTRACION",UPPER(G220))),702010,IF(ISNUMBER(SEARCH("GERENCIAMIENTO",UPPER(G220))),702010,IF(ISNUMBER(SEARCH("ALQUILER",UPPER(G220))),702010,IF(ISNUMBER(SEARCH("AUDITORIA",UPPER(G220))),702010,IF(ISNUMBER(SEARCH("PRESTACIONAL",UPPER(G220))),702010,702010))))))))))))</f>
        <v/>
      </c>
      <c r="I220" s="122" t="n"/>
      <c r="J220" s="122" t="n"/>
      <c r="K220" s="123">
        <f>IF(N(I220)&gt;0,ROUND(N(I220)*IVA_general,2),0)</f>
        <v/>
      </c>
      <c r="L220" s="122" t="n">
        <v>0</v>
      </c>
      <c r="M220" s="122" t="n"/>
      <c r="N220" s="123">
        <f>IF(SUM(I220:M220)=0,"",SUM(I220:M220))</f>
        <v/>
      </c>
      <c r="O220" s="124">
        <f>IF(A220="","",TEXT(A220,"yyyy-mm"))</f>
        <v/>
      </c>
      <c r="P220" s="121">
        <f>IF(A220="","",YEAR(A220))</f>
        <v/>
      </c>
      <c r="Q220" s="121">
        <f>IF(A220="","",MONTH(A220))</f>
        <v/>
      </c>
      <c r="R220" s="116" t="n"/>
      <c r="S220" s="116" t="n"/>
      <c r="T220" s="120" t="n"/>
      <c r="U220" s="122" t="n">
        <v>0</v>
      </c>
      <c r="V220" s="123">
        <f>IF(B220="","",N220-U220)</f>
        <v/>
      </c>
      <c r="W220" s="116" t="n"/>
      <c r="X220" s="125">
        <f>IF(B220="","",IF(LEFT(B220,2)="NC",-1,1))</f>
        <v/>
      </c>
      <c r="Y220" s="123">
        <f>IF(B220="",0,N(I220)*X220)</f>
        <v/>
      </c>
      <c r="Z220" s="123">
        <f>IF(B220="",0,N(J220)*X220)</f>
        <v/>
      </c>
      <c r="AA220" s="123">
        <f>IF(B220="",0,N(K220)*X220)</f>
        <v/>
      </c>
      <c r="AB220" s="123">
        <f>IF(B220="",0,N(L220)*X220)</f>
        <v/>
      </c>
      <c r="AC220" s="123">
        <f>IF(B220="",0,N(N220)*X220)</f>
        <v/>
      </c>
    </row>
    <row r="221" ht="15" customHeight="1" s="83">
      <c r="A221" s="120" t="n"/>
      <c r="B221" s="116" t="n"/>
      <c r="C221" s="116" t="n"/>
      <c r="D221" s="116" t="n"/>
      <c r="E221" s="116" t="n"/>
      <c r="F221" s="116" t="n"/>
      <c r="G221" s="116" t="n"/>
      <c r="H221" s="121">
        <f>IF(G221="","",IF(ISNUMBER(SEARCH("CAPITA",UPPER(G221))),651110,IF(ISNUMBER(SEARCH("REFUERZO",UPPER(G221))),651110,IF(ISNUMBER(SEARCH("VACUNACION",UPPER(G221))),651110,IF(ISNUMBER(SEARCH("ENFERMERIA",UPPER(G221))),651110,IF(ISNUMBER(SEARCH("APORTES",UPPER(G221))),651110,IF(ISNUMBER(SEARCH("HONORARIOS",UPPER(G221))),702010,IF(ISNUMBER(SEARCH("ADMINISTRACION",UPPER(G221))),702010,IF(ISNUMBER(SEARCH("GERENCIAMIENTO",UPPER(G221))),702010,IF(ISNUMBER(SEARCH("ALQUILER",UPPER(G221))),702010,IF(ISNUMBER(SEARCH("AUDITORIA",UPPER(G221))),702010,IF(ISNUMBER(SEARCH("PRESTACIONAL",UPPER(G221))),702010,702010))))))))))))</f>
        <v/>
      </c>
      <c r="I221" s="122" t="n"/>
      <c r="J221" s="122" t="n"/>
      <c r="K221" s="123">
        <f>IF(N(I221)&gt;0,ROUND(N(I221)*IVA_general,2),0)</f>
        <v/>
      </c>
      <c r="L221" s="122" t="n">
        <v>0</v>
      </c>
      <c r="M221" s="122" t="n"/>
      <c r="N221" s="123">
        <f>IF(SUM(I221:M221)=0,"",SUM(I221:M221))</f>
        <v/>
      </c>
      <c r="O221" s="124">
        <f>IF(A221="","",TEXT(A221,"yyyy-mm"))</f>
        <v/>
      </c>
      <c r="P221" s="121">
        <f>IF(A221="","",YEAR(A221))</f>
        <v/>
      </c>
      <c r="Q221" s="121">
        <f>IF(A221="","",MONTH(A221))</f>
        <v/>
      </c>
      <c r="R221" s="116" t="n"/>
      <c r="S221" s="116" t="n"/>
      <c r="T221" s="120" t="n"/>
      <c r="U221" s="122" t="n">
        <v>0</v>
      </c>
      <c r="V221" s="123">
        <f>IF(B221="","",N221-U221)</f>
        <v/>
      </c>
      <c r="W221" s="116" t="n"/>
      <c r="X221" s="125">
        <f>IF(B221="","",IF(LEFT(B221,2)="NC",-1,1))</f>
        <v/>
      </c>
      <c r="Y221" s="123">
        <f>IF(B221="",0,N(I221)*X221)</f>
        <v/>
      </c>
      <c r="Z221" s="123">
        <f>IF(B221="",0,N(J221)*X221)</f>
        <v/>
      </c>
      <c r="AA221" s="123">
        <f>IF(B221="",0,N(K221)*X221)</f>
        <v/>
      </c>
      <c r="AB221" s="123">
        <f>IF(B221="",0,N(L221)*X221)</f>
        <v/>
      </c>
      <c r="AC221" s="123">
        <f>IF(B221="",0,N(N221)*X221)</f>
        <v/>
      </c>
    </row>
    <row r="222" ht="15" customHeight="1" s="83">
      <c r="A222" s="120" t="n"/>
      <c r="B222" s="116" t="n"/>
      <c r="C222" s="116" t="n"/>
      <c r="D222" s="116" t="n"/>
      <c r="E222" s="116" t="n"/>
      <c r="F222" s="116" t="n"/>
      <c r="G222" s="116" t="n"/>
      <c r="H222" s="121">
        <f>IF(G222="","",IF(ISNUMBER(SEARCH("CAPITA",UPPER(G222))),651110,IF(ISNUMBER(SEARCH("REFUERZO",UPPER(G222))),651110,IF(ISNUMBER(SEARCH("VACUNACION",UPPER(G222))),651110,IF(ISNUMBER(SEARCH("ENFERMERIA",UPPER(G222))),651110,IF(ISNUMBER(SEARCH("APORTES",UPPER(G222))),651110,IF(ISNUMBER(SEARCH("HONORARIOS",UPPER(G222))),702010,IF(ISNUMBER(SEARCH("ADMINISTRACION",UPPER(G222))),702010,IF(ISNUMBER(SEARCH("GERENCIAMIENTO",UPPER(G222))),702010,IF(ISNUMBER(SEARCH("ALQUILER",UPPER(G222))),702010,IF(ISNUMBER(SEARCH("AUDITORIA",UPPER(G222))),702010,IF(ISNUMBER(SEARCH("PRESTACIONAL",UPPER(G222))),702010,702010))))))))))))</f>
        <v/>
      </c>
      <c r="I222" s="122" t="n"/>
      <c r="J222" s="122" t="n"/>
      <c r="K222" s="123">
        <f>IF(N(I222)&gt;0,ROUND(N(I222)*IVA_general,2),0)</f>
        <v/>
      </c>
      <c r="L222" s="122" t="n">
        <v>0</v>
      </c>
      <c r="M222" s="122" t="n"/>
      <c r="N222" s="123">
        <f>IF(SUM(I222:M222)=0,"",SUM(I222:M222))</f>
        <v/>
      </c>
      <c r="O222" s="124">
        <f>IF(A222="","",TEXT(A222,"yyyy-mm"))</f>
        <v/>
      </c>
      <c r="P222" s="121">
        <f>IF(A222="","",YEAR(A222))</f>
        <v/>
      </c>
      <c r="Q222" s="121">
        <f>IF(A222="","",MONTH(A222))</f>
        <v/>
      </c>
      <c r="R222" s="116" t="n"/>
      <c r="S222" s="116" t="n"/>
      <c r="T222" s="120" t="n"/>
      <c r="U222" s="122" t="n">
        <v>0</v>
      </c>
      <c r="V222" s="123">
        <f>IF(B222="","",N222-U222)</f>
        <v/>
      </c>
      <c r="W222" s="116" t="n"/>
      <c r="X222" s="125">
        <f>IF(B222="","",IF(LEFT(B222,2)="NC",-1,1))</f>
        <v/>
      </c>
      <c r="Y222" s="123">
        <f>IF(B222="",0,N(I222)*X222)</f>
        <v/>
      </c>
      <c r="Z222" s="123">
        <f>IF(B222="",0,N(J222)*X222)</f>
        <v/>
      </c>
      <c r="AA222" s="123">
        <f>IF(B222="",0,N(K222)*X222)</f>
        <v/>
      </c>
      <c r="AB222" s="123">
        <f>IF(B222="",0,N(L222)*X222)</f>
        <v/>
      </c>
      <c r="AC222" s="123">
        <f>IF(B222="",0,N(N222)*X222)</f>
        <v/>
      </c>
    </row>
    <row r="223" ht="15" customHeight="1" s="83">
      <c r="A223" s="120" t="n"/>
      <c r="B223" s="116" t="n"/>
      <c r="C223" s="116" t="n"/>
      <c r="D223" s="116" t="n"/>
      <c r="E223" s="116" t="n"/>
      <c r="F223" s="116" t="n"/>
      <c r="G223" s="116" t="n"/>
      <c r="H223" s="121">
        <f>IF(G223="","",IF(ISNUMBER(SEARCH("CAPITA",UPPER(G223))),651110,IF(ISNUMBER(SEARCH("REFUERZO",UPPER(G223))),651110,IF(ISNUMBER(SEARCH("VACUNACION",UPPER(G223))),651110,IF(ISNUMBER(SEARCH("ENFERMERIA",UPPER(G223))),651110,IF(ISNUMBER(SEARCH("APORTES",UPPER(G223))),651110,IF(ISNUMBER(SEARCH("HONORARIOS",UPPER(G223))),702010,IF(ISNUMBER(SEARCH("ADMINISTRACION",UPPER(G223))),702010,IF(ISNUMBER(SEARCH("GERENCIAMIENTO",UPPER(G223))),702010,IF(ISNUMBER(SEARCH("ALQUILER",UPPER(G223))),702010,IF(ISNUMBER(SEARCH("AUDITORIA",UPPER(G223))),702010,IF(ISNUMBER(SEARCH("PRESTACIONAL",UPPER(G223))),702010,702010))))))))))))</f>
        <v/>
      </c>
      <c r="I223" s="122" t="n"/>
      <c r="J223" s="122" t="n"/>
      <c r="K223" s="123">
        <f>IF(N(I223)&gt;0,ROUND(N(I223)*IVA_general,2),0)</f>
        <v/>
      </c>
      <c r="L223" s="122" t="n">
        <v>0</v>
      </c>
      <c r="M223" s="122" t="n"/>
      <c r="N223" s="123">
        <f>IF(SUM(I223:M223)=0,"",SUM(I223:M223))</f>
        <v/>
      </c>
      <c r="O223" s="124">
        <f>IF(A223="","",TEXT(A223,"yyyy-mm"))</f>
        <v/>
      </c>
      <c r="P223" s="121">
        <f>IF(A223="","",YEAR(A223))</f>
        <v/>
      </c>
      <c r="Q223" s="121">
        <f>IF(A223="","",MONTH(A223))</f>
        <v/>
      </c>
      <c r="R223" s="116" t="n"/>
      <c r="S223" s="116" t="n"/>
      <c r="T223" s="120" t="n"/>
      <c r="U223" s="122" t="n">
        <v>0</v>
      </c>
      <c r="V223" s="123">
        <f>IF(B223="","",N223-U223)</f>
        <v/>
      </c>
      <c r="W223" s="116" t="n"/>
      <c r="X223" s="125">
        <f>IF(B223="","",IF(LEFT(B223,2)="NC",-1,1))</f>
        <v/>
      </c>
      <c r="Y223" s="123">
        <f>IF(B223="",0,N(I223)*X223)</f>
        <v/>
      </c>
      <c r="Z223" s="123">
        <f>IF(B223="",0,N(J223)*X223)</f>
        <v/>
      </c>
      <c r="AA223" s="123">
        <f>IF(B223="",0,N(K223)*X223)</f>
        <v/>
      </c>
      <c r="AB223" s="123">
        <f>IF(B223="",0,N(L223)*X223)</f>
        <v/>
      </c>
      <c r="AC223" s="123">
        <f>IF(B223="",0,N(N223)*X223)</f>
        <v/>
      </c>
    </row>
    <row r="224" ht="15" customHeight="1" s="83">
      <c r="A224" s="120" t="n"/>
      <c r="B224" s="116" t="n"/>
      <c r="C224" s="116" t="n"/>
      <c r="D224" s="116" t="n"/>
      <c r="E224" s="116" t="n"/>
      <c r="F224" s="116" t="n"/>
      <c r="G224" s="116" t="n"/>
      <c r="H224" s="121">
        <f>IF(G224="","",IF(ISNUMBER(SEARCH("CAPITA",UPPER(G224))),651110,IF(ISNUMBER(SEARCH("REFUERZO",UPPER(G224))),651110,IF(ISNUMBER(SEARCH("VACUNACION",UPPER(G224))),651110,IF(ISNUMBER(SEARCH("ENFERMERIA",UPPER(G224))),651110,IF(ISNUMBER(SEARCH("APORTES",UPPER(G224))),651110,IF(ISNUMBER(SEARCH("HONORARIOS",UPPER(G224))),702010,IF(ISNUMBER(SEARCH("ADMINISTRACION",UPPER(G224))),702010,IF(ISNUMBER(SEARCH("GERENCIAMIENTO",UPPER(G224))),702010,IF(ISNUMBER(SEARCH("ALQUILER",UPPER(G224))),702010,IF(ISNUMBER(SEARCH("AUDITORIA",UPPER(G224))),702010,IF(ISNUMBER(SEARCH("PRESTACIONAL",UPPER(G224))),702010,702010))))))))))))</f>
        <v/>
      </c>
      <c r="I224" s="122" t="n"/>
      <c r="J224" s="122" t="n"/>
      <c r="K224" s="123">
        <f>IF(N(I224)&gt;0,ROUND(N(I224)*IVA_general,2),0)</f>
        <v/>
      </c>
      <c r="L224" s="122" t="n">
        <v>0</v>
      </c>
      <c r="M224" s="122" t="n"/>
      <c r="N224" s="123">
        <f>IF(SUM(I224:M224)=0,"",SUM(I224:M224))</f>
        <v/>
      </c>
      <c r="O224" s="124">
        <f>IF(A224="","",TEXT(A224,"yyyy-mm"))</f>
        <v/>
      </c>
      <c r="P224" s="121">
        <f>IF(A224="","",YEAR(A224))</f>
        <v/>
      </c>
      <c r="Q224" s="121">
        <f>IF(A224="","",MONTH(A224))</f>
        <v/>
      </c>
      <c r="R224" s="116" t="n"/>
      <c r="S224" s="116" t="n"/>
      <c r="T224" s="120" t="n"/>
      <c r="U224" s="122" t="n">
        <v>0</v>
      </c>
      <c r="V224" s="123">
        <f>IF(B224="","",N224-U224)</f>
        <v/>
      </c>
      <c r="W224" s="116" t="n"/>
      <c r="X224" s="125">
        <f>IF(B224="","",IF(LEFT(B224,2)="NC",-1,1))</f>
        <v/>
      </c>
      <c r="Y224" s="123">
        <f>IF(B224="",0,N(I224)*X224)</f>
        <v/>
      </c>
      <c r="Z224" s="123">
        <f>IF(B224="",0,N(J224)*X224)</f>
        <v/>
      </c>
      <c r="AA224" s="123">
        <f>IF(B224="",0,N(K224)*X224)</f>
        <v/>
      </c>
      <c r="AB224" s="123">
        <f>IF(B224="",0,N(L224)*X224)</f>
        <v/>
      </c>
      <c r="AC224" s="123">
        <f>IF(B224="",0,N(N224)*X224)</f>
        <v/>
      </c>
    </row>
    <row r="225" ht="15" customHeight="1" s="83">
      <c r="A225" s="120" t="n"/>
      <c r="B225" s="116" t="n"/>
      <c r="C225" s="116" t="n"/>
      <c r="D225" s="116" t="n"/>
      <c r="E225" s="116" t="n"/>
      <c r="F225" s="116" t="n"/>
      <c r="G225" s="116" t="n"/>
      <c r="H225" s="121">
        <f>IF(G225="","",IF(ISNUMBER(SEARCH("CAPITA",UPPER(G225))),651110,IF(ISNUMBER(SEARCH("REFUERZO",UPPER(G225))),651110,IF(ISNUMBER(SEARCH("VACUNACION",UPPER(G225))),651110,IF(ISNUMBER(SEARCH("ENFERMERIA",UPPER(G225))),651110,IF(ISNUMBER(SEARCH("APORTES",UPPER(G225))),651110,IF(ISNUMBER(SEARCH("HONORARIOS",UPPER(G225))),702010,IF(ISNUMBER(SEARCH("ADMINISTRACION",UPPER(G225))),702010,IF(ISNUMBER(SEARCH("GERENCIAMIENTO",UPPER(G225))),702010,IF(ISNUMBER(SEARCH("ALQUILER",UPPER(G225))),702010,IF(ISNUMBER(SEARCH("AUDITORIA",UPPER(G225))),702010,IF(ISNUMBER(SEARCH("PRESTACIONAL",UPPER(G225))),702010,702010))))))))))))</f>
        <v/>
      </c>
      <c r="I225" s="122" t="n"/>
      <c r="J225" s="122" t="n"/>
      <c r="K225" s="123">
        <f>IF(N(I225)&gt;0,ROUND(N(I225)*IVA_general,2),0)</f>
        <v/>
      </c>
      <c r="L225" s="122" t="n">
        <v>0</v>
      </c>
      <c r="M225" s="122" t="n"/>
      <c r="N225" s="123">
        <f>IF(SUM(I225:M225)=0,"",SUM(I225:M225))</f>
        <v/>
      </c>
      <c r="O225" s="124">
        <f>IF(A225="","",TEXT(A225,"yyyy-mm"))</f>
        <v/>
      </c>
      <c r="P225" s="121">
        <f>IF(A225="","",YEAR(A225))</f>
        <v/>
      </c>
      <c r="Q225" s="121">
        <f>IF(A225="","",MONTH(A225))</f>
        <v/>
      </c>
      <c r="R225" s="116" t="n"/>
      <c r="S225" s="116" t="n"/>
      <c r="T225" s="120" t="n"/>
      <c r="U225" s="122" t="n">
        <v>0</v>
      </c>
      <c r="V225" s="123">
        <f>IF(B225="","",N225-U225)</f>
        <v/>
      </c>
      <c r="W225" s="116" t="n"/>
      <c r="X225" s="125">
        <f>IF(B225="","",IF(LEFT(B225,2)="NC",-1,1))</f>
        <v/>
      </c>
      <c r="Y225" s="123">
        <f>IF(B225="",0,N(I225)*X225)</f>
        <v/>
      </c>
      <c r="Z225" s="123">
        <f>IF(B225="",0,N(J225)*X225)</f>
        <v/>
      </c>
      <c r="AA225" s="123">
        <f>IF(B225="",0,N(K225)*X225)</f>
        <v/>
      </c>
      <c r="AB225" s="123">
        <f>IF(B225="",0,N(L225)*X225)</f>
        <v/>
      </c>
      <c r="AC225" s="123">
        <f>IF(B225="",0,N(N225)*X225)</f>
        <v/>
      </c>
    </row>
    <row r="226" ht="15" customHeight="1" s="83">
      <c r="A226" s="120" t="n"/>
      <c r="B226" s="116" t="n"/>
      <c r="C226" s="116" t="n"/>
      <c r="D226" s="116" t="n"/>
      <c r="E226" s="116" t="n"/>
      <c r="F226" s="116" t="n"/>
      <c r="G226" s="116" t="n"/>
      <c r="H226" s="121">
        <f>IF(G226="","",IF(ISNUMBER(SEARCH("CAPITA",UPPER(G226))),651110,IF(ISNUMBER(SEARCH("REFUERZO",UPPER(G226))),651110,IF(ISNUMBER(SEARCH("VACUNACION",UPPER(G226))),651110,IF(ISNUMBER(SEARCH("ENFERMERIA",UPPER(G226))),651110,IF(ISNUMBER(SEARCH("APORTES",UPPER(G226))),651110,IF(ISNUMBER(SEARCH("HONORARIOS",UPPER(G226))),702010,IF(ISNUMBER(SEARCH("ADMINISTRACION",UPPER(G226))),702010,IF(ISNUMBER(SEARCH("GERENCIAMIENTO",UPPER(G226))),702010,IF(ISNUMBER(SEARCH("ALQUILER",UPPER(G226))),702010,IF(ISNUMBER(SEARCH("AUDITORIA",UPPER(G226))),702010,IF(ISNUMBER(SEARCH("PRESTACIONAL",UPPER(G226))),702010,702010))))))))))))</f>
        <v/>
      </c>
      <c r="I226" s="122" t="n"/>
      <c r="J226" s="122" t="n"/>
      <c r="K226" s="123">
        <f>IF(N(I226)&gt;0,ROUND(N(I226)*IVA_general,2),0)</f>
        <v/>
      </c>
      <c r="L226" s="122" t="n">
        <v>0</v>
      </c>
      <c r="M226" s="122" t="n"/>
      <c r="N226" s="123">
        <f>IF(SUM(I226:M226)=0,"",SUM(I226:M226))</f>
        <v/>
      </c>
      <c r="O226" s="124">
        <f>IF(A226="","",TEXT(A226,"yyyy-mm"))</f>
        <v/>
      </c>
      <c r="P226" s="121">
        <f>IF(A226="","",YEAR(A226))</f>
        <v/>
      </c>
      <c r="Q226" s="121">
        <f>IF(A226="","",MONTH(A226))</f>
        <v/>
      </c>
      <c r="R226" s="116" t="n"/>
      <c r="S226" s="116" t="n"/>
      <c r="T226" s="120" t="n"/>
      <c r="U226" s="122" t="n">
        <v>0</v>
      </c>
      <c r="V226" s="123">
        <f>IF(B226="","",N226-U226)</f>
        <v/>
      </c>
      <c r="W226" s="116" t="n"/>
      <c r="X226" s="125">
        <f>IF(B226="","",IF(LEFT(B226,2)="NC",-1,1))</f>
        <v/>
      </c>
      <c r="Y226" s="123">
        <f>IF(B226="",0,N(I226)*X226)</f>
        <v/>
      </c>
      <c r="Z226" s="123">
        <f>IF(B226="",0,N(J226)*X226)</f>
        <v/>
      </c>
      <c r="AA226" s="123">
        <f>IF(B226="",0,N(K226)*X226)</f>
        <v/>
      </c>
      <c r="AB226" s="123">
        <f>IF(B226="",0,N(L226)*X226)</f>
        <v/>
      </c>
      <c r="AC226" s="123">
        <f>IF(B226="",0,N(N226)*X226)</f>
        <v/>
      </c>
    </row>
    <row r="227" ht="15" customHeight="1" s="83">
      <c r="A227" s="120" t="n"/>
      <c r="B227" s="116" t="n"/>
      <c r="C227" s="116" t="n"/>
      <c r="D227" s="116" t="n"/>
      <c r="E227" s="116" t="n"/>
      <c r="F227" s="116" t="n"/>
      <c r="G227" s="116" t="n"/>
      <c r="H227" s="121">
        <f>IF(G227="","",IF(ISNUMBER(SEARCH("CAPITA",UPPER(G227))),651110,IF(ISNUMBER(SEARCH("REFUERZO",UPPER(G227))),651110,IF(ISNUMBER(SEARCH("VACUNACION",UPPER(G227))),651110,IF(ISNUMBER(SEARCH("ENFERMERIA",UPPER(G227))),651110,IF(ISNUMBER(SEARCH("APORTES",UPPER(G227))),651110,IF(ISNUMBER(SEARCH("HONORARIOS",UPPER(G227))),702010,IF(ISNUMBER(SEARCH("ADMINISTRACION",UPPER(G227))),702010,IF(ISNUMBER(SEARCH("GERENCIAMIENTO",UPPER(G227))),702010,IF(ISNUMBER(SEARCH("ALQUILER",UPPER(G227))),702010,IF(ISNUMBER(SEARCH("AUDITORIA",UPPER(G227))),702010,IF(ISNUMBER(SEARCH("PRESTACIONAL",UPPER(G227))),702010,702010))))))))))))</f>
        <v/>
      </c>
      <c r="I227" s="122" t="n"/>
      <c r="J227" s="122" t="n"/>
      <c r="K227" s="123">
        <f>IF(N(I227)&gt;0,ROUND(N(I227)*IVA_general,2),0)</f>
        <v/>
      </c>
      <c r="L227" s="122" t="n">
        <v>0</v>
      </c>
      <c r="M227" s="122" t="n"/>
      <c r="N227" s="123">
        <f>IF(SUM(I227:M227)=0,"",SUM(I227:M227))</f>
        <v/>
      </c>
      <c r="O227" s="124">
        <f>IF(A227="","",TEXT(A227,"yyyy-mm"))</f>
        <v/>
      </c>
      <c r="P227" s="121">
        <f>IF(A227="","",YEAR(A227))</f>
        <v/>
      </c>
      <c r="Q227" s="121">
        <f>IF(A227="","",MONTH(A227))</f>
        <v/>
      </c>
      <c r="R227" s="116" t="n"/>
      <c r="S227" s="116" t="n"/>
      <c r="T227" s="120" t="n"/>
      <c r="U227" s="122" t="n">
        <v>0</v>
      </c>
      <c r="V227" s="123">
        <f>IF(B227="","",N227-U227)</f>
        <v/>
      </c>
      <c r="W227" s="116" t="n"/>
      <c r="X227" s="125">
        <f>IF(B227="","",IF(LEFT(B227,2)="NC",-1,1))</f>
        <v/>
      </c>
      <c r="Y227" s="123">
        <f>IF(B227="",0,N(I227)*X227)</f>
        <v/>
      </c>
      <c r="Z227" s="123">
        <f>IF(B227="",0,N(J227)*X227)</f>
        <v/>
      </c>
      <c r="AA227" s="123">
        <f>IF(B227="",0,N(K227)*X227)</f>
        <v/>
      </c>
      <c r="AB227" s="123">
        <f>IF(B227="",0,N(L227)*X227)</f>
        <v/>
      </c>
      <c r="AC227" s="123">
        <f>IF(B227="",0,N(N227)*X227)</f>
        <v/>
      </c>
    </row>
    <row r="228" ht="15" customHeight="1" s="83">
      <c r="A228" s="120" t="n"/>
      <c r="B228" s="116" t="n"/>
      <c r="C228" s="116" t="n"/>
      <c r="D228" s="116" t="n"/>
      <c r="E228" s="116" t="n"/>
      <c r="F228" s="116" t="n"/>
      <c r="G228" s="116" t="n"/>
      <c r="H228" s="121">
        <f>IF(G228="","",IF(ISNUMBER(SEARCH("CAPITA",UPPER(G228))),651110,IF(ISNUMBER(SEARCH("REFUERZO",UPPER(G228))),651110,IF(ISNUMBER(SEARCH("VACUNACION",UPPER(G228))),651110,IF(ISNUMBER(SEARCH("ENFERMERIA",UPPER(G228))),651110,IF(ISNUMBER(SEARCH("APORTES",UPPER(G228))),651110,IF(ISNUMBER(SEARCH("HONORARIOS",UPPER(G228))),702010,IF(ISNUMBER(SEARCH("ADMINISTRACION",UPPER(G228))),702010,IF(ISNUMBER(SEARCH("GERENCIAMIENTO",UPPER(G228))),702010,IF(ISNUMBER(SEARCH("ALQUILER",UPPER(G228))),702010,IF(ISNUMBER(SEARCH("AUDITORIA",UPPER(G228))),702010,IF(ISNUMBER(SEARCH("PRESTACIONAL",UPPER(G228))),702010,702010))))))))))))</f>
        <v/>
      </c>
      <c r="I228" s="122" t="n"/>
      <c r="J228" s="122" t="n"/>
      <c r="K228" s="123">
        <f>IF(N(I228)&gt;0,ROUND(N(I228)*IVA_general,2),0)</f>
        <v/>
      </c>
      <c r="L228" s="122" t="n">
        <v>0</v>
      </c>
      <c r="M228" s="122" t="n"/>
      <c r="N228" s="123">
        <f>IF(SUM(I228:M228)=0,"",SUM(I228:M228))</f>
        <v/>
      </c>
      <c r="O228" s="124">
        <f>IF(A228="","",TEXT(A228,"yyyy-mm"))</f>
        <v/>
      </c>
      <c r="P228" s="121">
        <f>IF(A228="","",YEAR(A228))</f>
        <v/>
      </c>
      <c r="Q228" s="121">
        <f>IF(A228="","",MONTH(A228))</f>
        <v/>
      </c>
      <c r="R228" s="116" t="n"/>
      <c r="S228" s="116" t="n"/>
      <c r="T228" s="120" t="n"/>
      <c r="U228" s="122" t="n">
        <v>0</v>
      </c>
      <c r="V228" s="123">
        <f>IF(B228="","",N228-U228)</f>
        <v/>
      </c>
      <c r="W228" s="116" t="n"/>
      <c r="X228" s="125">
        <f>IF(B228="","",IF(LEFT(B228,2)="NC",-1,1))</f>
        <v/>
      </c>
      <c r="Y228" s="123">
        <f>IF(B228="",0,N(I228)*X228)</f>
        <v/>
      </c>
      <c r="Z228" s="123">
        <f>IF(B228="",0,N(J228)*X228)</f>
        <v/>
      </c>
      <c r="AA228" s="123">
        <f>IF(B228="",0,N(K228)*X228)</f>
        <v/>
      </c>
      <c r="AB228" s="123">
        <f>IF(B228="",0,N(L228)*X228)</f>
        <v/>
      </c>
      <c r="AC228" s="123">
        <f>IF(B228="",0,N(N228)*X228)</f>
        <v/>
      </c>
    </row>
    <row r="229" ht="15" customHeight="1" s="83">
      <c r="A229" s="120" t="n"/>
      <c r="B229" s="116" t="n"/>
      <c r="C229" s="116" t="n"/>
      <c r="D229" s="116" t="n"/>
      <c r="E229" s="116" t="n"/>
      <c r="F229" s="116" t="n"/>
      <c r="G229" s="116" t="n"/>
      <c r="H229" s="121">
        <f>IF(G229="","",IF(ISNUMBER(SEARCH("CAPITA",UPPER(G229))),651110,IF(ISNUMBER(SEARCH("REFUERZO",UPPER(G229))),651110,IF(ISNUMBER(SEARCH("VACUNACION",UPPER(G229))),651110,IF(ISNUMBER(SEARCH("ENFERMERIA",UPPER(G229))),651110,IF(ISNUMBER(SEARCH("APORTES",UPPER(G229))),651110,IF(ISNUMBER(SEARCH("HONORARIOS",UPPER(G229))),702010,IF(ISNUMBER(SEARCH("ADMINISTRACION",UPPER(G229))),702010,IF(ISNUMBER(SEARCH("GERENCIAMIENTO",UPPER(G229))),702010,IF(ISNUMBER(SEARCH("ALQUILER",UPPER(G229))),702010,IF(ISNUMBER(SEARCH("AUDITORIA",UPPER(G229))),702010,IF(ISNUMBER(SEARCH("PRESTACIONAL",UPPER(G229))),702010,702010))))))))))))</f>
        <v/>
      </c>
      <c r="I229" s="122" t="n"/>
      <c r="J229" s="122" t="n"/>
      <c r="K229" s="123">
        <f>IF(N(I229)&gt;0,ROUND(N(I229)*IVA_general,2),0)</f>
        <v/>
      </c>
      <c r="L229" s="122" t="n">
        <v>0</v>
      </c>
      <c r="M229" s="122" t="n"/>
      <c r="N229" s="123">
        <f>IF(SUM(I229:M229)=0,"",SUM(I229:M229))</f>
        <v/>
      </c>
      <c r="O229" s="124">
        <f>IF(A229="","",TEXT(A229,"yyyy-mm"))</f>
        <v/>
      </c>
      <c r="P229" s="121">
        <f>IF(A229="","",YEAR(A229))</f>
        <v/>
      </c>
      <c r="Q229" s="121">
        <f>IF(A229="","",MONTH(A229))</f>
        <v/>
      </c>
      <c r="R229" s="116" t="n"/>
      <c r="S229" s="116" t="n"/>
      <c r="T229" s="120" t="n"/>
      <c r="U229" s="122" t="n">
        <v>0</v>
      </c>
      <c r="V229" s="123">
        <f>IF(B229="","",N229-U229)</f>
        <v/>
      </c>
      <c r="W229" s="116" t="n"/>
      <c r="X229" s="125">
        <f>IF(B229="","",IF(LEFT(B229,2)="NC",-1,1))</f>
        <v/>
      </c>
      <c r="Y229" s="123">
        <f>IF(B229="",0,N(I229)*X229)</f>
        <v/>
      </c>
      <c r="Z229" s="123">
        <f>IF(B229="",0,N(J229)*X229)</f>
        <v/>
      </c>
      <c r="AA229" s="123">
        <f>IF(B229="",0,N(K229)*X229)</f>
        <v/>
      </c>
      <c r="AB229" s="123">
        <f>IF(B229="",0,N(L229)*X229)</f>
        <v/>
      </c>
      <c r="AC229" s="123">
        <f>IF(B229="",0,N(N229)*X229)</f>
        <v/>
      </c>
    </row>
    <row r="230" ht="15" customHeight="1" s="83">
      <c r="A230" s="120" t="n"/>
      <c r="B230" s="116" t="n"/>
      <c r="C230" s="116" t="n"/>
      <c r="D230" s="116" t="n"/>
      <c r="E230" s="116" t="n"/>
      <c r="F230" s="116" t="n"/>
      <c r="G230" s="116" t="n"/>
      <c r="H230" s="121">
        <f>IF(G230="","",IF(ISNUMBER(SEARCH("CAPITA",UPPER(G230))),651110,IF(ISNUMBER(SEARCH("REFUERZO",UPPER(G230))),651110,IF(ISNUMBER(SEARCH("VACUNACION",UPPER(G230))),651110,IF(ISNUMBER(SEARCH("ENFERMERIA",UPPER(G230))),651110,IF(ISNUMBER(SEARCH("APORTES",UPPER(G230))),651110,IF(ISNUMBER(SEARCH("HONORARIOS",UPPER(G230))),702010,IF(ISNUMBER(SEARCH("ADMINISTRACION",UPPER(G230))),702010,IF(ISNUMBER(SEARCH("GERENCIAMIENTO",UPPER(G230))),702010,IF(ISNUMBER(SEARCH("ALQUILER",UPPER(G230))),702010,IF(ISNUMBER(SEARCH("AUDITORIA",UPPER(G230))),702010,IF(ISNUMBER(SEARCH("PRESTACIONAL",UPPER(G230))),702010,702010))))))))))))</f>
        <v/>
      </c>
      <c r="I230" s="122" t="n"/>
      <c r="J230" s="122" t="n"/>
      <c r="K230" s="123">
        <f>IF(N(I230)&gt;0,ROUND(N(I230)*IVA_general,2),0)</f>
        <v/>
      </c>
      <c r="L230" s="122" t="n">
        <v>0</v>
      </c>
      <c r="M230" s="122" t="n"/>
      <c r="N230" s="123">
        <f>IF(SUM(I230:M230)=0,"",SUM(I230:M230))</f>
        <v/>
      </c>
      <c r="O230" s="124">
        <f>IF(A230="","",TEXT(A230,"yyyy-mm"))</f>
        <v/>
      </c>
      <c r="P230" s="121">
        <f>IF(A230="","",YEAR(A230))</f>
        <v/>
      </c>
      <c r="Q230" s="121">
        <f>IF(A230="","",MONTH(A230))</f>
        <v/>
      </c>
      <c r="R230" s="116" t="n"/>
      <c r="S230" s="116" t="n"/>
      <c r="T230" s="120" t="n"/>
      <c r="U230" s="122" t="n">
        <v>0</v>
      </c>
      <c r="V230" s="123">
        <f>IF(B230="","",N230-U230)</f>
        <v/>
      </c>
      <c r="W230" s="116" t="n"/>
      <c r="X230" s="125">
        <f>IF(B230="","",IF(LEFT(B230,2)="NC",-1,1))</f>
        <v/>
      </c>
      <c r="Y230" s="123">
        <f>IF(B230="",0,N(I230)*X230)</f>
        <v/>
      </c>
      <c r="Z230" s="123">
        <f>IF(B230="",0,N(J230)*X230)</f>
        <v/>
      </c>
      <c r="AA230" s="123">
        <f>IF(B230="",0,N(K230)*X230)</f>
        <v/>
      </c>
      <c r="AB230" s="123">
        <f>IF(B230="",0,N(L230)*X230)</f>
        <v/>
      </c>
      <c r="AC230" s="123">
        <f>IF(B230="",0,N(N230)*X230)</f>
        <v/>
      </c>
    </row>
    <row r="231" ht="15" customHeight="1" s="83">
      <c r="A231" s="120" t="n"/>
      <c r="B231" s="116" t="n"/>
      <c r="C231" s="116" t="n"/>
      <c r="D231" s="116" t="n"/>
      <c r="E231" s="116" t="n"/>
      <c r="F231" s="116" t="n"/>
      <c r="G231" s="116" t="n"/>
      <c r="H231" s="121">
        <f>IF(G231="","",IF(ISNUMBER(SEARCH("CAPITA",UPPER(G231))),651110,IF(ISNUMBER(SEARCH("REFUERZO",UPPER(G231))),651110,IF(ISNUMBER(SEARCH("VACUNACION",UPPER(G231))),651110,IF(ISNUMBER(SEARCH("ENFERMERIA",UPPER(G231))),651110,IF(ISNUMBER(SEARCH("APORTES",UPPER(G231))),651110,IF(ISNUMBER(SEARCH("HONORARIOS",UPPER(G231))),702010,IF(ISNUMBER(SEARCH("ADMINISTRACION",UPPER(G231))),702010,IF(ISNUMBER(SEARCH("GERENCIAMIENTO",UPPER(G231))),702010,IF(ISNUMBER(SEARCH("ALQUILER",UPPER(G231))),702010,IF(ISNUMBER(SEARCH("AUDITORIA",UPPER(G231))),702010,IF(ISNUMBER(SEARCH("PRESTACIONAL",UPPER(G231))),702010,702010))))))))))))</f>
        <v/>
      </c>
      <c r="I231" s="122" t="n"/>
      <c r="J231" s="122" t="n"/>
      <c r="K231" s="123">
        <f>IF(N(I231)&gt;0,ROUND(N(I231)*IVA_general,2),0)</f>
        <v/>
      </c>
      <c r="L231" s="122" t="n">
        <v>0</v>
      </c>
      <c r="M231" s="122" t="n"/>
      <c r="N231" s="123">
        <f>IF(SUM(I231:M231)=0,"",SUM(I231:M231))</f>
        <v/>
      </c>
      <c r="O231" s="124">
        <f>IF(A231="","",TEXT(A231,"yyyy-mm"))</f>
        <v/>
      </c>
      <c r="P231" s="121">
        <f>IF(A231="","",YEAR(A231))</f>
        <v/>
      </c>
      <c r="Q231" s="121">
        <f>IF(A231="","",MONTH(A231))</f>
        <v/>
      </c>
      <c r="R231" s="116" t="n"/>
      <c r="S231" s="116" t="n"/>
      <c r="T231" s="120" t="n"/>
      <c r="U231" s="122" t="n">
        <v>0</v>
      </c>
      <c r="V231" s="123">
        <f>IF(B231="","",N231-U231)</f>
        <v/>
      </c>
      <c r="W231" s="116" t="n"/>
      <c r="X231" s="125">
        <f>IF(B231="","",IF(LEFT(B231,2)="NC",-1,1))</f>
        <v/>
      </c>
      <c r="Y231" s="123">
        <f>IF(B231="",0,N(I231)*X231)</f>
        <v/>
      </c>
      <c r="Z231" s="123">
        <f>IF(B231="",0,N(J231)*X231)</f>
        <v/>
      </c>
      <c r="AA231" s="123">
        <f>IF(B231="",0,N(K231)*X231)</f>
        <v/>
      </c>
      <c r="AB231" s="123">
        <f>IF(B231="",0,N(L231)*X231)</f>
        <v/>
      </c>
      <c r="AC231" s="123">
        <f>IF(B231="",0,N(N231)*X231)</f>
        <v/>
      </c>
    </row>
    <row r="232" ht="15" customHeight="1" s="83">
      <c r="A232" s="120" t="n"/>
      <c r="B232" s="116" t="n"/>
      <c r="C232" s="116" t="n"/>
      <c r="D232" s="116" t="n"/>
      <c r="E232" s="116" t="n"/>
      <c r="F232" s="116" t="n"/>
      <c r="G232" s="116" t="n"/>
      <c r="H232" s="121">
        <f>IF(G232="","",IF(ISNUMBER(SEARCH("CAPITA",UPPER(G232))),651110,IF(ISNUMBER(SEARCH("REFUERZO",UPPER(G232))),651110,IF(ISNUMBER(SEARCH("VACUNACION",UPPER(G232))),651110,IF(ISNUMBER(SEARCH("ENFERMERIA",UPPER(G232))),651110,IF(ISNUMBER(SEARCH("APORTES",UPPER(G232))),651110,IF(ISNUMBER(SEARCH("HONORARIOS",UPPER(G232))),702010,IF(ISNUMBER(SEARCH("ADMINISTRACION",UPPER(G232))),702010,IF(ISNUMBER(SEARCH("GERENCIAMIENTO",UPPER(G232))),702010,IF(ISNUMBER(SEARCH("ALQUILER",UPPER(G232))),702010,IF(ISNUMBER(SEARCH("AUDITORIA",UPPER(G232))),702010,IF(ISNUMBER(SEARCH("PRESTACIONAL",UPPER(G232))),702010,702010))))))))))))</f>
        <v/>
      </c>
      <c r="I232" s="122" t="n"/>
      <c r="J232" s="122" t="n"/>
      <c r="K232" s="123">
        <f>IF(N(I232)&gt;0,ROUND(N(I232)*IVA_general,2),0)</f>
        <v/>
      </c>
      <c r="L232" s="122" t="n">
        <v>0</v>
      </c>
      <c r="M232" s="122" t="n"/>
      <c r="N232" s="123">
        <f>IF(SUM(I232:M232)=0,"",SUM(I232:M232))</f>
        <v/>
      </c>
      <c r="O232" s="124">
        <f>IF(A232="","",TEXT(A232,"yyyy-mm"))</f>
        <v/>
      </c>
      <c r="P232" s="121">
        <f>IF(A232="","",YEAR(A232))</f>
        <v/>
      </c>
      <c r="Q232" s="121">
        <f>IF(A232="","",MONTH(A232))</f>
        <v/>
      </c>
      <c r="R232" s="116" t="n"/>
      <c r="S232" s="116" t="n"/>
      <c r="T232" s="120" t="n"/>
      <c r="U232" s="122" t="n">
        <v>0</v>
      </c>
      <c r="V232" s="123">
        <f>IF(B232="","",N232-U232)</f>
        <v/>
      </c>
      <c r="W232" s="116" t="n"/>
      <c r="X232" s="125">
        <f>IF(B232="","",IF(LEFT(B232,2)="NC",-1,1))</f>
        <v/>
      </c>
      <c r="Y232" s="123">
        <f>IF(B232="",0,N(I232)*X232)</f>
        <v/>
      </c>
      <c r="Z232" s="123">
        <f>IF(B232="",0,N(J232)*X232)</f>
        <v/>
      </c>
      <c r="AA232" s="123">
        <f>IF(B232="",0,N(K232)*X232)</f>
        <v/>
      </c>
      <c r="AB232" s="123">
        <f>IF(B232="",0,N(L232)*X232)</f>
        <v/>
      </c>
      <c r="AC232" s="123">
        <f>IF(B232="",0,N(N232)*X232)</f>
        <v/>
      </c>
    </row>
    <row r="233" ht="15" customHeight="1" s="83">
      <c r="A233" s="120" t="n"/>
      <c r="B233" s="116" t="n"/>
      <c r="C233" s="116" t="n"/>
      <c r="D233" s="116" t="n"/>
      <c r="E233" s="116" t="n"/>
      <c r="F233" s="116" t="n"/>
      <c r="G233" s="116" t="n"/>
      <c r="H233" s="121">
        <f>IF(G233="","",IF(ISNUMBER(SEARCH("CAPITA",UPPER(G233))),651110,IF(ISNUMBER(SEARCH("REFUERZO",UPPER(G233))),651110,IF(ISNUMBER(SEARCH("VACUNACION",UPPER(G233))),651110,IF(ISNUMBER(SEARCH("ENFERMERIA",UPPER(G233))),651110,IF(ISNUMBER(SEARCH("APORTES",UPPER(G233))),651110,IF(ISNUMBER(SEARCH("HONORARIOS",UPPER(G233))),702010,IF(ISNUMBER(SEARCH("ADMINISTRACION",UPPER(G233))),702010,IF(ISNUMBER(SEARCH("GERENCIAMIENTO",UPPER(G233))),702010,IF(ISNUMBER(SEARCH("ALQUILER",UPPER(G233))),702010,IF(ISNUMBER(SEARCH("AUDITORIA",UPPER(G233))),702010,IF(ISNUMBER(SEARCH("PRESTACIONAL",UPPER(G233))),702010,702010))))))))))))</f>
        <v/>
      </c>
      <c r="I233" s="122" t="n"/>
      <c r="J233" s="122" t="n"/>
      <c r="K233" s="123">
        <f>IF(N(I233)&gt;0,ROUND(N(I233)*IVA_general,2),0)</f>
        <v/>
      </c>
      <c r="L233" s="122" t="n">
        <v>0</v>
      </c>
      <c r="M233" s="122" t="n"/>
      <c r="N233" s="123">
        <f>IF(SUM(I233:M233)=0,"",SUM(I233:M233))</f>
        <v/>
      </c>
      <c r="O233" s="124">
        <f>IF(A233="","",TEXT(A233,"yyyy-mm"))</f>
        <v/>
      </c>
      <c r="P233" s="121">
        <f>IF(A233="","",YEAR(A233))</f>
        <v/>
      </c>
      <c r="Q233" s="121">
        <f>IF(A233="","",MONTH(A233))</f>
        <v/>
      </c>
      <c r="R233" s="116" t="n"/>
      <c r="S233" s="116" t="n"/>
      <c r="T233" s="120" t="n"/>
      <c r="U233" s="122" t="n">
        <v>0</v>
      </c>
      <c r="V233" s="123">
        <f>IF(B233="","",N233-U233)</f>
        <v/>
      </c>
      <c r="W233" s="116" t="n"/>
      <c r="X233" s="125">
        <f>IF(B233="","",IF(LEFT(B233,2)="NC",-1,1))</f>
        <v/>
      </c>
      <c r="Y233" s="123">
        <f>IF(B233="",0,N(I233)*X233)</f>
        <v/>
      </c>
      <c r="Z233" s="123">
        <f>IF(B233="",0,N(J233)*X233)</f>
        <v/>
      </c>
      <c r="AA233" s="123">
        <f>IF(B233="",0,N(K233)*X233)</f>
        <v/>
      </c>
      <c r="AB233" s="123">
        <f>IF(B233="",0,N(L233)*X233)</f>
        <v/>
      </c>
      <c r="AC233" s="123">
        <f>IF(B233="",0,N(N233)*X233)</f>
        <v/>
      </c>
    </row>
    <row r="234" ht="15" customHeight="1" s="83">
      <c r="A234" s="120" t="n"/>
      <c r="B234" s="116" t="n"/>
      <c r="C234" s="116" t="n"/>
      <c r="D234" s="116" t="n"/>
      <c r="E234" s="116" t="n"/>
      <c r="F234" s="116" t="n"/>
      <c r="G234" s="116" t="n"/>
      <c r="H234" s="121">
        <f>IF(G234="","",IF(ISNUMBER(SEARCH("CAPITA",UPPER(G234))),651110,IF(ISNUMBER(SEARCH("REFUERZO",UPPER(G234))),651110,IF(ISNUMBER(SEARCH("VACUNACION",UPPER(G234))),651110,IF(ISNUMBER(SEARCH("ENFERMERIA",UPPER(G234))),651110,IF(ISNUMBER(SEARCH("APORTES",UPPER(G234))),651110,IF(ISNUMBER(SEARCH("HONORARIOS",UPPER(G234))),702010,IF(ISNUMBER(SEARCH("ADMINISTRACION",UPPER(G234))),702010,IF(ISNUMBER(SEARCH("GERENCIAMIENTO",UPPER(G234))),702010,IF(ISNUMBER(SEARCH("ALQUILER",UPPER(G234))),702010,IF(ISNUMBER(SEARCH("AUDITORIA",UPPER(G234))),702010,IF(ISNUMBER(SEARCH("PRESTACIONAL",UPPER(G234))),702010,702010))))))))))))</f>
        <v/>
      </c>
      <c r="I234" s="122" t="n"/>
      <c r="J234" s="122" t="n"/>
      <c r="K234" s="123">
        <f>IF(N(I234)&gt;0,ROUND(N(I234)*IVA_general,2),0)</f>
        <v/>
      </c>
      <c r="L234" s="122" t="n">
        <v>0</v>
      </c>
      <c r="M234" s="122" t="n"/>
      <c r="N234" s="123">
        <f>IF(SUM(I234:M234)=0,"",SUM(I234:M234))</f>
        <v/>
      </c>
      <c r="O234" s="124">
        <f>IF(A234="","",TEXT(A234,"yyyy-mm"))</f>
        <v/>
      </c>
      <c r="P234" s="121">
        <f>IF(A234="","",YEAR(A234))</f>
        <v/>
      </c>
      <c r="Q234" s="121">
        <f>IF(A234="","",MONTH(A234))</f>
        <v/>
      </c>
      <c r="R234" s="116" t="n"/>
      <c r="S234" s="116" t="n"/>
      <c r="T234" s="120" t="n"/>
      <c r="U234" s="122" t="n">
        <v>0</v>
      </c>
      <c r="V234" s="123">
        <f>IF(B234="","",N234-U234)</f>
        <v/>
      </c>
      <c r="W234" s="116" t="n"/>
      <c r="X234" s="125">
        <f>IF(B234="","",IF(LEFT(B234,2)="NC",-1,1))</f>
        <v/>
      </c>
      <c r="Y234" s="123">
        <f>IF(B234="",0,N(I234)*X234)</f>
        <v/>
      </c>
      <c r="Z234" s="123">
        <f>IF(B234="",0,N(J234)*X234)</f>
        <v/>
      </c>
      <c r="AA234" s="123">
        <f>IF(B234="",0,N(K234)*X234)</f>
        <v/>
      </c>
      <c r="AB234" s="123">
        <f>IF(B234="",0,N(L234)*X234)</f>
        <v/>
      </c>
      <c r="AC234" s="123">
        <f>IF(B234="",0,N(N234)*X234)</f>
        <v/>
      </c>
    </row>
    <row r="235" ht="15" customHeight="1" s="83">
      <c r="A235" s="120" t="n"/>
      <c r="B235" s="116" t="n"/>
      <c r="C235" s="116" t="n"/>
      <c r="D235" s="116" t="n"/>
      <c r="E235" s="116" t="n"/>
      <c r="F235" s="116" t="n"/>
      <c r="G235" s="116" t="n"/>
      <c r="H235" s="121">
        <f>IF(G235="","",IF(ISNUMBER(SEARCH("CAPITA",UPPER(G235))),651110,IF(ISNUMBER(SEARCH("REFUERZO",UPPER(G235))),651110,IF(ISNUMBER(SEARCH("VACUNACION",UPPER(G235))),651110,IF(ISNUMBER(SEARCH("ENFERMERIA",UPPER(G235))),651110,IF(ISNUMBER(SEARCH("APORTES",UPPER(G235))),651110,IF(ISNUMBER(SEARCH("HONORARIOS",UPPER(G235))),702010,IF(ISNUMBER(SEARCH("ADMINISTRACION",UPPER(G235))),702010,IF(ISNUMBER(SEARCH("GERENCIAMIENTO",UPPER(G235))),702010,IF(ISNUMBER(SEARCH("ALQUILER",UPPER(G235))),702010,IF(ISNUMBER(SEARCH("AUDITORIA",UPPER(G235))),702010,IF(ISNUMBER(SEARCH("PRESTACIONAL",UPPER(G235))),702010,702010))))))))))))</f>
        <v/>
      </c>
      <c r="I235" s="122" t="n"/>
      <c r="J235" s="122" t="n"/>
      <c r="K235" s="123">
        <f>IF(N(I235)&gt;0,ROUND(N(I235)*IVA_general,2),0)</f>
        <v/>
      </c>
      <c r="L235" s="122" t="n">
        <v>0</v>
      </c>
      <c r="M235" s="122" t="n"/>
      <c r="N235" s="123">
        <f>IF(SUM(I235:M235)=0,"",SUM(I235:M235))</f>
        <v/>
      </c>
      <c r="O235" s="124">
        <f>IF(A235="","",TEXT(A235,"yyyy-mm"))</f>
        <v/>
      </c>
      <c r="P235" s="121">
        <f>IF(A235="","",YEAR(A235))</f>
        <v/>
      </c>
      <c r="Q235" s="121">
        <f>IF(A235="","",MONTH(A235))</f>
        <v/>
      </c>
      <c r="R235" s="116" t="n"/>
      <c r="S235" s="116" t="n"/>
      <c r="T235" s="120" t="n"/>
      <c r="U235" s="122" t="n">
        <v>0</v>
      </c>
      <c r="V235" s="123">
        <f>IF(B235="","",N235-U235)</f>
        <v/>
      </c>
      <c r="W235" s="116" t="n"/>
      <c r="X235" s="125">
        <f>IF(B235="","",IF(LEFT(B235,2)="NC",-1,1))</f>
        <v/>
      </c>
      <c r="Y235" s="123">
        <f>IF(B235="",0,N(I235)*X235)</f>
        <v/>
      </c>
      <c r="Z235" s="123">
        <f>IF(B235="",0,N(J235)*X235)</f>
        <v/>
      </c>
      <c r="AA235" s="123">
        <f>IF(B235="",0,N(K235)*X235)</f>
        <v/>
      </c>
      <c r="AB235" s="123">
        <f>IF(B235="",0,N(L235)*X235)</f>
        <v/>
      </c>
      <c r="AC235" s="123">
        <f>IF(B235="",0,N(N235)*X235)</f>
        <v/>
      </c>
    </row>
    <row r="236" ht="15" customHeight="1" s="83">
      <c r="A236" s="120" t="n"/>
      <c r="B236" s="116" t="n"/>
      <c r="C236" s="116" t="n"/>
      <c r="D236" s="116" t="n"/>
      <c r="E236" s="116" t="n"/>
      <c r="F236" s="116" t="n"/>
      <c r="G236" s="116" t="n"/>
      <c r="H236" s="121">
        <f>IF(G236="","",IF(ISNUMBER(SEARCH("CAPITA",UPPER(G236))),651110,IF(ISNUMBER(SEARCH("REFUERZO",UPPER(G236))),651110,IF(ISNUMBER(SEARCH("VACUNACION",UPPER(G236))),651110,IF(ISNUMBER(SEARCH("ENFERMERIA",UPPER(G236))),651110,IF(ISNUMBER(SEARCH("APORTES",UPPER(G236))),651110,IF(ISNUMBER(SEARCH("HONORARIOS",UPPER(G236))),702010,IF(ISNUMBER(SEARCH("ADMINISTRACION",UPPER(G236))),702010,IF(ISNUMBER(SEARCH("GERENCIAMIENTO",UPPER(G236))),702010,IF(ISNUMBER(SEARCH("ALQUILER",UPPER(G236))),702010,IF(ISNUMBER(SEARCH("AUDITORIA",UPPER(G236))),702010,IF(ISNUMBER(SEARCH("PRESTACIONAL",UPPER(G236))),702010,702010))))))))))))</f>
        <v/>
      </c>
      <c r="I236" s="122" t="n"/>
      <c r="J236" s="122" t="n"/>
      <c r="K236" s="123">
        <f>IF(N(I236)&gt;0,ROUND(N(I236)*IVA_general,2),0)</f>
        <v/>
      </c>
      <c r="L236" s="122" t="n">
        <v>0</v>
      </c>
      <c r="M236" s="122" t="n"/>
      <c r="N236" s="123">
        <f>IF(SUM(I236:M236)=0,"",SUM(I236:M236))</f>
        <v/>
      </c>
      <c r="O236" s="124">
        <f>IF(A236="","",TEXT(A236,"yyyy-mm"))</f>
        <v/>
      </c>
      <c r="P236" s="121">
        <f>IF(A236="","",YEAR(A236))</f>
        <v/>
      </c>
      <c r="Q236" s="121">
        <f>IF(A236="","",MONTH(A236))</f>
        <v/>
      </c>
      <c r="R236" s="116" t="n"/>
      <c r="S236" s="116" t="n"/>
      <c r="T236" s="120" t="n"/>
      <c r="U236" s="122" t="n">
        <v>0</v>
      </c>
      <c r="V236" s="123">
        <f>IF(B236="","",N236-U236)</f>
        <v/>
      </c>
      <c r="W236" s="116" t="n"/>
      <c r="X236" s="125">
        <f>IF(B236="","",IF(LEFT(B236,2)="NC",-1,1))</f>
        <v/>
      </c>
      <c r="Y236" s="123">
        <f>IF(B236="",0,N(I236)*X236)</f>
        <v/>
      </c>
      <c r="Z236" s="123">
        <f>IF(B236="",0,N(J236)*X236)</f>
        <v/>
      </c>
      <c r="AA236" s="123">
        <f>IF(B236="",0,N(K236)*X236)</f>
        <v/>
      </c>
      <c r="AB236" s="123">
        <f>IF(B236="",0,N(L236)*X236)</f>
        <v/>
      </c>
      <c r="AC236" s="123">
        <f>IF(B236="",0,N(N236)*X236)</f>
        <v/>
      </c>
    </row>
    <row r="237" ht="15" customHeight="1" s="83">
      <c r="A237" s="120" t="n"/>
      <c r="B237" s="116" t="n"/>
      <c r="C237" s="116" t="n"/>
      <c r="D237" s="116" t="n"/>
      <c r="E237" s="116" t="n"/>
      <c r="F237" s="116" t="n"/>
      <c r="G237" s="116" t="n"/>
      <c r="H237" s="121">
        <f>IF(G237="","",IF(ISNUMBER(SEARCH("CAPITA",UPPER(G237))),651110,IF(ISNUMBER(SEARCH("REFUERZO",UPPER(G237))),651110,IF(ISNUMBER(SEARCH("VACUNACION",UPPER(G237))),651110,IF(ISNUMBER(SEARCH("ENFERMERIA",UPPER(G237))),651110,IF(ISNUMBER(SEARCH("APORTES",UPPER(G237))),651110,IF(ISNUMBER(SEARCH("HONORARIOS",UPPER(G237))),702010,IF(ISNUMBER(SEARCH("ADMINISTRACION",UPPER(G237))),702010,IF(ISNUMBER(SEARCH("GERENCIAMIENTO",UPPER(G237))),702010,IF(ISNUMBER(SEARCH("ALQUILER",UPPER(G237))),702010,IF(ISNUMBER(SEARCH("AUDITORIA",UPPER(G237))),702010,IF(ISNUMBER(SEARCH("PRESTACIONAL",UPPER(G237))),702010,702010))))))))))))</f>
        <v/>
      </c>
      <c r="I237" s="122" t="n"/>
      <c r="J237" s="122" t="n"/>
      <c r="K237" s="123">
        <f>IF(N(I237)&gt;0,ROUND(N(I237)*IVA_general,2),0)</f>
        <v/>
      </c>
      <c r="L237" s="122" t="n">
        <v>0</v>
      </c>
      <c r="M237" s="122" t="n"/>
      <c r="N237" s="123">
        <f>IF(SUM(I237:M237)=0,"",SUM(I237:M237))</f>
        <v/>
      </c>
      <c r="O237" s="124">
        <f>IF(A237="","",TEXT(A237,"yyyy-mm"))</f>
        <v/>
      </c>
      <c r="P237" s="121">
        <f>IF(A237="","",YEAR(A237))</f>
        <v/>
      </c>
      <c r="Q237" s="121">
        <f>IF(A237="","",MONTH(A237))</f>
        <v/>
      </c>
      <c r="R237" s="116" t="n"/>
      <c r="S237" s="116" t="n"/>
      <c r="T237" s="120" t="n"/>
      <c r="U237" s="122" t="n">
        <v>0</v>
      </c>
      <c r="V237" s="123">
        <f>IF(B237="","",N237-U237)</f>
        <v/>
      </c>
      <c r="W237" s="116" t="n"/>
      <c r="X237" s="125">
        <f>IF(B237="","",IF(LEFT(B237,2)="NC",-1,1))</f>
        <v/>
      </c>
      <c r="Y237" s="123">
        <f>IF(B237="",0,N(I237)*X237)</f>
        <v/>
      </c>
      <c r="Z237" s="123">
        <f>IF(B237="",0,N(J237)*X237)</f>
        <v/>
      </c>
      <c r="AA237" s="123">
        <f>IF(B237="",0,N(K237)*X237)</f>
        <v/>
      </c>
      <c r="AB237" s="123">
        <f>IF(B237="",0,N(L237)*X237)</f>
        <v/>
      </c>
      <c r="AC237" s="123">
        <f>IF(B237="",0,N(N237)*X237)</f>
        <v/>
      </c>
    </row>
    <row r="238" ht="15" customHeight="1" s="83">
      <c r="A238" s="120" t="n"/>
      <c r="B238" s="116" t="n"/>
      <c r="C238" s="116" t="n"/>
      <c r="D238" s="116" t="n"/>
      <c r="E238" s="116" t="n"/>
      <c r="F238" s="116" t="n"/>
      <c r="G238" s="116" t="n"/>
      <c r="H238" s="121">
        <f>IF(G238="","",IF(ISNUMBER(SEARCH("CAPITA",UPPER(G238))),651110,IF(ISNUMBER(SEARCH("REFUERZO",UPPER(G238))),651110,IF(ISNUMBER(SEARCH("VACUNACION",UPPER(G238))),651110,IF(ISNUMBER(SEARCH("ENFERMERIA",UPPER(G238))),651110,IF(ISNUMBER(SEARCH("APORTES",UPPER(G238))),651110,IF(ISNUMBER(SEARCH("HONORARIOS",UPPER(G238))),702010,IF(ISNUMBER(SEARCH("ADMINISTRACION",UPPER(G238))),702010,IF(ISNUMBER(SEARCH("GERENCIAMIENTO",UPPER(G238))),702010,IF(ISNUMBER(SEARCH("ALQUILER",UPPER(G238))),702010,IF(ISNUMBER(SEARCH("AUDITORIA",UPPER(G238))),702010,IF(ISNUMBER(SEARCH("PRESTACIONAL",UPPER(G238))),702010,702010))))))))))))</f>
        <v/>
      </c>
      <c r="I238" s="122" t="n"/>
      <c r="J238" s="122" t="n"/>
      <c r="K238" s="123">
        <f>IF(N(I238)&gt;0,ROUND(N(I238)*IVA_general,2),0)</f>
        <v/>
      </c>
      <c r="L238" s="122" t="n">
        <v>0</v>
      </c>
      <c r="M238" s="122" t="n"/>
      <c r="N238" s="123">
        <f>IF(SUM(I238:M238)=0,"",SUM(I238:M238))</f>
        <v/>
      </c>
      <c r="O238" s="124">
        <f>IF(A238="","",TEXT(A238,"yyyy-mm"))</f>
        <v/>
      </c>
      <c r="P238" s="121">
        <f>IF(A238="","",YEAR(A238))</f>
        <v/>
      </c>
      <c r="Q238" s="121">
        <f>IF(A238="","",MONTH(A238))</f>
        <v/>
      </c>
      <c r="R238" s="116" t="n"/>
      <c r="S238" s="116" t="n"/>
      <c r="T238" s="120" t="n"/>
      <c r="U238" s="122" t="n">
        <v>0</v>
      </c>
      <c r="V238" s="123">
        <f>IF(B238="","",N238-U238)</f>
        <v/>
      </c>
      <c r="W238" s="116" t="n"/>
      <c r="X238" s="125">
        <f>IF(B238="","",IF(LEFT(B238,2)="NC",-1,1))</f>
        <v/>
      </c>
      <c r="Y238" s="123">
        <f>IF(B238="",0,N(I238)*X238)</f>
        <v/>
      </c>
      <c r="Z238" s="123">
        <f>IF(B238="",0,N(J238)*X238)</f>
        <v/>
      </c>
      <c r="AA238" s="123">
        <f>IF(B238="",0,N(K238)*X238)</f>
        <v/>
      </c>
      <c r="AB238" s="123">
        <f>IF(B238="",0,N(L238)*X238)</f>
        <v/>
      </c>
      <c r="AC238" s="123">
        <f>IF(B238="",0,N(N238)*X238)</f>
        <v/>
      </c>
    </row>
    <row r="239" ht="15" customHeight="1" s="83">
      <c r="A239" s="120" t="n"/>
      <c r="B239" s="116" t="n"/>
      <c r="C239" s="116" t="n"/>
      <c r="D239" s="116" t="n"/>
      <c r="E239" s="116" t="n"/>
      <c r="F239" s="116" t="n"/>
      <c r="G239" s="116" t="n"/>
      <c r="H239" s="121">
        <f>IF(G239="","",IF(ISNUMBER(SEARCH("CAPITA",UPPER(G239))),651110,IF(ISNUMBER(SEARCH("REFUERZO",UPPER(G239))),651110,IF(ISNUMBER(SEARCH("VACUNACION",UPPER(G239))),651110,IF(ISNUMBER(SEARCH("ENFERMERIA",UPPER(G239))),651110,IF(ISNUMBER(SEARCH("APORTES",UPPER(G239))),651110,IF(ISNUMBER(SEARCH("HONORARIOS",UPPER(G239))),702010,IF(ISNUMBER(SEARCH("ADMINISTRACION",UPPER(G239))),702010,IF(ISNUMBER(SEARCH("GERENCIAMIENTO",UPPER(G239))),702010,IF(ISNUMBER(SEARCH("ALQUILER",UPPER(G239))),702010,IF(ISNUMBER(SEARCH("AUDITORIA",UPPER(G239))),702010,IF(ISNUMBER(SEARCH("PRESTACIONAL",UPPER(G239))),702010,702010))))))))))))</f>
        <v/>
      </c>
      <c r="I239" s="122" t="n"/>
      <c r="J239" s="122" t="n"/>
      <c r="K239" s="123">
        <f>IF(N(I239)&gt;0,ROUND(N(I239)*IVA_general,2),0)</f>
        <v/>
      </c>
      <c r="L239" s="122" t="n">
        <v>0</v>
      </c>
      <c r="M239" s="122" t="n"/>
      <c r="N239" s="123">
        <f>IF(SUM(I239:M239)=0,"",SUM(I239:M239))</f>
        <v/>
      </c>
      <c r="O239" s="124">
        <f>IF(A239="","",TEXT(A239,"yyyy-mm"))</f>
        <v/>
      </c>
      <c r="P239" s="121">
        <f>IF(A239="","",YEAR(A239))</f>
        <v/>
      </c>
      <c r="Q239" s="121">
        <f>IF(A239="","",MONTH(A239))</f>
        <v/>
      </c>
      <c r="R239" s="116" t="n"/>
      <c r="S239" s="116" t="n"/>
      <c r="T239" s="120" t="n"/>
      <c r="U239" s="122" t="n">
        <v>0</v>
      </c>
      <c r="V239" s="123">
        <f>IF(B239="","",N239-U239)</f>
        <v/>
      </c>
      <c r="W239" s="116" t="n"/>
      <c r="X239" s="125">
        <f>IF(B239="","",IF(LEFT(B239,2)="NC",-1,1))</f>
        <v/>
      </c>
      <c r="Y239" s="123">
        <f>IF(B239="",0,N(I239)*X239)</f>
        <v/>
      </c>
      <c r="Z239" s="123">
        <f>IF(B239="",0,N(J239)*X239)</f>
        <v/>
      </c>
      <c r="AA239" s="123">
        <f>IF(B239="",0,N(K239)*X239)</f>
        <v/>
      </c>
      <c r="AB239" s="123">
        <f>IF(B239="",0,N(L239)*X239)</f>
        <v/>
      </c>
      <c r="AC239" s="123">
        <f>IF(B239="",0,N(N239)*X239)</f>
        <v/>
      </c>
    </row>
    <row r="240" ht="15" customHeight="1" s="83">
      <c r="A240" s="120" t="n"/>
      <c r="B240" s="116" t="n"/>
      <c r="C240" s="116" t="n"/>
      <c r="D240" s="116" t="n"/>
      <c r="E240" s="116" t="n"/>
      <c r="F240" s="116" t="n"/>
      <c r="G240" s="116" t="n"/>
      <c r="H240" s="121">
        <f>IF(G240="","",IF(ISNUMBER(SEARCH("CAPITA",UPPER(G240))),651110,IF(ISNUMBER(SEARCH("REFUERZO",UPPER(G240))),651110,IF(ISNUMBER(SEARCH("VACUNACION",UPPER(G240))),651110,IF(ISNUMBER(SEARCH("ENFERMERIA",UPPER(G240))),651110,IF(ISNUMBER(SEARCH("APORTES",UPPER(G240))),651110,IF(ISNUMBER(SEARCH("HONORARIOS",UPPER(G240))),702010,IF(ISNUMBER(SEARCH("ADMINISTRACION",UPPER(G240))),702010,IF(ISNUMBER(SEARCH("GERENCIAMIENTO",UPPER(G240))),702010,IF(ISNUMBER(SEARCH("ALQUILER",UPPER(G240))),702010,IF(ISNUMBER(SEARCH("AUDITORIA",UPPER(G240))),702010,IF(ISNUMBER(SEARCH("PRESTACIONAL",UPPER(G240))),702010,702010))))))))))))</f>
        <v/>
      </c>
      <c r="I240" s="122" t="n"/>
      <c r="J240" s="122" t="n"/>
      <c r="K240" s="123">
        <f>IF(N(I240)&gt;0,ROUND(N(I240)*IVA_general,2),0)</f>
        <v/>
      </c>
      <c r="L240" s="122" t="n">
        <v>0</v>
      </c>
      <c r="M240" s="122" t="n"/>
      <c r="N240" s="123">
        <f>IF(SUM(I240:M240)=0,"",SUM(I240:M240))</f>
        <v/>
      </c>
      <c r="O240" s="124">
        <f>IF(A240="","",TEXT(A240,"yyyy-mm"))</f>
        <v/>
      </c>
      <c r="P240" s="121">
        <f>IF(A240="","",YEAR(A240))</f>
        <v/>
      </c>
      <c r="Q240" s="121">
        <f>IF(A240="","",MONTH(A240))</f>
        <v/>
      </c>
      <c r="R240" s="116" t="n"/>
      <c r="S240" s="116" t="n"/>
      <c r="T240" s="120" t="n"/>
      <c r="U240" s="122" t="n">
        <v>0</v>
      </c>
      <c r="V240" s="123">
        <f>IF(B240="","",N240-U240)</f>
        <v/>
      </c>
      <c r="W240" s="116" t="n"/>
      <c r="X240" s="125">
        <f>IF(B240="","",IF(LEFT(B240,2)="NC",-1,1))</f>
        <v/>
      </c>
      <c r="Y240" s="123">
        <f>IF(B240="",0,N(I240)*X240)</f>
        <v/>
      </c>
      <c r="Z240" s="123">
        <f>IF(B240="",0,N(J240)*X240)</f>
        <v/>
      </c>
      <c r="AA240" s="123">
        <f>IF(B240="",0,N(K240)*X240)</f>
        <v/>
      </c>
      <c r="AB240" s="123">
        <f>IF(B240="",0,N(L240)*X240)</f>
        <v/>
      </c>
      <c r="AC240" s="123">
        <f>IF(B240="",0,N(N240)*X240)</f>
        <v/>
      </c>
    </row>
    <row r="241" ht="15" customHeight="1" s="83">
      <c r="A241" s="120" t="n"/>
      <c r="B241" s="116" t="n"/>
      <c r="C241" s="116" t="n"/>
      <c r="D241" s="116" t="n"/>
      <c r="E241" s="116" t="n"/>
      <c r="F241" s="116" t="n"/>
      <c r="G241" s="116" t="n"/>
      <c r="H241" s="121">
        <f>IF(G241="","",IF(ISNUMBER(SEARCH("CAPITA",UPPER(G241))),651110,IF(ISNUMBER(SEARCH("REFUERZO",UPPER(G241))),651110,IF(ISNUMBER(SEARCH("VACUNACION",UPPER(G241))),651110,IF(ISNUMBER(SEARCH("ENFERMERIA",UPPER(G241))),651110,IF(ISNUMBER(SEARCH("APORTES",UPPER(G241))),651110,IF(ISNUMBER(SEARCH("HONORARIOS",UPPER(G241))),702010,IF(ISNUMBER(SEARCH("ADMINISTRACION",UPPER(G241))),702010,IF(ISNUMBER(SEARCH("GERENCIAMIENTO",UPPER(G241))),702010,IF(ISNUMBER(SEARCH("ALQUILER",UPPER(G241))),702010,IF(ISNUMBER(SEARCH("AUDITORIA",UPPER(G241))),702010,IF(ISNUMBER(SEARCH("PRESTACIONAL",UPPER(G241))),702010,702010))))))))))))</f>
        <v/>
      </c>
      <c r="I241" s="122" t="n"/>
      <c r="J241" s="122" t="n"/>
      <c r="K241" s="123">
        <f>IF(N(I241)&gt;0,ROUND(N(I241)*IVA_general,2),0)</f>
        <v/>
      </c>
      <c r="L241" s="122" t="n">
        <v>0</v>
      </c>
      <c r="M241" s="122" t="n"/>
      <c r="N241" s="123">
        <f>IF(SUM(I241:M241)=0,"",SUM(I241:M241))</f>
        <v/>
      </c>
      <c r="O241" s="124">
        <f>IF(A241="","",TEXT(A241,"yyyy-mm"))</f>
        <v/>
      </c>
      <c r="P241" s="121">
        <f>IF(A241="","",YEAR(A241))</f>
        <v/>
      </c>
      <c r="Q241" s="121">
        <f>IF(A241="","",MONTH(A241))</f>
        <v/>
      </c>
      <c r="R241" s="116" t="n"/>
      <c r="S241" s="116" t="n"/>
      <c r="T241" s="120" t="n"/>
      <c r="U241" s="122" t="n">
        <v>0</v>
      </c>
      <c r="V241" s="123">
        <f>IF(B241="","",N241-U241)</f>
        <v/>
      </c>
      <c r="W241" s="116" t="n"/>
      <c r="X241" s="125">
        <f>IF(B241="","",IF(LEFT(B241,2)="NC",-1,1))</f>
        <v/>
      </c>
      <c r="Y241" s="123">
        <f>IF(B241="",0,N(I241)*X241)</f>
        <v/>
      </c>
      <c r="Z241" s="123">
        <f>IF(B241="",0,N(J241)*X241)</f>
        <v/>
      </c>
      <c r="AA241" s="123">
        <f>IF(B241="",0,N(K241)*X241)</f>
        <v/>
      </c>
      <c r="AB241" s="123">
        <f>IF(B241="",0,N(L241)*X241)</f>
        <v/>
      </c>
      <c r="AC241" s="123">
        <f>IF(B241="",0,N(N241)*X241)</f>
        <v/>
      </c>
    </row>
    <row r="242" ht="15" customHeight="1" s="83">
      <c r="A242" s="120" t="n"/>
      <c r="B242" s="116" t="n"/>
      <c r="C242" s="116" t="n"/>
      <c r="D242" s="116" t="n"/>
      <c r="E242" s="116" t="n"/>
      <c r="F242" s="116" t="n"/>
      <c r="G242" s="116" t="n"/>
      <c r="H242" s="121">
        <f>IF(G242="","",IF(ISNUMBER(SEARCH("CAPITA",UPPER(G242))),651110,IF(ISNUMBER(SEARCH("REFUERZO",UPPER(G242))),651110,IF(ISNUMBER(SEARCH("VACUNACION",UPPER(G242))),651110,IF(ISNUMBER(SEARCH("ENFERMERIA",UPPER(G242))),651110,IF(ISNUMBER(SEARCH("APORTES",UPPER(G242))),651110,IF(ISNUMBER(SEARCH("HONORARIOS",UPPER(G242))),702010,IF(ISNUMBER(SEARCH("ADMINISTRACION",UPPER(G242))),702010,IF(ISNUMBER(SEARCH("GERENCIAMIENTO",UPPER(G242))),702010,IF(ISNUMBER(SEARCH("ALQUILER",UPPER(G242))),702010,IF(ISNUMBER(SEARCH("AUDITORIA",UPPER(G242))),702010,IF(ISNUMBER(SEARCH("PRESTACIONAL",UPPER(G242))),702010,702010))))))))))))</f>
        <v/>
      </c>
      <c r="I242" s="122" t="n"/>
      <c r="J242" s="122" t="n"/>
      <c r="K242" s="123">
        <f>IF(N(I242)&gt;0,ROUND(N(I242)*IVA_general,2),0)</f>
        <v/>
      </c>
      <c r="L242" s="122" t="n">
        <v>0</v>
      </c>
      <c r="M242" s="122" t="n"/>
      <c r="N242" s="123">
        <f>IF(SUM(I242:M242)=0,"",SUM(I242:M242))</f>
        <v/>
      </c>
      <c r="O242" s="124">
        <f>IF(A242="","",TEXT(A242,"yyyy-mm"))</f>
        <v/>
      </c>
      <c r="P242" s="121">
        <f>IF(A242="","",YEAR(A242))</f>
        <v/>
      </c>
      <c r="Q242" s="121">
        <f>IF(A242="","",MONTH(A242))</f>
        <v/>
      </c>
      <c r="R242" s="116" t="n"/>
      <c r="S242" s="116" t="n"/>
      <c r="T242" s="120" t="n"/>
      <c r="U242" s="122" t="n">
        <v>0</v>
      </c>
      <c r="V242" s="123">
        <f>IF(B242="","",N242-U242)</f>
        <v/>
      </c>
      <c r="W242" s="116" t="n"/>
      <c r="X242" s="125">
        <f>IF(B242="","",IF(LEFT(B242,2)="NC",-1,1))</f>
        <v/>
      </c>
      <c r="Y242" s="123">
        <f>IF(B242="",0,N(I242)*X242)</f>
        <v/>
      </c>
      <c r="Z242" s="123">
        <f>IF(B242="",0,N(J242)*X242)</f>
        <v/>
      </c>
      <c r="AA242" s="123">
        <f>IF(B242="",0,N(K242)*X242)</f>
        <v/>
      </c>
      <c r="AB242" s="123">
        <f>IF(B242="",0,N(L242)*X242)</f>
        <v/>
      </c>
      <c r="AC242" s="123">
        <f>IF(B242="",0,N(N242)*X242)</f>
        <v/>
      </c>
    </row>
    <row r="243" ht="15" customHeight="1" s="83">
      <c r="A243" s="120" t="n"/>
      <c r="B243" s="116" t="n"/>
      <c r="C243" s="116" t="n"/>
      <c r="D243" s="116" t="n"/>
      <c r="E243" s="116" t="n"/>
      <c r="F243" s="116" t="n"/>
      <c r="G243" s="116" t="n"/>
      <c r="H243" s="121">
        <f>IF(G243="","",IF(ISNUMBER(SEARCH("CAPITA",UPPER(G243))),651110,IF(ISNUMBER(SEARCH("REFUERZO",UPPER(G243))),651110,IF(ISNUMBER(SEARCH("VACUNACION",UPPER(G243))),651110,IF(ISNUMBER(SEARCH("ENFERMERIA",UPPER(G243))),651110,IF(ISNUMBER(SEARCH("APORTES",UPPER(G243))),651110,IF(ISNUMBER(SEARCH("HONORARIOS",UPPER(G243))),702010,IF(ISNUMBER(SEARCH("ADMINISTRACION",UPPER(G243))),702010,IF(ISNUMBER(SEARCH("GERENCIAMIENTO",UPPER(G243))),702010,IF(ISNUMBER(SEARCH("ALQUILER",UPPER(G243))),702010,IF(ISNUMBER(SEARCH("AUDITORIA",UPPER(G243))),702010,IF(ISNUMBER(SEARCH("PRESTACIONAL",UPPER(G243))),702010,702010))))))))))))</f>
        <v/>
      </c>
      <c r="I243" s="122" t="n"/>
      <c r="J243" s="122" t="n"/>
      <c r="K243" s="123">
        <f>IF(N(I243)&gt;0,ROUND(N(I243)*IVA_general,2),0)</f>
        <v/>
      </c>
      <c r="L243" s="122" t="n">
        <v>0</v>
      </c>
      <c r="M243" s="122" t="n"/>
      <c r="N243" s="123">
        <f>IF(SUM(I243:M243)=0,"",SUM(I243:M243))</f>
        <v/>
      </c>
      <c r="O243" s="124">
        <f>IF(A243="","",TEXT(A243,"yyyy-mm"))</f>
        <v/>
      </c>
      <c r="P243" s="121">
        <f>IF(A243="","",YEAR(A243))</f>
        <v/>
      </c>
      <c r="Q243" s="121">
        <f>IF(A243="","",MONTH(A243))</f>
        <v/>
      </c>
      <c r="R243" s="116" t="n"/>
      <c r="S243" s="116" t="n"/>
      <c r="T243" s="120" t="n"/>
      <c r="U243" s="122" t="n">
        <v>0</v>
      </c>
      <c r="V243" s="123">
        <f>IF(B243="","",N243-U243)</f>
        <v/>
      </c>
      <c r="W243" s="116" t="n"/>
      <c r="X243" s="125">
        <f>IF(B243="","",IF(LEFT(B243,2)="NC",-1,1))</f>
        <v/>
      </c>
      <c r="Y243" s="123">
        <f>IF(B243="",0,N(I243)*X243)</f>
        <v/>
      </c>
      <c r="Z243" s="123">
        <f>IF(B243="",0,N(J243)*X243)</f>
        <v/>
      </c>
      <c r="AA243" s="123">
        <f>IF(B243="",0,N(K243)*X243)</f>
        <v/>
      </c>
      <c r="AB243" s="123">
        <f>IF(B243="",0,N(L243)*X243)</f>
        <v/>
      </c>
      <c r="AC243" s="123">
        <f>IF(B243="",0,N(N243)*X243)</f>
        <v/>
      </c>
    </row>
    <row r="244" ht="15" customHeight="1" s="83">
      <c r="A244" s="120" t="n"/>
      <c r="B244" s="116" t="n"/>
      <c r="C244" s="116" t="n"/>
      <c r="D244" s="116" t="n"/>
      <c r="E244" s="116" t="n"/>
      <c r="F244" s="116" t="n"/>
      <c r="G244" s="116" t="n"/>
      <c r="H244" s="121">
        <f>IF(G244="","",IF(ISNUMBER(SEARCH("CAPITA",UPPER(G244))),651110,IF(ISNUMBER(SEARCH("REFUERZO",UPPER(G244))),651110,IF(ISNUMBER(SEARCH("VACUNACION",UPPER(G244))),651110,IF(ISNUMBER(SEARCH("ENFERMERIA",UPPER(G244))),651110,IF(ISNUMBER(SEARCH("APORTES",UPPER(G244))),651110,IF(ISNUMBER(SEARCH("HONORARIOS",UPPER(G244))),702010,IF(ISNUMBER(SEARCH("ADMINISTRACION",UPPER(G244))),702010,IF(ISNUMBER(SEARCH("GERENCIAMIENTO",UPPER(G244))),702010,IF(ISNUMBER(SEARCH("ALQUILER",UPPER(G244))),702010,IF(ISNUMBER(SEARCH("AUDITORIA",UPPER(G244))),702010,IF(ISNUMBER(SEARCH("PRESTACIONAL",UPPER(G244))),702010,702010))))))))))))</f>
        <v/>
      </c>
      <c r="I244" s="122" t="n"/>
      <c r="J244" s="122" t="n"/>
      <c r="K244" s="123">
        <f>IF(N(I244)&gt;0,ROUND(N(I244)*IVA_general,2),0)</f>
        <v/>
      </c>
      <c r="L244" s="122" t="n">
        <v>0</v>
      </c>
      <c r="M244" s="122" t="n"/>
      <c r="N244" s="123">
        <f>IF(SUM(I244:M244)=0,"",SUM(I244:M244))</f>
        <v/>
      </c>
      <c r="O244" s="124">
        <f>IF(A244="","",TEXT(A244,"yyyy-mm"))</f>
        <v/>
      </c>
      <c r="P244" s="121">
        <f>IF(A244="","",YEAR(A244))</f>
        <v/>
      </c>
      <c r="Q244" s="121">
        <f>IF(A244="","",MONTH(A244))</f>
        <v/>
      </c>
      <c r="R244" s="116" t="n"/>
      <c r="S244" s="116" t="n"/>
      <c r="T244" s="120" t="n"/>
      <c r="U244" s="122" t="n">
        <v>0</v>
      </c>
      <c r="V244" s="123">
        <f>IF(B244="","",N244-U244)</f>
        <v/>
      </c>
      <c r="W244" s="116" t="n"/>
      <c r="X244" s="125">
        <f>IF(B244="","",IF(LEFT(B244,2)="NC",-1,1))</f>
        <v/>
      </c>
      <c r="Y244" s="123">
        <f>IF(B244="",0,N(I244)*X244)</f>
        <v/>
      </c>
      <c r="Z244" s="123">
        <f>IF(B244="",0,N(J244)*X244)</f>
        <v/>
      </c>
      <c r="AA244" s="123">
        <f>IF(B244="",0,N(K244)*X244)</f>
        <v/>
      </c>
      <c r="AB244" s="123">
        <f>IF(B244="",0,N(L244)*X244)</f>
        <v/>
      </c>
      <c r="AC244" s="123">
        <f>IF(B244="",0,N(N244)*X244)</f>
        <v/>
      </c>
    </row>
    <row r="245" ht="15" customHeight="1" s="83">
      <c r="A245" s="120" t="n"/>
      <c r="B245" s="116" t="n"/>
      <c r="C245" s="116" t="n"/>
      <c r="D245" s="116" t="n"/>
      <c r="E245" s="116" t="n"/>
      <c r="F245" s="116" t="n"/>
      <c r="G245" s="116" t="n"/>
      <c r="H245" s="121">
        <f>IF(G245="","",IF(ISNUMBER(SEARCH("CAPITA",UPPER(G245))),651110,IF(ISNUMBER(SEARCH("REFUERZO",UPPER(G245))),651110,IF(ISNUMBER(SEARCH("VACUNACION",UPPER(G245))),651110,IF(ISNUMBER(SEARCH("ENFERMERIA",UPPER(G245))),651110,IF(ISNUMBER(SEARCH("APORTES",UPPER(G245))),651110,IF(ISNUMBER(SEARCH("HONORARIOS",UPPER(G245))),702010,IF(ISNUMBER(SEARCH("ADMINISTRACION",UPPER(G245))),702010,IF(ISNUMBER(SEARCH("GERENCIAMIENTO",UPPER(G245))),702010,IF(ISNUMBER(SEARCH("ALQUILER",UPPER(G245))),702010,IF(ISNUMBER(SEARCH("AUDITORIA",UPPER(G245))),702010,IF(ISNUMBER(SEARCH("PRESTACIONAL",UPPER(G245))),702010,702010))))))))))))</f>
        <v/>
      </c>
      <c r="I245" s="122" t="n"/>
      <c r="J245" s="122" t="n"/>
      <c r="K245" s="123">
        <f>IF(N(I245)&gt;0,ROUND(N(I245)*IVA_general,2),0)</f>
        <v/>
      </c>
      <c r="L245" s="122" t="n">
        <v>0</v>
      </c>
      <c r="M245" s="122" t="n"/>
      <c r="N245" s="123">
        <f>IF(SUM(I245:M245)=0,"",SUM(I245:M245))</f>
        <v/>
      </c>
      <c r="O245" s="124">
        <f>IF(A245="","",TEXT(A245,"yyyy-mm"))</f>
        <v/>
      </c>
      <c r="P245" s="121">
        <f>IF(A245="","",YEAR(A245))</f>
        <v/>
      </c>
      <c r="Q245" s="121">
        <f>IF(A245="","",MONTH(A245))</f>
        <v/>
      </c>
      <c r="R245" s="116" t="n"/>
      <c r="S245" s="116" t="n"/>
      <c r="T245" s="120" t="n"/>
      <c r="U245" s="122" t="n">
        <v>0</v>
      </c>
      <c r="V245" s="123">
        <f>IF(B245="","",N245-U245)</f>
        <v/>
      </c>
      <c r="W245" s="116" t="n"/>
      <c r="X245" s="125">
        <f>IF(B245="","",IF(LEFT(B245,2)="NC",-1,1))</f>
        <v/>
      </c>
      <c r="Y245" s="123">
        <f>IF(B245="",0,N(I245)*X245)</f>
        <v/>
      </c>
      <c r="Z245" s="123">
        <f>IF(B245="",0,N(J245)*X245)</f>
        <v/>
      </c>
      <c r="AA245" s="123">
        <f>IF(B245="",0,N(K245)*X245)</f>
        <v/>
      </c>
      <c r="AB245" s="123">
        <f>IF(B245="",0,N(L245)*X245)</f>
        <v/>
      </c>
      <c r="AC245" s="123">
        <f>IF(B245="",0,N(N245)*X245)</f>
        <v/>
      </c>
    </row>
    <row r="246" ht="15" customHeight="1" s="83">
      <c r="A246" s="120" t="n"/>
      <c r="B246" s="116" t="n"/>
      <c r="C246" s="116" t="n"/>
      <c r="D246" s="116" t="n"/>
      <c r="E246" s="116" t="n"/>
      <c r="F246" s="116" t="n"/>
      <c r="G246" s="116" t="n"/>
      <c r="H246" s="121">
        <f>IF(G246="","",IF(ISNUMBER(SEARCH("CAPITA",UPPER(G246))),651110,IF(ISNUMBER(SEARCH("REFUERZO",UPPER(G246))),651110,IF(ISNUMBER(SEARCH("VACUNACION",UPPER(G246))),651110,IF(ISNUMBER(SEARCH("ENFERMERIA",UPPER(G246))),651110,IF(ISNUMBER(SEARCH("APORTES",UPPER(G246))),651110,IF(ISNUMBER(SEARCH("HONORARIOS",UPPER(G246))),702010,IF(ISNUMBER(SEARCH("ADMINISTRACION",UPPER(G246))),702010,IF(ISNUMBER(SEARCH("GERENCIAMIENTO",UPPER(G246))),702010,IF(ISNUMBER(SEARCH("ALQUILER",UPPER(G246))),702010,IF(ISNUMBER(SEARCH("AUDITORIA",UPPER(G246))),702010,IF(ISNUMBER(SEARCH("PRESTACIONAL",UPPER(G246))),702010,702010))))))))))))</f>
        <v/>
      </c>
      <c r="I246" s="122" t="n"/>
      <c r="J246" s="122" t="n"/>
      <c r="K246" s="123">
        <f>IF(N(I246)&gt;0,ROUND(N(I246)*IVA_general,2),0)</f>
        <v/>
      </c>
      <c r="L246" s="122" t="n">
        <v>0</v>
      </c>
      <c r="M246" s="122" t="n"/>
      <c r="N246" s="123">
        <f>IF(SUM(I246:M246)=0,"",SUM(I246:M246))</f>
        <v/>
      </c>
      <c r="O246" s="124">
        <f>IF(A246="","",TEXT(A246,"yyyy-mm"))</f>
        <v/>
      </c>
      <c r="P246" s="121">
        <f>IF(A246="","",YEAR(A246))</f>
        <v/>
      </c>
      <c r="Q246" s="121">
        <f>IF(A246="","",MONTH(A246))</f>
        <v/>
      </c>
      <c r="R246" s="116" t="n"/>
      <c r="S246" s="116" t="n"/>
      <c r="T246" s="120" t="n"/>
      <c r="U246" s="122" t="n">
        <v>0</v>
      </c>
      <c r="V246" s="123">
        <f>IF(B246="","",N246-U246)</f>
        <v/>
      </c>
      <c r="W246" s="116" t="n"/>
      <c r="X246" s="125">
        <f>IF(B246="","",IF(LEFT(B246,2)="NC",-1,1))</f>
        <v/>
      </c>
      <c r="Y246" s="123">
        <f>IF(B246="",0,N(I246)*X246)</f>
        <v/>
      </c>
      <c r="Z246" s="123">
        <f>IF(B246="",0,N(J246)*X246)</f>
        <v/>
      </c>
      <c r="AA246" s="123">
        <f>IF(B246="",0,N(K246)*X246)</f>
        <v/>
      </c>
      <c r="AB246" s="123">
        <f>IF(B246="",0,N(L246)*X246)</f>
        <v/>
      </c>
      <c r="AC246" s="123">
        <f>IF(B246="",0,N(N246)*X246)</f>
        <v/>
      </c>
    </row>
    <row r="247" ht="15" customHeight="1" s="83">
      <c r="A247" s="120" t="n"/>
      <c r="B247" s="116" t="n"/>
      <c r="C247" s="116" t="n"/>
      <c r="D247" s="116" t="n"/>
      <c r="E247" s="116" t="n"/>
      <c r="F247" s="116" t="n"/>
      <c r="G247" s="116" t="n"/>
      <c r="H247" s="121">
        <f>IF(G247="","",IF(ISNUMBER(SEARCH("CAPITA",UPPER(G247))),651110,IF(ISNUMBER(SEARCH("REFUERZO",UPPER(G247))),651110,IF(ISNUMBER(SEARCH("VACUNACION",UPPER(G247))),651110,IF(ISNUMBER(SEARCH("ENFERMERIA",UPPER(G247))),651110,IF(ISNUMBER(SEARCH("APORTES",UPPER(G247))),651110,IF(ISNUMBER(SEARCH("HONORARIOS",UPPER(G247))),702010,IF(ISNUMBER(SEARCH("ADMINISTRACION",UPPER(G247))),702010,IF(ISNUMBER(SEARCH("GERENCIAMIENTO",UPPER(G247))),702010,IF(ISNUMBER(SEARCH("ALQUILER",UPPER(G247))),702010,IF(ISNUMBER(SEARCH("AUDITORIA",UPPER(G247))),702010,IF(ISNUMBER(SEARCH("PRESTACIONAL",UPPER(G247))),702010,702010))))))))))))</f>
        <v/>
      </c>
      <c r="I247" s="122" t="n"/>
      <c r="J247" s="122" t="n"/>
      <c r="K247" s="123">
        <f>IF(N(I247)&gt;0,ROUND(N(I247)*IVA_general,2),0)</f>
        <v/>
      </c>
      <c r="L247" s="122" t="n">
        <v>0</v>
      </c>
      <c r="M247" s="122" t="n"/>
      <c r="N247" s="123">
        <f>IF(SUM(I247:M247)=0,"",SUM(I247:M247))</f>
        <v/>
      </c>
      <c r="O247" s="124">
        <f>IF(A247="","",TEXT(A247,"yyyy-mm"))</f>
        <v/>
      </c>
      <c r="P247" s="121">
        <f>IF(A247="","",YEAR(A247))</f>
        <v/>
      </c>
      <c r="Q247" s="121">
        <f>IF(A247="","",MONTH(A247))</f>
        <v/>
      </c>
      <c r="R247" s="116" t="n"/>
      <c r="S247" s="116" t="n"/>
      <c r="T247" s="120" t="n"/>
      <c r="U247" s="122" t="n">
        <v>0</v>
      </c>
      <c r="V247" s="123">
        <f>IF(B247="","",N247-U247)</f>
        <v/>
      </c>
      <c r="W247" s="116" t="n"/>
      <c r="X247" s="125">
        <f>IF(B247="","",IF(LEFT(B247,2)="NC",-1,1))</f>
        <v/>
      </c>
      <c r="Y247" s="123">
        <f>IF(B247="",0,N(I247)*X247)</f>
        <v/>
      </c>
      <c r="Z247" s="123">
        <f>IF(B247="",0,N(J247)*X247)</f>
        <v/>
      </c>
      <c r="AA247" s="123">
        <f>IF(B247="",0,N(K247)*X247)</f>
        <v/>
      </c>
      <c r="AB247" s="123">
        <f>IF(B247="",0,N(L247)*X247)</f>
        <v/>
      </c>
      <c r="AC247" s="123">
        <f>IF(B247="",0,N(N247)*X247)</f>
        <v/>
      </c>
    </row>
    <row r="248" ht="15" customHeight="1" s="83">
      <c r="A248" s="120" t="n"/>
      <c r="B248" s="116" t="n"/>
      <c r="C248" s="116" t="n"/>
      <c r="D248" s="116" t="n"/>
      <c r="E248" s="116" t="n"/>
      <c r="F248" s="116" t="n"/>
      <c r="G248" s="116" t="n"/>
      <c r="H248" s="121">
        <f>IF(G248="","",IF(ISNUMBER(SEARCH("CAPITA",UPPER(G248))),651110,IF(ISNUMBER(SEARCH("REFUERZO",UPPER(G248))),651110,IF(ISNUMBER(SEARCH("VACUNACION",UPPER(G248))),651110,IF(ISNUMBER(SEARCH("ENFERMERIA",UPPER(G248))),651110,IF(ISNUMBER(SEARCH("APORTES",UPPER(G248))),651110,IF(ISNUMBER(SEARCH("HONORARIOS",UPPER(G248))),702010,IF(ISNUMBER(SEARCH("ADMINISTRACION",UPPER(G248))),702010,IF(ISNUMBER(SEARCH("GERENCIAMIENTO",UPPER(G248))),702010,IF(ISNUMBER(SEARCH("ALQUILER",UPPER(G248))),702010,IF(ISNUMBER(SEARCH("AUDITORIA",UPPER(G248))),702010,IF(ISNUMBER(SEARCH("PRESTACIONAL",UPPER(G248))),702010,702010))))))))))))</f>
        <v/>
      </c>
      <c r="I248" s="122" t="n"/>
      <c r="J248" s="122" t="n"/>
      <c r="K248" s="123">
        <f>IF(N(I248)&gt;0,ROUND(N(I248)*IVA_general,2),0)</f>
        <v/>
      </c>
      <c r="L248" s="122" t="n">
        <v>0</v>
      </c>
      <c r="M248" s="122" t="n"/>
      <c r="N248" s="123">
        <f>IF(SUM(I248:M248)=0,"",SUM(I248:M248))</f>
        <v/>
      </c>
      <c r="O248" s="124">
        <f>IF(A248="","",TEXT(A248,"yyyy-mm"))</f>
        <v/>
      </c>
      <c r="P248" s="121">
        <f>IF(A248="","",YEAR(A248))</f>
        <v/>
      </c>
      <c r="Q248" s="121">
        <f>IF(A248="","",MONTH(A248))</f>
        <v/>
      </c>
      <c r="R248" s="116" t="n"/>
      <c r="S248" s="116" t="n"/>
      <c r="T248" s="120" t="n"/>
      <c r="U248" s="122" t="n">
        <v>0</v>
      </c>
      <c r="V248" s="123">
        <f>IF(B248="","",N248-U248)</f>
        <v/>
      </c>
      <c r="W248" s="116" t="n"/>
      <c r="X248" s="125">
        <f>IF(B248="","",IF(LEFT(B248,2)="NC",-1,1))</f>
        <v/>
      </c>
      <c r="Y248" s="123">
        <f>IF(B248="",0,N(I248)*X248)</f>
        <v/>
      </c>
      <c r="Z248" s="123">
        <f>IF(B248="",0,N(J248)*X248)</f>
        <v/>
      </c>
      <c r="AA248" s="123">
        <f>IF(B248="",0,N(K248)*X248)</f>
        <v/>
      </c>
      <c r="AB248" s="123">
        <f>IF(B248="",0,N(L248)*X248)</f>
        <v/>
      </c>
      <c r="AC248" s="123">
        <f>IF(B248="",0,N(N248)*X248)</f>
        <v/>
      </c>
    </row>
    <row r="249" ht="15" customHeight="1" s="83">
      <c r="A249" s="120" t="n"/>
      <c r="B249" s="116" t="n"/>
      <c r="C249" s="116" t="n"/>
      <c r="D249" s="116" t="n"/>
      <c r="E249" s="116" t="n"/>
      <c r="F249" s="116" t="n"/>
      <c r="G249" s="116" t="n"/>
      <c r="H249" s="121">
        <f>IF(G249="","",IF(ISNUMBER(SEARCH("CAPITA",UPPER(G249))),651110,IF(ISNUMBER(SEARCH("REFUERZO",UPPER(G249))),651110,IF(ISNUMBER(SEARCH("VACUNACION",UPPER(G249))),651110,IF(ISNUMBER(SEARCH("ENFERMERIA",UPPER(G249))),651110,IF(ISNUMBER(SEARCH("APORTES",UPPER(G249))),651110,IF(ISNUMBER(SEARCH("HONORARIOS",UPPER(G249))),702010,IF(ISNUMBER(SEARCH("ADMINISTRACION",UPPER(G249))),702010,IF(ISNUMBER(SEARCH("GERENCIAMIENTO",UPPER(G249))),702010,IF(ISNUMBER(SEARCH("ALQUILER",UPPER(G249))),702010,IF(ISNUMBER(SEARCH("AUDITORIA",UPPER(G249))),702010,IF(ISNUMBER(SEARCH("PRESTACIONAL",UPPER(G249))),702010,702010))))))))))))</f>
        <v/>
      </c>
      <c r="I249" s="122" t="n"/>
      <c r="J249" s="122" t="n"/>
      <c r="K249" s="123">
        <f>IF(N(I249)&gt;0,ROUND(N(I249)*IVA_general,2),0)</f>
        <v/>
      </c>
      <c r="L249" s="122" t="n">
        <v>0</v>
      </c>
      <c r="M249" s="122" t="n"/>
      <c r="N249" s="123">
        <f>IF(SUM(I249:M249)=0,"",SUM(I249:M249))</f>
        <v/>
      </c>
      <c r="O249" s="124">
        <f>IF(A249="","",TEXT(A249,"yyyy-mm"))</f>
        <v/>
      </c>
      <c r="P249" s="121">
        <f>IF(A249="","",YEAR(A249))</f>
        <v/>
      </c>
      <c r="Q249" s="121">
        <f>IF(A249="","",MONTH(A249))</f>
        <v/>
      </c>
      <c r="R249" s="116" t="n"/>
      <c r="S249" s="116" t="n"/>
      <c r="T249" s="120" t="n"/>
      <c r="U249" s="122" t="n">
        <v>0</v>
      </c>
      <c r="V249" s="123">
        <f>IF(B249="","",N249-U249)</f>
        <v/>
      </c>
      <c r="W249" s="116" t="n"/>
      <c r="X249" s="125">
        <f>IF(B249="","",IF(LEFT(B249,2)="NC",-1,1))</f>
        <v/>
      </c>
      <c r="Y249" s="123">
        <f>IF(B249="",0,N(I249)*X249)</f>
        <v/>
      </c>
      <c r="Z249" s="123">
        <f>IF(B249="",0,N(J249)*X249)</f>
        <v/>
      </c>
      <c r="AA249" s="123">
        <f>IF(B249="",0,N(K249)*X249)</f>
        <v/>
      </c>
      <c r="AB249" s="123">
        <f>IF(B249="",0,N(L249)*X249)</f>
        <v/>
      </c>
      <c r="AC249" s="123">
        <f>IF(B249="",0,N(N249)*X249)</f>
        <v/>
      </c>
    </row>
    <row r="250" ht="15" customHeight="1" s="83">
      <c r="A250" s="120" t="n"/>
      <c r="B250" s="116" t="n"/>
      <c r="C250" s="116" t="n"/>
      <c r="D250" s="116" t="n"/>
      <c r="E250" s="116" t="n"/>
      <c r="F250" s="116" t="n"/>
      <c r="G250" s="116" t="n"/>
      <c r="H250" s="121">
        <f>IF(G250="","",IF(ISNUMBER(SEARCH("CAPITA",UPPER(G250))),651110,IF(ISNUMBER(SEARCH("REFUERZO",UPPER(G250))),651110,IF(ISNUMBER(SEARCH("VACUNACION",UPPER(G250))),651110,IF(ISNUMBER(SEARCH("ENFERMERIA",UPPER(G250))),651110,IF(ISNUMBER(SEARCH("APORTES",UPPER(G250))),651110,IF(ISNUMBER(SEARCH("HONORARIOS",UPPER(G250))),702010,IF(ISNUMBER(SEARCH("ADMINISTRACION",UPPER(G250))),702010,IF(ISNUMBER(SEARCH("GERENCIAMIENTO",UPPER(G250))),702010,IF(ISNUMBER(SEARCH("ALQUILER",UPPER(G250))),702010,IF(ISNUMBER(SEARCH("AUDITORIA",UPPER(G250))),702010,IF(ISNUMBER(SEARCH("PRESTACIONAL",UPPER(G250))),702010,702010))))))))))))</f>
        <v/>
      </c>
      <c r="I250" s="122" t="n"/>
      <c r="J250" s="122" t="n"/>
      <c r="K250" s="123">
        <f>IF(N(I250)&gt;0,ROUND(N(I250)*IVA_general,2),0)</f>
        <v/>
      </c>
      <c r="L250" s="122" t="n">
        <v>0</v>
      </c>
      <c r="M250" s="122" t="n"/>
      <c r="N250" s="123">
        <f>IF(SUM(I250:M250)=0,"",SUM(I250:M250))</f>
        <v/>
      </c>
      <c r="O250" s="124">
        <f>IF(A250="","",TEXT(A250,"yyyy-mm"))</f>
        <v/>
      </c>
      <c r="P250" s="121">
        <f>IF(A250="","",YEAR(A250))</f>
        <v/>
      </c>
      <c r="Q250" s="121">
        <f>IF(A250="","",MONTH(A250))</f>
        <v/>
      </c>
      <c r="R250" s="116" t="n"/>
      <c r="S250" s="116" t="n"/>
      <c r="T250" s="120" t="n"/>
      <c r="U250" s="122" t="n">
        <v>0</v>
      </c>
      <c r="V250" s="123">
        <f>IF(B250="","",N250-U250)</f>
        <v/>
      </c>
      <c r="W250" s="116" t="n"/>
      <c r="X250" s="125">
        <f>IF(B250="","",IF(LEFT(B250,2)="NC",-1,1))</f>
        <v/>
      </c>
      <c r="Y250" s="123">
        <f>IF(B250="",0,N(I250)*X250)</f>
        <v/>
      </c>
      <c r="Z250" s="123">
        <f>IF(B250="",0,N(J250)*X250)</f>
        <v/>
      </c>
      <c r="AA250" s="123">
        <f>IF(B250="",0,N(K250)*X250)</f>
        <v/>
      </c>
      <c r="AB250" s="123">
        <f>IF(B250="",0,N(L250)*X250)</f>
        <v/>
      </c>
      <c r="AC250" s="123">
        <f>IF(B250="",0,N(N250)*X250)</f>
        <v/>
      </c>
    </row>
    <row r="251" ht="15" customHeight="1" s="83">
      <c r="A251" s="120" t="n"/>
      <c r="B251" s="116" t="n"/>
      <c r="C251" s="116" t="n"/>
      <c r="D251" s="116" t="n"/>
      <c r="E251" s="116" t="n"/>
      <c r="F251" s="116" t="n"/>
      <c r="G251" s="116" t="n"/>
      <c r="H251" s="121">
        <f>IF(G251="","",IF(ISNUMBER(SEARCH("CAPITA",UPPER(G251))),651110,IF(ISNUMBER(SEARCH("REFUERZO",UPPER(G251))),651110,IF(ISNUMBER(SEARCH("VACUNACION",UPPER(G251))),651110,IF(ISNUMBER(SEARCH("ENFERMERIA",UPPER(G251))),651110,IF(ISNUMBER(SEARCH("APORTES",UPPER(G251))),651110,IF(ISNUMBER(SEARCH("HONORARIOS",UPPER(G251))),702010,IF(ISNUMBER(SEARCH("ADMINISTRACION",UPPER(G251))),702010,IF(ISNUMBER(SEARCH("GERENCIAMIENTO",UPPER(G251))),702010,IF(ISNUMBER(SEARCH("ALQUILER",UPPER(G251))),702010,IF(ISNUMBER(SEARCH("AUDITORIA",UPPER(G251))),702010,IF(ISNUMBER(SEARCH("PRESTACIONAL",UPPER(G251))),702010,702010))))))))))))</f>
        <v/>
      </c>
      <c r="I251" s="122" t="n"/>
      <c r="J251" s="122" t="n"/>
      <c r="K251" s="123">
        <f>IF(N(I251)&gt;0,ROUND(N(I251)*IVA_general,2),0)</f>
        <v/>
      </c>
      <c r="L251" s="122" t="n">
        <v>0</v>
      </c>
      <c r="M251" s="122" t="n"/>
      <c r="N251" s="123">
        <f>IF(SUM(I251:M251)=0,"",SUM(I251:M251))</f>
        <v/>
      </c>
      <c r="O251" s="124">
        <f>IF(A251="","",TEXT(A251,"yyyy-mm"))</f>
        <v/>
      </c>
      <c r="P251" s="121">
        <f>IF(A251="","",YEAR(A251))</f>
        <v/>
      </c>
      <c r="Q251" s="121">
        <f>IF(A251="","",MONTH(A251))</f>
        <v/>
      </c>
      <c r="R251" s="116" t="n"/>
      <c r="S251" s="116" t="n"/>
      <c r="T251" s="120" t="n"/>
      <c r="U251" s="122" t="n">
        <v>0</v>
      </c>
      <c r="V251" s="123">
        <f>IF(B251="","",N251-U251)</f>
        <v/>
      </c>
      <c r="W251" s="116" t="n"/>
      <c r="X251" s="125">
        <f>IF(B251="","",IF(LEFT(B251,2)="NC",-1,1))</f>
        <v/>
      </c>
      <c r="Y251" s="123">
        <f>IF(B251="",0,N(I251)*X251)</f>
        <v/>
      </c>
      <c r="Z251" s="123">
        <f>IF(B251="",0,N(J251)*X251)</f>
        <v/>
      </c>
      <c r="AA251" s="123">
        <f>IF(B251="",0,N(K251)*X251)</f>
        <v/>
      </c>
      <c r="AB251" s="123">
        <f>IF(B251="",0,N(L251)*X251)</f>
        <v/>
      </c>
      <c r="AC251" s="123">
        <f>IF(B251="",0,N(N251)*X251)</f>
        <v/>
      </c>
    </row>
    <row r="252" ht="15" customHeight="1" s="83">
      <c r="A252" s="120" t="n"/>
      <c r="B252" s="116" t="n"/>
      <c r="C252" s="116" t="n"/>
      <c r="D252" s="116" t="n"/>
      <c r="E252" s="116" t="n"/>
      <c r="F252" s="116" t="n"/>
      <c r="G252" s="116" t="n"/>
      <c r="H252" s="121">
        <f>IF(G252="","",IF(ISNUMBER(SEARCH("CAPITA",UPPER(G252))),651110,IF(ISNUMBER(SEARCH("REFUERZO",UPPER(G252))),651110,IF(ISNUMBER(SEARCH("VACUNACION",UPPER(G252))),651110,IF(ISNUMBER(SEARCH("ENFERMERIA",UPPER(G252))),651110,IF(ISNUMBER(SEARCH("APORTES",UPPER(G252))),651110,IF(ISNUMBER(SEARCH("HONORARIOS",UPPER(G252))),702010,IF(ISNUMBER(SEARCH("ADMINISTRACION",UPPER(G252))),702010,IF(ISNUMBER(SEARCH("GERENCIAMIENTO",UPPER(G252))),702010,IF(ISNUMBER(SEARCH("ALQUILER",UPPER(G252))),702010,IF(ISNUMBER(SEARCH("AUDITORIA",UPPER(G252))),702010,IF(ISNUMBER(SEARCH("PRESTACIONAL",UPPER(G252))),702010,702010))))))))))))</f>
        <v/>
      </c>
      <c r="I252" s="122" t="n"/>
      <c r="J252" s="122" t="n"/>
      <c r="K252" s="123">
        <f>IF(N(I252)&gt;0,ROUND(N(I252)*IVA_general,2),0)</f>
        <v/>
      </c>
      <c r="L252" s="122" t="n">
        <v>0</v>
      </c>
      <c r="M252" s="122" t="n"/>
      <c r="N252" s="123">
        <f>IF(SUM(I252:M252)=0,"",SUM(I252:M252))</f>
        <v/>
      </c>
      <c r="O252" s="124">
        <f>IF(A252="","",TEXT(A252,"yyyy-mm"))</f>
        <v/>
      </c>
      <c r="P252" s="121">
        <f>IF(A252="","",YEAR(A252))</f>
        <v/>
      </c>
      <c r="Q252" s="121">
        <f>IF(A252="","",MONTH(A252))</f>
        <v/>
      </c>
      <c r="R252" s="116" t="n"/>
      <c r="S252" s="116" t="n"/>
      <c r="T252" s="120" t="n"/>
      <c r="U252" s="122" t="n">
        <v>0</v>
      </c>
      <c r="V252" s="123">
        <f>IF(B252="","",N252-U252)</f>
        <v/>
      </c>
      <c r="W252" s="116" t="n"/>
      <c r="X252" s="125">
        <f>IF(B252="","",IF(LEFT(B252,2)="NC",-1,1))</f>
        <v/>
      </c>
      <c r="Y252" s="123">
        <f>IF(B252="",0,N(I252)*X252)</f>
        <v/>
      </c>
      <c r="Z252" s="123">
        <f>IF(B252="",0,N(J252)*X252)</f>
        <v/>
      </c>
      <c r="AA252" s="123">
        <f>IF(B252="",0,N(K252)*X252)</f>
        <v/>
      </c>
      <c r="AB252" s="123">
        <f>IF(B252="",0,N(L252)*X252)</f>
        <v/>
      </c>
      <c r="AC252" s="123">
        <f>IF(B252="",0,N(N252)*X252)</f>
        <v/>
      </c>
    </row>
    <row r="253" ht="15" customHeight="1" s="83">
      <c r="A253" s="120" t="n"/>
      <c r="B253" s="116" t="n"/>
      <c r="C253" s="116" t="n"/>
      <c r="D253" s="116" t="n"/>
      <c r="E253" s="116" t="n"/>
      <c r="F253" s="116" t="n"/>
      <c r="G253" s="116" t="n"/>
      <c r="H253" s="121">
        <f>IF(G253="","",IF(ISNUMBER(SEARCH("CAPITA",UPPER(G253))),651110,IF(ISNUMBER(SEARCH("REFUERZO",UPPER(G253))),651110,IF(ISNUMBER(SEARCH("VACUNACION",UPPER(G253))),651110,IF(ISNUMBER(SEARCH("ENFERMERIA",UPPER(G253))),651110,IF(ISNUMBER(SEARCH("APORTES",UPPER(G253))),651110,IF(ISNUMBER(SEARCH("HONORARIOS",UPPER(G253))),702010,IF(ISNUMBER(SEARCH("ADMINISTRACION",UPPER(G253))),702010,IF(ISNUMBER(SEARCH("GERENCIAMIENTO",UPPER(G253))),702010,IF(ISNUMBER(SEARCH("ALQUILER",UPPER(G253))),702010,IF(ISNUMBER(SEARCH("AUDITORIA",UPPER(G253))),702010,IF(ISNUMBER(SEARCH("PRESTACIONAL",UPPER(G253))),702010,702010))))))))))))</f>
        <v/>
      </c>
      <c r="I253" s="122" t="n"/>
      <c r="J253" s="122" t="n"/>
      <c r="K253" s="123">
        <f>IF(N(I253)&gt;0,ROUND(N(I253)*IVA_general,2),0)</f>
        <v/>
      </c>
      <c r="L253" s="122" t="n">
        <v>0</v>
      </c>
      <c r="M253" s="122" t="n"/>
      <c r="N253" s="123">
        <f>IF(SUM(I253:M253)=0,"",SUM(I253:M253))</f>
        <v/>
      </c>
      <c r="O253" s="124">
        <f>IF(A253="","",TEXT(A253,"yyyy-mm"))</f>
        <v/>
      </c>
      <c r="P253" s="121">
        <f>IF(A253="","",YEAR(A253))</f>
        <v/>
      </c>
      <c r="Q253" s="121">
        <f>IF(A253="","",MONTH(A253))</f>
        <v/>
      </c>
      <c r="R253" s="116" t="n"/>
      <c r="S253" s="116" t="n"/>
      <c r="T253" s="120" t="n"/>
      <c r="U253" s="122" t="n">
        <v>0</v>
      </c>
      <c r="V253" s="123">
        <f>IF(B253="","",N253-U253)</f>
        <v/>
      </c>
      <c r="W253" s="116" t="n"/>
      <c r="X253" s="125">
        <f>IF(B253="","",IF(LEFT(B253,2)="NC",-1,1))</f>
        <v/>
      </c>
      <c r="Y253" s="123">
        <f>IF(B253="",0,N(I253)*X253)</f>
        <v/>
      </c>
      <c r="Z253" s="123">
        <f>IF(B253="",0,N(J253)*X253)</f>
        <v/>
      </c>
      <c r="AA253" s="123">
        <f>IF(B253="",0,N(K253)*X253)</f>
        <v/>
      </c>
      <c r="AB253" s="123">
        <f>IF(B253="",0,N(L253)*X253)</f>
        <v/>
      </c>
      <c r="AC253" s="123">
        <f>IF(B253="",0,N(N253)*X253)</f>
        <v/>
      </c>
    </row>
    <row r="254" ht="15" customHeight="1" s="83">
      <c r="A254" s="120" t="n"/>
      <c r="B254" s="116" t="n"/>
      <c r="C254" s="116" t="n"/>
      <c r="D254" s="116" t="n"/>
      <c r="E254" s="116" t="n"/>
      <c r="F254" s="116" t="n"/>
      <c r="G254" s="116" t="n"/>
      <c r="H254" s="121">
        <f>IF(G254="","",IF(ISNUMBER(SEARCH("CAPITA",UPPER(G254))),651110,IF(ISNUMBER(SEARCH("REFUERZO",UPPER(G254))),651110,IF(ISNUMBER(SEARCH("VACUNACION",UPPER(G254))),651110,IF(ISNUMBER(SEARCH("ENFERMERIA",UPPER(G254))),651110,IF(ISNUMBER(SEARCH("APORTES",UPPER(G254))),651110,IF(ISNUMBER(SEARCH("HONORARIOS",UPPER(G254))),702010,IF(ISNUMBER(SEARCH("ADMINISTRACION",UPPER(G254))),702010,IF(ISNUMBER(SEARCH("GERENCIAMIENTO",UPPER(G254))),702010,IF(ISNUMBER(SEARCH("ALQUILER",UPPER(G254))),702010,IF(ISNUMBER(SEARCH("AUDITORIA",UPPER(G254))),702010,IF(ISNUMBER(SEARCH("PRESTACIONAL",UPPER(G254))),702010,702010))))))))))))</f>
        <v/>
      </c>
      <c r="I254" s="122" t="n"/>
      <c r="J254" s="122" t="n"/>
      <c r="K254" s="123">
        <f>IF(N(I254)&gt;0,ROUND(N(I254)*IVA_general,2),0)</f>
        <v/>
      </c>
      <c r="L254" s="122" t="n">
        <v>0</v>
      </c>
      <c r="M254" s="122" t="n"/>
      <c r="N254" s="123">
        <f>IF(SUM(I254:M254)=0,"",SUM(I254:M254))</f>
        <v/>
      </c>
      <c r="O254" s="124">
        <f>IF(A254="","",TEXT(A254,"yyyy-mm"))</f>
        <v/>
      </c>
      <c r="P254" s="121">
        <f>IF(A254="","",YEAR(A254))</f>
        <v/>
      </c>
      <c r="Q254" s="121">
        <f>IF(A254="","",MONTH(A254))</f>
        <v/>
      </c>
      <c r="R254" s="116" t="n"/>
      <c r="S254" s="116" t="n"/>
      <c r="T254" s="120" t="n"/>
      <c r="U254" s="122" t="n">
        <v>0</v>
      </c>
      <c r="V254" s="123">
        <f>IF(B254="","",N254-U254)</f>
        <v/>
      </c>
      <c r="W254" s="116" t="n"/>
      <c r="X254" s="125">
        <f>IF(B254="","",IF(LEFT(B254,2)="NC",-1,1))</f>
        <v/>
      </c>
      <c r="Y254" s="123">
        <f>IF(B254="",0,N(I254)*X254)</f>
        <v/>
      </c>
      <c r="Z254" s="123">
        <f>IF(B254="",0,N(J254)*X254)</f>
        <v/>
      </c>
      <c r="AA254" s="123">
        <f>IF(B254="",0,N(K254)*X254)</f>
        <v/>
      </c>
      <c r="AB254" s="123">
        <f>IF(B254="",0,N(L254)*X254)</f>
        <v/>
      </c>
      <c r="AC254" s="123">
        <f>IF(B254="",0,N(N254)*X254)</f>
        <v/>
      </c>
    </row>
    <row r="255" ht="15" customHeight="1" s="83">
      <c r="A255" s="120" t="n"/>
      <c r="B255" s="116" t="n"/>
      <c r="C255" s="116" t="n"/>
      <c r="D255" s="116" t="n"/>
      <c r="E255" s="116" t="n"/>
      <c r="F255" s="116" t="n"/>
      <c r="G255" s="116" t="n"/>
      <c r="H255" s="121">
        <f>IF(G255="","",IF(ISNUMBER(SEARCH("CAPITA",UPPER(G255))),651110,IF(ISNUMBER(SEARCH("REFUERZO",UPPER(G255))),651110,IF(ISNUMBER(SEARCH("VACUNACION",UPPER(G255))),651110,IF(ISNUMBER(SEARCH("ENFERMERIA",UPPER(G255))),651110,IF(ISNUMBER(SEARCH("APORTES",UPPER(G255))),651110,IF(ISNUMBER(SEARCH("HONORARIOS",UPPER(G255))),702010,IF(ISNUMBER(SEARCH("ADMINISTRACION",UPPER(G255))),702010,IF(ISNUMBER(SEARCH("GERENCIAMIENTO",UPPER(G255))),702010,IF(ISNUMBER(SEARCH("ALQUILER",UPPER(G255))),702010,IF(ISNUMBER(SEARCH("AUDITORIA",UPPER(G255))),702010,IF(ISNUMBER(SEARCH("PRESTACIONAL",UPPER(G255))),702010,702010))))))))))))</f>
        <v/>
      </c>
      <c r="I255" s="122" t="n"/>
      <c r="J255" s="122" t="n"/>
      <c r="K255" s="123">
        <f>IF(N(I255)&gt;0,ROUND(N(I255)*IVA_general,2),0)</f>
        <v/>
      </c>
      <c r="L255" s="122" t="n">
        <v>0</v>
      </c>
      <c r="M255" s="122" t="n"/>
      <c r="N255" s="123">
        <f>IF(SUM(I255:M255)=0,"",SUM(I255:M255))</f>
        <v/>
      </c>
      <c r="O255" s="124">
        <f>IF(A255="","",TEXT(A255,"yyyy-mm"))</f>
        <v/>
      </c>
      <c r="P255" s="121">
        <f>IF(A255="","",YEAR(A255))</f>
        <v/>
      </c>
      <c r="Q255" s="121">
        <f>IF(A255="","",MONTH(A255))</f>
        <v/>
      </c>
      <c r="R255" s="116" t="n"/>
      <c r="S255" s="116" t="n"/>
      <c r="T255" s="120" t="n"/>
      <c r="U255" s="122" t="n">
        <v>0</v>
      </c>
      <c r="V255" s="123">
        <f>IF(B255="","",N255-U255)</f>
        <v/>
      </c>
      <c r="W255" s="116" t="n"/>
      <c r="X255" s="125">
        <f>IF(B255="","",IF(LEFT(B255,2)="NC",-1,1))</f>
        <v/>
      </c>
      <c r="Y255" s="123">
        <f>IF(B255="",0,N(I255)*X255)</f>
        <v/>
      </c>
      <c r="Z255" s="123">
        <f>IF(B255="",0,N(J255)*X255)</f>
        <v/>
      </c>
      <c r="AA255" s="123">
        <f>IF(B255="",0,N(K255)*X255)</f>
        <v/>
      </c>
      <c r="AB255" s="123">
        <f>IF(B255="",0,N(L255)*X255)</f>
        <v/>
      </c>
      <c r="AC255" s="123">
        <f>IF(B255="",0,N(N255)*X255)</f>
        <v/>
      </c>
    </row>
    <row r="256" ht="15" customHeight="1" s="83">
      <c r="A256" s="120" t="n"/>
      <c r="B256" s="116" t="n"/>
      <c r="C256" s="116" t="n"/>
      <c r="D256" s="116" t="n"/>
      <c r="E256" s="116" t="n"/>
      <c r="F256" s="116" t="n"/>
      <c r="G256" s="116" t="n"/>
      <c r="H256" s="121">
        <f>IF(G256="","",IF(ISNUMBER(SEARCH("CAPITA",UPPER(G256))),651110,IF(ISNUMBER(SEARCH("REFUERZO",UPPER(G256))),651110,IF(ISNUMBER(SEARCH("VACUNACION",UPPER(G256))),651110,IF(ISNUMBER(SEARCH("ENFERMERIA",UPPER(G256))),651110,IF(ISNUMBER(SEARCH("APORTES",UPPER(G256))),651110,IF(ISNUMBER(SEARCH("HONORARIOS",UPPER(G256))),702010,IF(ISNUMBER(SEARCH("ADMINISTRACION",UPPER(G256))),702010,IF(ISNUMBER(SEARCH("GERENCIAMIENTO",UPPER(G256))),702010,IF(ISNUMBER(SEARCH("ALQUILER",UPPER(G256))),702010,IF(ISNUMBER(SEARCH("AUDITORIA",UPPER(G256))),702010,IF(ISNUMBER(SEARCH("PRESTACIONAL",UPPER(G256))),702010,702010))))))))))))</f>
        <v/>
      </c>
      <c r="I256" s="122" t="n"/>
      <c r="J256" s="122" t="n"/>
      <c r="K256" s="123">
        <f>IF(N(I256)&gt;0,ROUND(N(I256)*IVA_general,2),0)</f>
        <v/>
      </c>
      <c r="L256" s="122" t="n">
        <v>0</v>
      </c>
      <c r="M256" s="122" t="n"/>
      <c r="N256" s="123">
        <f>IF(SUM(I256:M256)=0,"",SUM(I256:M256))</f>
        <v/>
      </c>
      <c r="O256" s="124">
        <f>IF(A256="","",TEXT(A256,"yyyy-mm"))</f>
        <v/>
      </c>
      <c r="P256" s="121">
        <f>IF(A256="","",YEAR(A256))</f>
        <v/>
      </c>
      <c r="Q256" s="121">
        <f>IF(A256="","",MONTH(A256))</f>
        <v/>
      </c>
      <c r="R256" s="116" t="n"/>
      <c r="S256" s="116" t="n"/>
      <c r="T256" s="120" t="n"/>
      <c r="U256" s="122" t="n">
        <v>0</v>
      </c>
      <c r="V256" s="123">
        <f>IF(B256="","",N256-U256)</f>
        <v/>
      </c>
      <c r="W256" s="116" t="n"/>
      <c r="X256" s="125">
        <f>IF(B256="","",IF(LEFT(B256,2)="NC",-1,1))</f>
        <v/>
      </c>
      <c r="Y256" s="123">
        <f>IF(B256="",0,N(I256)*X256)</f>
        <v/>
      </c>
      <c r="Z256" s="123">
        <f>IF(B256="",0,N(J256)*X256)</f>
        <v/>
      </c>
      <c r="AA256" s="123">
        <f>IF(B256="",0,N(K256)*X256)</f>
        <v/>
      </c>
      <c r="AB256" s="123">
        <f>IF(B256="",0,N(L256)*X256)</f>
        <v/>
      </c>
      <c r="AC256" s="123">
        <f>IF(B256="",0,N(N256)*X256)</f>
        <v/>
      </c>
    </row>
    <row r="257" ht="15" customHeight="1" s="83">
      <c r="A257" s="120" t="n"/>
      <c r="B257" s="116" t="n"/>
      <c r="C257" s="116" t="n"/>
      <c r="D257" s="116" t="n"/>
      <c r="E257" s="116" t="n"/>
      <c r="F257" s="116" t="n"/>
      <c r="G257" s="116" t="n"/>
      <c r="H257" s="121">
        <f>IF(G257="","",IF(ISNUMBER(SEARCH("CAPITA",UPPER(G257))),651110,IF(ISNUMBER(SEARCH("REFUERZO",UPPER(G257))),651110,IF(ISNUMBER(SEARCH("VACUNACION",UPPER(G257))),651110,IF(ISNUMBER(SEARCH("ENFERMERIA",UPPER(G257))),651110,IF(ISNUMBER(SEARCH("APORTES",UPPER(G257))),651110,IF(ISNUMBER(SEARCH("HONORARIOS",UPPER(G257))),702010,IF(ISNUMBER(SEARCH("ADMINISTRACION",UPPER(G257))),702010,IF(ISNUMBER(SEARCH("GERENCIAMIENTO",UPPER(G257))),702010,IF(ISNUMBER(SEARCH("ALQUILER",UPPER(G257))),702010,IF(ISNUMBER(SEARCH("AUDITORIA",UPPER(G257))),702010,IF(ISNUMBER(SEARCH("PRESTACIONAL",UPPER(G257))),702010,702010))))))))))))</f>
        <v/>
      </c>
      <c r="I257" s="122" t="n"/>
      <c r="J257" s="122" t="n"/>
      <c r="K257" s="123">
        <f>IF(N(I257)&gt;0,ROUND(N(I257)*IVA_general,2),0)</f>
        <v/>
      </c>
      <c r="L257" s="122" t="n">
        <v>0</v>
      </c>
      <c r="M257" s="122" t="n"/>
      <c r="N257" s="123">
        <f>IF(SUM(I257:M257)=0,"",SUM(I257:M257))</f>
        <v/>
      </c>
      <c r="O257" s="124">
        <f>IF(A257="","",TEXT(A257,"yyyy-mm"))</f>
        <v/>
      </c>
      <c r="P257" s="121">
        <f>IF(A257="","",YEAR(A257))</f>
        <v/>
      </c>
      <c r="Q257" s="121">
        <f>IF(A257="","",MONTH(A257))</f>
        <v/>
      </c>
      <c r="R257" s="116" t="n"/>
      <c r="S257" s="116" t="n"/>
      <c r="T257" s="120" t="n"/>
      <c r="U257" s="122" t="n">
        <v>0</v>
      </c>
      <c r="V257" s="123">
        <f>IF(B257="","",N257-U257)</f>
        <v/>
      </c>
      <c r="W257" s="116" t="n"/>
      <c r="X257" s="125">
        <f>IF(B257="","",IF(LEFT(B257,2)="NC",-1,1))</f>
        <v/>
      </c>
      <c r="Y257" s="123">
        <f>IF(B257="",0,N(I257)*X257)</f>
        <v/>
      </c>
      <c r="Z257" s="123">
        <f>IF(B257="",0,N(J257)*X257)</f>
        <v/>
      </c>
      <c r="AA257" s="123">
        <f>IF(B257="",0,N(K257)*X257)</f>
        <v/>
      </c>
      <c r="AB257" s="123">
        <f>IF(B257="",0,N(L257)*X257)</f>
        <v/>
      </c>
      <c r="AC257" s="123">
        <f>IF(B257="",0,N(N257)*X257)</f>
        <v/>
      </c>
    </row>
    <row r="258" ht="15" customHeight="1" s="83">
      <c r="A258" s="120" t="n"/>
      <c r="B258" s="116" t="n"/>
      <c r="C258" s="116" t="n"/>
      <c r="D258" s="116" t="n"/>
      <c r="E258" s="116" t="n"/>
      <c r="F258" s="116" t="n"/>
      <c r="G258" s="116" t="n"/>
      <c r="H258" s="121">
        <f>IF(G258="","",IF(ISNUMBER(SEARCH("CAPITA",UPPER(G258))),651110,IF(ISNUMBER(SEARCH("REFUERZO",UPPER(G258))),651110,IF(ISNUMBER(SEARCH("VACUNACION",UPPER(G258))),651110,IF(ISNUMBER(SEARCH("ENFERMERIA",UPPER(G258))),651110,IF(ISNUMBER(SEARCH("APORTES",UPPER(G258))),651110,IF(ISNUMBER(SEARCH("HONORARIOS",UPPER(G258))),702010,IF(ISNUMBER(SEARCH("ADMINISTRACION",UPPER(G258))),702010,IF(ISNUMBER(SEARCH("GERENCIAMIENTO",UPPER(G258))),702010,IF(ISNUMBER(SEARCH("ALQUILER",UPPER(G258))),702010,IF(ISNUMBER(SEARCH("AUDITORIA",UPPER(G258))),702010,IF(ISNUMBER(SEARCH("PRESTACIONAL",UPPER(G258))),702010,702010))))))))))))</f>
        <v/>
      </c>
      <c r="I258" s="122" t="n"/>
      <c r="J258" s="122" t="n"/>
      <c r="K258" s="123">
        <f>IF(N(I258)&gt;0,ROUND(N(I258)*IVA_general,2),0)</f>
        <v/>
      </c>
      <c r="L258" s="122" t="n">
        <v>0</v>
      </c>
      <c r="M258" s="122" t="n"/>
      <c r="N258" s="123">
        <f>IF(SUM(I258:M258)=0,"",SUM(I258:M258))</f>
        <v/>
      </c>
      <c r="O258" s="124">
        <f>IF(A258="","",TEXT(A258,"yyyy-mm"))</f>
        <v/>
      </c>
      <c r="P258" s="121">
        <f>IF(A258="","",YEAR(A258))</f>
        <v/>
      </c>
      <c r="Q258" s="121">
        <f>IF(A258="","",MONTH(A258))</f>
        <v/>
      </c>
      <c r="R258" s="116" t="n"/>
      <c r="S258" s="116" t="n"/>
      <c r="T258" s="120" t="n"/>
      <c r="U258" s="122" t="n">
        <v>0</v>
      </c>
      <c r="V258" s="123">
        <f>IF(B258="","",N258-U258)</f>
        <v/>
      </c>
      <c r="W258" s="116" t="n"/>
      <c r="X258" s="125">
        <f>IF(B258="","",IF(LEFT(B258,2)="NC",-1,1))</f>
        <v/>
      </c>
      <c r="Y258" s="123">
        <f>IF(B258="",0,N(I258)*X258)</f>
        <v/>
      </c>
      <c r="Z258" s="123">
        <f>IF(B258="",0,N(J258)*X258)</f>
        <v/>
      </c>
      <c r="AA258" s="123">
        <f>IF(B258="",0,N(K258)*X258)</f>
        <v/>
      </c>
      <c r="AB258" s="123">
        <f>IF(B258="",0,N(L258)*X258)</f>
        <v/>
      </c>
      <c r="AC258" s="123">
        <f>IF(B258="",0,N(N258)*X258)</f>
        <v/>
      </c>
    </row>
    <row r="259" ht="15" customHeight="1" s="83">
      <c r="A259" s="120" t="n"/>
      <c r="B259" s="116" t="n"/>
      <c r="C259" s="116" t="n"/>
      <c r="D259" s="116" t="n"/>
      <c r="E259" s="116" t="n"/>
      <c r="F259" s="116" t="n"/>
      <c r="G259" s="116" t="n"/>
      <c r="H259" s="121">
        <f>IF(G259="","",IF(ISNUMBER(SEARCH("CAPITA",UPPER(G259))),651110,IF(ISNUMBER(SEARCH("REFUERZO",UPPER(G259))),651110,IF(ISNUMBER(SEARCH("VACUNACION",UPPER(G259))),651110,IF(ISNUMBER(SEARCH("ENFERMERIA",UPPER(G259))),651110,IF(ISNUMBER(SEARCH("APORTES",UPPER(G259))),651110,IF(ISNUMBER(SEARCH("HONORARIOS",UPPER(G259))),702010,IF(ISNUMBER(SEARCH("ADMINISTRACION",UPPER(G259))),702010,IF(ISNUMBER(SEARCH("GERENCIAMIENTO",UPPER(G259))),702010,IF(ISNUMBER(SEARCH("ALQUILER",UPPER(G259))),702010,IF(ISNUMBER(SEARCH("AUDITORIA",UPPER(G259))),702010,IF(ISNUMBER(SEARCH("PRESTACIONAL",UPPER(G259))),702010,702010))))))))))))</f>
        <v/>
      </c>
      <c r="I259" s="122" t="n"/>
      <c r="J259" s="122" t="n"/>
      <c r="K259" s="123">
        <f>IF(N(I259)&gt;0,ROUND(N(I259)*IVA_general,2),0)</f>
        <v/>
      </c>
      <c r="L259" s="122" t="n">
        <v>0</v>
      </c>
      <c r="M259" s="122" t="n"/>
      <c r="N259" s="123">
        <f>IF(SUM(I259:M259)=0,"",SUM(I259:M259))</f>
        <v/>
      </c>
      <c r="O259" s="124">
        <f>IF(A259="","",TEXT(A259,"yyyy-mm"))</f>
        <v/>
      </c>
      <c r="P259" s="121">
        <f>IF(A259="","",YEAR(A259))</f>
        <v/>
      </c>
      <c r="Q259" s="121">
        <f>IF(A259="","",MONTH(A259))</f>
        <v/>
      </c>
      <c r="R259" s="116" t="n"/>
      <c r="S259" s="116" t="n"/>
      <c r="T259" s="120" t="n"/>
      <c r="U259" s="122" t="n">
        <v>0</v>
      </c>
      <c r="V259" s="123">
        <f>IF(B259="","",N259-U259)</f>
        <v/>
      </c>
      <c r="W259" s="116" t="n"/>
      <c r="X259" s="125">
        <f>IF(B259="","",IF(LEFT(B259,2)="NC",-1,1))</f>
        <v/>
      </c>
      <c r="Y259" s="123">
        <f>IF(B259="",0,N(I259)*X259)</f>
        <v/>
      </c>
      <c r="Z259" s="123">
        <f>IF(B259="",0,N(J259)*X259)</f>
        <v/>
      </c>
      <c r="AA259" s="123">
        <f>IF(B259="",0,N(K259)*X259)</f>
        <v/>
      </c>
      <c r="AB259" s="123">
        <f>IF(B259="",0,N(L259)*X259)</f>
        <v/>
      </c>
      <c r="AC259" s="123">
        <f>IF(B259="",0,N(N259)*X259)</f>
        <v/>
      </c>
    </row>
    <row r="260" ht="15" customHeight="1" s="83">
      <c r="A260" s="120" t="n"/>
      <c r="B260" s="116" t="n"/>
      <c r="C260" s="116" t="n"/>
      <c r="D260" s="116" t="n"/>
      <c r="E260" s="116" t="n"/>
      <c r="F260" s="116" t="n"/>
      <c r="G260" s="116" t="n"/>
      <c r="H260" s="121">
        <f>IF(G260="","",IF(ISNUMBER(SEARCH("CAPITA",UPPER(G260))),651110,IF(ISNUMBER(SEARCH("REFUERZO",UPPER(G260))),651110,IF(ISNUMBER(SEARCH("VACUNACION",UPPER(G260))),651110,IF(ISNUMBER(SEARCH("ENFERMERIA",UPPER(G260))),651110,IF(ISNUMBER(SEARCH("APORTES",UPPER(G260))),651110,IF(ISNUMBER(SEARCH("HONORARIOS",UPPER(G260))),702010,IF(ISNUMBER(SEARCH("ADMINISTRACION",UPPER(G260))),702010,IF(ISNUMBER(SEARCH("GERENCIAMIENTO",UPPER(G260))),702010,IF(ISNUMBER(SEARCH("ALQUILER",UPPER(G260))),702010,IF(ISNUMBER(SEARCH("AUDITORIA",UPPER(G260))),702010,IF(ISNUMBER(SEARCH("PRESTACIONAL",UPPER(G260))),702010,702010))))))))))))</f>
        <v/>
      </c>
      <c r="I260" s="122" t="n"/>
      <c r="J260" s="122" t="n"/>
      <c r="K260" s="123">
        <f>IF(N(I260)&gt;0,ROUND(N(I260)*IVA_general,2),0)</f>
        <v/>
      </c>
      <c r="L260" s="122" t="n">
        <v>0</v>
      </c>
      <c r="M260" s="122" t="n"/>
      <c r="N260" s="123">
        <f>IF(SUM(I260:M260)=0,"",SUM(I260:M260))</f>
        <v/>
      </c>
      <c r="O260" s="124">
        <f>IF(A260="","",TEXT(A260,"yyyy-mm"))</f>
        <v/>
      </c>
      <c r="P260" s="121">
        <f>IF(A260="","",YEAR(A260))</f>
        <v/>
      </c>
      <c r="Q260" s="121">
        <f>IF(A260="","",MONTH(A260))</f>
        <v/>
      </c>
      <c r="R260" s="116" t="n"/>
      <c r="S260" s="116" t="n"/>
      <c r="T260" s="120" t="n"/>
      <c r="U260" s="122" t="n">
        <v>0</v>
      </c>
      <c r="V260" s="123">
        <f>IF(B260="","",N260-U260)</f>
        <v/>
      </c>
      <c r="W260" s="116" t="n"/>
      <c r="X260" s="125">
        <f>IF(B260="","",IF(LEFT(B260,2)="NC",-1,1))</f>
        <v/>
      </c>
      <c r="Y260" s="123">
        <f>IF(B260="",0,N(I260)*X260)</f>
        <v/>
      </c>
      <c r="Z260" s="123">
        <f>IF(B260="",0,N(J260)*X260)</f>
        <v/>
      </c>
      <c r="AA260" s="123">
        <f>IF(B260="",0,N(K260)*X260)</f>
        <v/>
      </c>
      <c r="AB260" s="123">
        <f>IF(B260="",0,N(L260)*X260)</f>
        <v/>
      </c>
      <c r="AC260" s="123">
        <f>IF(B260="",0,N(N260)*X260)</f>
        <v/>
      </c>
    </row>
    <row r="261" ht="15" customHeight="1" s="83">
      <c r="A261" s="120" t="n"/>
      <c r="B261" s="116" t="n"/>
      <c r="C261" s="116" t="n"/>
      <c r="D261" s="116" t="n"/>
      <c r="E261" s="116" t="n"/>
      <c r="F261" s="116" t="n"/>
      <c r="G261" s="116" t="n"/>
      <c r="H261" s="121">
        <f>IF(G261="","",IF(ISNUMBER(SEARCH("CAPITA",UPPER(G261))),651110,IF(ISNUMBER(SEARCH("REFUERZO",UPPER(G261))),651110,IF(ISNUMBER(SEARCH("VACUNACION",UPPER(G261))),651110,IF(ISNUMBER(SEARCH("ENFERMERIA",UPPER(G261))),651110,IF(ISNUMBER(SEARCH("APORTES",UPPER(G261))),651110,IF(ISNUMBER(SEARCH("HONORARIOS",UPPER(G261))),702010,IF(ISNUMBER(SEARCH("ADMINISTRACION",UPPER(G261))),702010,IF(ISNUMBER(SEARCH("GERENCIAMIENTO",UPPER(G261))),702010,IF(ISNUMBER(SEARCH("ALQUILER",UPPER(G261))),702010,IF(ISNUMBER(SEARCH("AUDITORIA",UPPER(G261))),702010,IF(ISNUMBER(SEARCH("PRESTACIONAL",UPPER(G261))),702010,702010))))))))))))</f>
        <v/>
      </c>
      <c r="I261" s="122" t="n"/>
      <c r="J261" s="122" t="n"/>
      <c r="K261" s="123">
        <f>IF(N(I261)&gt;0,ROUND(N(I261)*IVA_general,2),0)</f>
        <v/>
      </c>
      <c r="L261" s="122" t="n">
        <v>0</v>
      </c>
      <c r="M261" s="122" t="n"/>
      <c r="N261" s="123">
        <f>IF(SUM(I261:M261)=0,"",SUM(I261:M261))</f>
        <v/>
      </c>
      <c r="O261" s="124">
        <f>IF(A261="","",TEXT(A261,"yyyy-mm"))</f>
        <v/>
      </c>
      <c r="P261" s="121">
        <f>IF(A261="","",YEAR(A261))</f>
        <v/>
      </c>
      <c r="Q261" s="121">
        <f>IF(A261="","",MONTH(A261))</f>
        <v/>
      </c>
      <c r="R261" s="116" t="n"/>
      <c r="S261" s="116" t="n"/>
      <c r="T261" s="120" t="n"/>
      <c r="U261" s="122" t="n">
        <v>0</v>
      </c>
      <c r="V261" s="123">
        <f>IF(B261="","",N261-U261)</f>
        <v/>
      </c>
      <c r="W261" s="116" t="n"/>
      <c r="X261" s="125">
        <f>IF(B261="","",IF(LEFT(B261,2)="NC",-1,1))</f>
        <v/>
      </c>
      <c r="Y261" s="123">
        <f>IF(B261="",0,N(I261)*X261)</f>
        <v/>
      </c>
      <c r="Z261" s="123">
        <f>IF(B261="",0,N(J261)*X261)</f>
        <v/>
      </c>
      <c r="AA261" s="123">
        <f>IF(B261="",0,N(K261)*X261)</f>
        <v/>
      </c>
      <c r="AB261" s="123">
        <f>IF(B261="",0,N(L261)*X261)</f>
        <v/>
      </c>
      <c r="AC261" s="123">
        <f>IF(B261="",0,N(N261)*X261)</f>
        <v/>
      </c>
    </row>
    <row r="262" ht="15" customHeight="1" s="83">
      <c r="A262" s="120" t="n"/>
      <c r="B262" s="116" t="n"/>
      <c r="C262" s="116" t="n"/>
      <c r="D262" s="116" t="n"/>
      <c r="E262" s="116" t="n"/>
      <c r="F262" s="116" t="n"/>
      <c r="G262" s="116" t="n"/>
      <c r="H262" s="121">
        <f>IF(G262="","",IF(ISNUMBER(SEARCH("CAPITA",UPPER(G262))),651110,IF(ISNUMBER(SEARCH("REFUERZO",UPPER(G262))),651110,IF(ISNUMBER(SEARCH("VACUNACION",UPPER(G262))),651110,IF(ISNUMBER(SEARCH("ENFERMERIA",UPPER(G262))),651110,IF(ISNUMBER(SEARCH("APORTES",UPPER(G262))),651110,IF(ISNUMBER(SEARCH("HONORARIOS",UPPER(G262))),702010,IF(ISNUMBER(SEARCH("ADMINISTRACION",UPPER(G262))),702010,IF(ISNUMBER(SEARCH("GERENCIAMIENTO",UPPER(G262))),702010,IF(ISNUMBER(SEARCH("ALQUILER",UPPER(G262))),702010,IF(ISNUMBER(SEARCH("AUDITORIA",UPPER(G262))),702010,IF(ISNUMBER(SEARCH("PRESTACIONAL",UPPER(G262))),702010,702010))))))))))))</f>
        <v/>
      </c>
      <c r="I262" s="122" t="n"/>
      <c r="J262" s="122" t="n"/>
      <c r="K262" s="123">
        <f>IF(N(I262)&gt;0,ROUND(N(I262)*IVA_general,2),0)</f>
        <v/>
      </c>
      <c r="L262" s="122" t="n">
        <v>0</v>
      </c>
      <c r="M262" s="122" t="n"/>
      <c r="N262" s="123">
        <f>IF(SUM(I262:M262)=0,"",SUM(I262:M262))</f>
        <v/>
      </c>
      <c r="O262" s="124">
        <f>IF(A262="","",TEXT(A262,"yyyy-mm"))</f>
        <v/>
      </c>
      <c r="P262" s="121">
        <f>IF(A262="","",YEAR(A262))</f>
        <v/>
      </c>
      <c r="Q262" s="121">
        <f>IF(A262="","",MONTH(A262))</f>
        <v/>
      </c>
      <c r="R262" s="116" t="n"/>
      <c r="S262" s="116" t="n"/>
      <c r="T262" s="120" t="n"/>
      <c r="U262" s="122" t="n">
        <v>0</v>
      </c>
      <c r="V262" s="123">
        <f>IF(B262="","",N262-U262)</f>
        <v/>
      </c>
      <c r="W262" s="116" t="n"/>
      <c r="X262" s="125">
        <f>IF(B262="","",IF(LEFT(B262,2)="NC",-1,1))</f>
        <v/>
      </c>
      <c r="Y262" s="123">
        <f>IF(B262="",0,N(I262)*X262)</f>
        <v/>
      </c>
      <c r="Z262" s="123">
        <f>IF(B262="",0,N(J262)*X262)</f>
        <v/>
      </c>
      <c r="AA262" s="123">
        <f>IF(B262="",0,N(K262)*X262)</f>
        <v/>
      </c>
      <c r="AB262" s="123">
        <f>IF(B262="",0,N(L262)*X262)</f>
        <v/>
      </c>
      <c r="AC262" s="123">
        <f>IF(B262="",0,N(N262)*X262)</f>
        <v/>
      </c>
    </row>
    <row r="263" ht="15" customHeight="1" s="83">
      <c r="A263" s="120" t="n"/>
      <c r="B263" s="116" t="n"/>
      <c r="C263" s="116" t="n"/>
      <c r="D263" s="116" t="n"/>
      <c r="E263" s="116" t="n"/>
      <c r="F263" s="116" t="n"/>
      <c r="G263" s="116" t="n"/>
      <c r="H263" s="121">
        <f>IF(G263="","",IF(ISNUMBER(SEARCH("CAPITA",UPPER(G263))),651110,IF(ISNUMBER(SEARCH("REFUERZO",UPPER(G263))),651110,IF(ISNUMBER(SEARCH("VACUNACION",UPPER(G263))),651110,IF(ISNUMBER(SEARCH("ENFERMERIA",UPPER(G263))),651110,IF(ISNUMBER(SEARCH("APORTES",UPPER(G263))),651110,IF(ISNUMBER(SEARCH("HONORARIOS",UPPER(G263))),702010,IF(ISNUMBER(SEARCH("ADMINISTRACION",UPPER(G263))),702010,IF(ISNUMBER(SEARCH("GERENCIAMIENTO",UPPER(G263))),702010,IF(ISNUMBER(SEARCH("ALQUILER",UPPER(G263))),702010,IF(ISNUMBER(SEARCH("AUDITORIA",UPPER(G263))),702010,IF(ISNUMBER(SEARCH("PRESTACIONAL",UPPER(G263))),702010,702010))))))))))))</f>
        <v/>
      </c>
      <c r="I263" s="122" t="n"/>
      <c r="J263" s="122" t="n"/>
      <c r="K263" s="123">
        <f>IF(N(I263)&gt;0,ROUND(N(I263)*IVA_general,2),0)</f>
        <v/>
      </c>
      <c r="L263" s="122" t="n">
        <v>0</v>
      </c>
      <c r="M263" s="122" t="n"/>
      <c r="N263" s="123">
        <f>IF(SUM(I263:M263)=0,"",SUM(I263:M263))</f>
        <v/>
      </c>
      <c r="O263" s="124">
        <f>IF(A263="","",TEXT(A263,"yyyy-mm"))</f>
        <v/>
      </c>
      <c r="P263" s="121">
        <f>IF(A263="","",YEAR(A263))</f>
        <v/>
      </c>
      <c r="Q263" s="121">
        <f>IF(A263="","",MONTH(A263))</f>
        <v/>
      </c>
      <c r="R263" s="116" t="n"/>
      <c r="S263" s="116" t="n"/>
      <c r="T263" s="120" t="n"/>
      <c r="U263" s="122" t="n">
        <v>0</v>
      </c>
      <c r="V263" s="123">
        <f>IF(B263="","",N263-U263)</f>
        <v/>
      </c>
      <c r="W263" s="116" t="n"/>
      <c r="X263" s="125">
        <f>IF(B263="","",IF(LEFT(B263,2)="NC",-1,1))</f>
        <v/>
      </c>
      <c r="Y263" s="123">
        <f>IF(B263="",0,N(I263)*X263)</f>
        <v/>
      </c>
      <c r="Z263" s="123">
        <f>IF(B263="",0,N(J263)*X263)</f>
        <v/>
      </c>
      <c r="AA263" s="123">
        <f>IF(B263="",0,N(K263)*X263)</f>
        <v/>
      </c>
      <c r="AB263" s="123">
        <f>IF(B263="",0,N(L263)*X263)</f>
        <v/>
      </c>
      <c r="AC263" s="123">
        <f>IF(B263="",0,N(N263)*X263)</f>
        <v/>
      </c>
    </row>
    <row r="264" ht="15" customHeight="1" s="83">
      <c r="A264" s="120" t="n"/>
      <c r="B264" s="116" t="n"/>
      <c r="C264" s="116" t="n"/>
      <c r="D264" s="116" t="n"/>
      <c r="E264" s="116" t="n"/>
      <c r="F264" s="116" t="n"/>
      <c r="G264" s="116" t="n"/>
      <c r="H264" s="121">
        <f>IF(G264="","",IF(ISNUMBER(SEARCH("CAPITA",UPPER(G264))),651110,IF(ISNUMBER(SEARCH("REFUERZO",UPPER(G264))),651110,IF(ISNUMBER(SEARCH("VACUNACION",UPPER(G264))),651110,IF(ISNUMBER(SEARCH("ENFERMERIA",UPPER(G264))),651110,IF(ISNUMBER(SEARCH("APORTES",UPPER(G264))),651110,IF(ISNUMBER(SEARCH("HONORARIOS",UPPER(G264))),702010,IF(ISNUMBER(SEARCH("ADMINISTRACION",UPPER(G264))),702010,IF(ISNUMBER(SEARCH("GERENCIAMIENTO",UPPER(G264))),702010,IF(ISNUMBER(SEARCH("ALQUILER",UPPER(G264))),702010,IF(ISNUMBER(SEARCH("AUDITORIA",UPPER(G264))),702010,IF(ISNUMBER(SEARCH("PRESTACIONAL",UPPER(G264))),702010,702010))))))))))))</f>
        <v/>
      </c>
      <c r="I264" s="122" t="n"/>
      <c r="J264" s="122" t="n"/>
      <c r="K264" s="123">
        <f>IF(N(I264)&gt;0,ROUND(N(I264)*IVA_general,2),0)</f>
        <v/>
      </c>
      <c r="L264" s="122" t="n">
        <v>0</v>
      </c>
      <c r="M264" s="122" t="n"/>
      <c r="N264" s="123">
        <f>IF(SUM(I264:M264)=0,"",SUM(I264:M264))</f>
        <v/>
      </c>
      <c r="O264" s="124">
        <f>IF(A264="","",TEXT(A264,"yyyy-mm"))</f>
        <v/>
      </c>
      <c r="P264" s="121">
        <f>IF(A264="","",YEAR(A264))</f>
        <v/>
      </c>
      <c r="Q264" s="121">
        <f>IF(A264="","",MONTH(A264))</f>
        <v/>
      </c>
      <c r="R264" s="116" t="n"/>
      <c r="S264" s="116" t="n"/>
      <c r="T264" s="120" t="n"/>
      <c r="U264" s="122" t="n">
        <v>0</v>
      </c>
      <c r="V264" s="123">
        <f>IF(B264="","",N264-U264)</f>
        <v/>
      </c>
      <c r="W264" s="116" t="n"/>
      <c r="X264" s="125">
        <f>IF(B264="","",IF(LEFT(B264,2)="NC",-1,1))</f>
        <v/>
      </c>
      <c r="Y264" s="123">
        <f>IF(B264="",0,N(I264)*X264)</f>
        <v/>
      </c>
      <c r="Z264" s="123">
        <f>IF(B264="",0,N(J264)*X264)</f>
        <v/>
      </c>
      <c r="AA264" s="123">
        <f>IF(B264="",0,N(K264)*X264)</f>
        <v/>
      </c>
      <c r="AB264" s="123">
        <f>IF(B264="",0,N(L264)*X264)</f>
        <v/>
      </c>
      <c r="AC264" s="123">
        <f>IF(B264="",0,N(N264)*X264)</f>
        <v/>
      </c>
    </row>
    <row r="265" ht="15" customHeight="1" s="83">
      <c r="A265" s="120" t="n"/>
      <c r="B265" s="116" t="n"/>
      <c r="C265" s="116" t="n"/>
      <c r="D265" s="116" t="n"/>
      <c r="E265" s="116" t="n"/>
      <c r="F265" s="116" t="n"/>
      <c r="G265" s="116" t="n"/>
      <c r="H265" s="121">
        <f>IF(G265="","",IF(ISNUMBER(SEARCH("CAPITA",UPPER(G265))),651110,IF(ISNUMBER(SEARCH("REFUERZO",UPPER(G265))),651110,IF(ISNUMBER(SEARCH("VACUNACION",UPPER(G265))),651110,IF(ISNUMBER(SEARCH("ENFERMERIA",UPPER(G265))),651110,IF(ISNUMBER(SEARCH("APORTES",UPPER(G265))),651110,IF(ISNUMBER(SEARCH("HONORARIOS",UPPER(G265))),702010,IF(ISNUMBER(SEARCH("ADMINISTRACION",UPPER(G265))),702010,IF(ISNUMBER(SEARCH("GERENCIAMIENTO",UPPER(G265))),702010,IF(ISNUMBER(SEARCH("ALQUILER",UPPER(G265))),702010,IF(ISNUMBER(SEARCH("AUDITORIA",UPPER(G265))),702010,IF(ISNUMBER(SEARCH("PRESTACIONAL",UPPER(G265))),702010,702010))))))))))))</f>
        <v/>
      </c>
      <c r="I265" s="122" t="n"/>
      <c r="J265" s="122" t="n"/>
      <c r="K265" s="123">
        <f>IF(N(I265)&gt;0,ROUND(N(I265)*IVA_general,2),0)</f>
        <v/>
      </c>
      <c r="L265" s="122" t="n">
        <v>0</v>
      </c>
      <c r="M265" s="122" t="n"/>
      <c r="N265" s="123">
        <f>IF(SUM(I265:M265)=0,"",SUM(I265:M265))</f>
        <v/>
      </c>
      <c r="O265" s="124">
        <f>IF(A265="","",TEXT(A265,"yyyy-mm"))</f>
        <v/>
      </c>
      <c r="P265" s="121">
        <f>IF(A265="","",YEAR(A265))</f>
        <v/>
      </c>
      <c r="Q265" s="121">
        <f>IF(A265="","",MONTH(A265))</f>
        <v/>
      </c>
      <c r="R265" s="116" t="n"/>
      <c r="S265" s="116" t="n"/>
      <c r="T265" s="120" t="n"/>
      <c r="U265" s="122" t="n">
        <v>0</v>
      </c>
      <c r="V265" s="123">
        <f>IF(B265="","",N265-U265)</f>
        <v/>
      </c>
      <c r="W265" s="116" t="n"/>
      <c r="X265" s="125">
        <f>IF(B265="","",IF(LEFT(B265,2)="NC",-1,1))</f>
        <v/>
      </c>
      <c r="Y265" s="123">
        <f>IF(B265="",0,N(I265)*X265)</f>
        <v/>
      </c>
      <c r="Z265" s="123">
        <f>IF(B265="",0,N(J265)*X265)</f>
        <v/>
      </c>
      <c r="AA265" s="123">
        <f>IF(B265="",0,N(K265)*X265)</f>
        <v/>
      </c>
      <c r="AB265" s="123">
        <f>IF(B265="",0,N(L265)*X265)</f>
        <v/>
      </c>
      <c r="AC265" s="123">
        <f>IF(B265="",0,N(N265)*X265)</f>
        <v/>
      </c>
    </row>
    <row r="266" ht="15" customHeight="1" s="83">
      <c r="A266" s="120" t="n"/>
      <c r="B266" s="116" t="n"/>
      <c r="C266" s="116" t="n"/>
      <c r="D266" s="116" t="n"/>
      <c r="E266" s="116" t="n"/>
      <c r="F266" s="116" t="n"/>
      <c r="G266" s="116" t="n"/>
      <c r="H266" s="121">
        <f>IF(G266="","",IF(ISNUMBER(SEARCH("CAPITA",UPPER(G266))),651110,IF(ISNUMBER(SEARCH("REFUERZO",UPPER(G266))),651110,IF(ISNUMBER(SEARCH("VACUNACION",UPPER(G266))),651110,IF(ISNUMBER(SEARCH("ENFERMERIA",UPPER(G266))),651110,IF(ISNUMBER(SEARCH("APORTES",UPPER(G266))),651110,IF(ISNUMBER(SEARCH("HONORARIOS",UPPER(G266))),702010,IF(ISNUMBER(SEARCH("ADMINISTRACION",UPPER(G266))),702010,IF(ISNUMBER(SEARCH("GERENCIAMIENTO",UPPER(G266))),702010,IF(ISNUMBER(SEARCH("ALQUILER",UPPER(G266))),702010,IF(ISNUMBER(SEARCH("AUDITORIA",UPPER(G266))),702010,IF(ISNUMBER(SEARCH("PRESTACIONAL",UPPER(G266))),702010,702010))))))))))))</f>
        <v/>
      </c>
      <c r="I266" s="122" t="n"/>
      <c r="J266" s="122" t="n"/>
      <c r="K266" s="123">
        <f>IF(N(I266)&gt;0,ROUND(N(I266)*IVA_general,2),0)</f>
        <v/>
      </c>
      <c r="L266" s="122" t="n">
        <v>0</v>
      </c>
      <c r="M266" s="122" t="n"/>
      <c r="N266" s="123">
        <f>IF(SUM(I266:M266)=0,"",SUM(I266:M266))</f>
        <v/>
      </c>
      <c r="O266" s="124">
        <f>IF(A266="","",TEXT(A266,"yyyy-mm"))</f>
        <v/>
      </c>
      <c r="P266" s="121">
        <f>IF(A266="","",YEAR(A266))</f>
        <v/>
      </c>
      <c r="Q266" s="121">
        <f>IF(A266="","",MONTH(A266))</f>
        <v/>
      </c>
      <c r="R266" s="116" t="n"/>
      <c r="S266" s="116" t="n"/>
      <c r="T266" s="120" t="n"/>
      <c r="U266" s="122" t="n">
        <v>0</v>
      </c>
      <c r="V266" s="123">
        <f>IF(B266="","",N266-U266)</f>
        <v/>
      </c>
      <c r="W266" s="116" t="n"/>
      <c r="X266" s="125">
        <f>IF(B266="","",IF(LEFT(B266,2)="NC",-1,1))</f>
        <v/>
      </c>
      <c r="Y266" s="123">
        <f>IF(B266="",0,N(I266)*X266)</f>
        <v/>
      </c>
      <c r="Z266" s="123">
        <f>IF(B266="",0,N(J266)*X266)</f>
        <v/>
      </c>
      <c r="AA266" s="123">
        <f>IF(B266="",0,N(K266)*X266)</f>
        <v/>
      </c>
      <c r="AB266" s="123">
        <f>IF(B266="",0,N(L266)*X266)</f>
        <v/>
      </c>
      <c r="AC266" s="123">
        <f>IF(B266="",0,N(N266)*X266)</f>
        <v/>
      </c>
    </row>
    <row r="267" ht="15" customHeight="1" s="83">
      <c r="A267" s="120" t="n"/>
      <c r="B267" s="116" t="n"/>
      <c r="C267" s="116" t="n"/>
      <c r="D267" s="116" t="n"/>
      <c r="E267" s="116" t="n"/>
      <c r="F267" s="116" t="n"/>
      <c r="G267" s="116" t="n"/>
      <c r="H267" s="121">
        <f>IF(G267="","",IF(ISNUMBER(SEARCH("CAPITA",UPPER(G267))),651110,IF(ISNUMBER(SEARCH("REFUERZO",UPPER(G267))),651110,IF(ISNUMBER(SEARCH("VACUNACION",UPPER(G267))),651110,IF(ISNUMBER(SEARCH("ENFERMERIA",UPPER(G267))),651110,IF(ISNUMBER(SEARCH("APORTES",UPPER(G267))),651110,IF(ISNUMBER(SEARCH("HONORARIOS",UPPER(G267))),702010,IF(ISNUMBER(SEARCH("ADMINISTRACION",UPPER(G267))),702010,IF(ISNUMBER(SEARCH("GERENCIAMIENTO",UPPER(G267))),702010,IF(ISNUMBER(SEARCH("ALQUILER",UPPER(G267))),702010,IF(ISNUMBER(SEARCH("AUDITORIA",UPPER(G267))),702010,IF(ISNUMBER(SEARCH("PRESTACIONAL",UPPER(G267))),702010,702010))))))))))))</f>
        <v/>
      </c>
      <c r="I267" s="122" t="n"/>
      <c r="J267" s="122" t="n"/>
      <c r="K267" s="123">
        <f>IF(N(I267)&gt;0,ROUND(N(I267)*IVA_general,2),0)</f>
        <v/>
      </c>
      <c r="L267" s="122" t="n">
        <v>0</v>
      </c>
      <c r="M267" s="122" t="n"/>
      <c r="N267" s="123">
        <f>IF(SUM(I267:M267)=0,"",SUM(I267:M267))</f>
        <v/>
      </c>
      <c r="O267" s="124">
        <f>IF(A267="","",TEXT(A267,"yyyy-mm"))</f>
        <v/>
      </c>
      <c r="P267" s="121">
        <f>IF(A267="","",YEAR(A267))</f>
        <v/>
      </c>
      <c r="Q267" s="121">
        <f>IF(A267="","",MONTH(A267))</f>
        <v/>
      </c>
      <c r="R267" s="116" t="n"/>
      <c r="S267" s="116" t="n"/>
      <c r="T267" s="120" t="n"/>
      <c r="U267" s="122" t="n">
        <v>0</v>
      </c>
      <c r="V267" s="123">
        <f>IF(B267="","",N267-U267)</f>
        <v/>
      </c>
      <c r="W267" s="116" t="n"/>
      <c r="X267" s="125">
        <f>IF(B267="","",IF(LEFT(B267,2)="NC",-1,1))</f>
        <v/>
      </c>
      <c r="Y267" s="123">
        <f>IF(B267="",0,N(I267)*X267)</f>
        <v/>
      </c>
      <c r="Z267" s="123">
        <f>IF(B267="",0,N(J267)*X267)</f>
        <v/>
      </c>
      <c r="AA267" s="123">
        <f>IF(B267="",0,N(K267)*X267)</f>
        <v/>
      </c>
      <c r="AB267" s="123">
        <f>IF(B267="",0,N(L267)*X267)</f>
        <v/>
      </c>
      <c r="AC267" s="123">
        <f>IF(B267="",0,N(N267)*X267)</f>
        <v/>
      </c>
    </row>
    <row r="268" ht="15" customHeight="1" s="83">
      <c r="A268" s="120" t="n"/>
      <c r="B268" s="116" t="n"/>
      <c r="C268" s="116" t="n"/>
      <c r="D268" s="116" t="n"/>
      <c r="E268" s="116" t="n"/>
      <c r="F268" s="116" t="n"/>
      <c r="G268" s="116" t="n"/>
      <c r="H268" s="121">
        <f>IF(G268="","",IF(ISNUMBER(SEARCH("CAPITA",UPPER(G268))),651110,IF(ISNUMBER(SEARCH("REFUERZO",UPPER(G268))),651110,IF(ISNUMBER(SEARCH("VACUNACION",UPPER(G268))),651110,IF(ISNUMBER(SEARCH("ENFERMERIA",UPPER(G268))),651110,IF(ISNUMBER(SEARCH("APORTES",UPPER(G268))),651110,IF(ISNUMBER(SEARCH("HONORARIOS",UPPER(G268))),702010,IF(ISNUMBER(SEARCH("ADMINISTRACION",UPPER(G268))),702010,IF(ISNUMBER(SEARCH("GERENCIAMIENTO",UPPER(G268))),702010,IF(ISNUMBER(SEARCH("ALQUILER",UPPER(G268))),702010,IF(ISNUMBER(SEARCH("AUDITORIA",UPPER(G268))),702010,IF(ISNUMBER(SEARCH("PRESTACIONAL",UPPER(G268))),702010,702010))))))))))))</f>
        <v/>
      </c>
      <c r="I268" s="122" t="n"/>
      <c r="J268" s="122" t="n"/>
      <c r="K268" s="123">
        <f>IF(N(I268)&gt;0,ROUND(N(I268)*IVA_general,2),0)</f>
        <v/>
      </c>
      <c r="L268" s="122" t="n">
        <v>0</v>
      </c>
      <c r="M268" s="122" t="n"/>
      <c r="N268" s="123">
        <f>IF(SUM(I268:M268)=0,"",SUM(I268:M268))</f>
        <v/>
      </c>
      <c r="O268" s="124">
        <f>IF(A268="","",TEXT(A268,"yyyy-mm"))</f>
        <v/>
      </c>
      <c r="P268" s="121">
        <f>IF(A268="","",YEAR(A268))</f>
        <v/>
      </c>
      <c r="Q268" s="121">
        <f>IF(A268="","",MONTH(A268))</f>
        <v/>
      </c>
      <c r="R268" s="116" t="n"/>
      <c r="S268" s="116" t="n"/>
      <c r="T268" s="120" t="n"/>
      <c r="U268" s="122" t="n">
        <v>0</v>
      </c>
      <c r="V268" s="123">
        <f>IF(B268="","",N268-U268)</f>
        <v/>
      </c>
      <c r="W268" s="116" t="n"/>
      <c r="X268" s="125">
        <f>IF(B268="","",IF(LEFT(B268,2)="NC",-1,1))</f>
        <v/>
      </c>
      <c r="Y268" s="123">
        <f>IF(B268="",0,N(I268)*X268)</f>
        <v/>
      </c>
      <c r="Z268" s="123">
        <f>IF(B268="",0,N(J268)*X268)</f>
        <v/>
      </c>
      <c r="AA268" s="123">
        <f>IF(B268="",0,N(K268)*X268)</f>
        <v/>
      </c>
      <c r="AB268" s="123">
        <f>IF(B268="",0,N(L268)*X268)</f>
        <v/>
      </c>
      <c r="AC268" s="123">
        <f>IF(B268="",0,N(N268)*X268)</f>
        <v/>
      </c>
    </row>
    <row r="269" ht="15" customHeight="1" s="83">
      <c r="A269" s="120" t="n"/>
      <c r="B269" s="116" t="n"/>
      <c r="C269" s="116" t="n"/>
      <c r="D269" s="116" t="n"/>
      <c r="E269" s="116" t="n"/>
      <c r="F269" s="116" t="n"/>
      <c r="G269" s="116" t="n"/>
      <c r="H269" s="121">
        <f>IF(G269="","",IF(ISNUMBER(SEARCH("CAPITA",UPPER(G269))),651110,IF(ISNUMBER(SEARCH("REFUERZO",UPPER(G269))),651110,IF(ISNUMBER(SEARCH("VACUNACION",UPPER(G269))),651110,IF(ISNUMBER(SEARCH("ENFERMERIA",UPPER(G269))),651110,IF(ISNUMBER(SEARCH("APORTES",UPPER(G269))),651110,IF(ISNUMBER(SEARCH("HONORARIOS",UPPER(G269))),702010,IF(ISNUMBER(SEARCH("ADMINISTRACION",UPPER(G269))),702010,IF(ISNUMBER(SEARCH("GERENCIAMIENTO",UPPER(G269))),702010,IF(ISNUMBER(SEARCH("ALQUILER",UPPER(G269))),702010,IF(ISNUMBER(SEARCH("AUDITORIA",UPPER(G269))),702010,IF(ISNUMBER(SEARCH("PRESTACIONAL",UPPER(G269))),702010,702010))))))))))))</f>
        <v/>
      </c>
      <c r="I269" s="122" t="n"/>
      <c r="J269" s="122" t="n"/>
      <c r="K269" s="123">
        <f>IF(N(I269)&gt;0,ROUND(N(I269)*IVA_general,2),0)</f>
        <v/>
      </c>
      <c r="L269" s="122" t="n">
        <v>0</v>
      </c>
      <c r="M269" s="122" t="n"/>
      <c r="N269" s="123">
        <f>IF(SUM(I269:M269)=0,"",SUM(I269:M269))</f>
        <v/>
      </c>
      <c r="O269" s="124">
        <f>IF(A269="","",TEXT(A269,"yyyy-mm"))</f>
        <v/>
      </c>
      <c r="P269" s="121">
        <f>IF(A269="","",YEAR(A269))</f>
        <v/>
      </c>
      <c r="Q269" s="121">
        <f>IF(A269="","",MONTH(A269))</f>
        <v/>
      </c>
      <c r="R269" s="116" t="n"/>
      <c r="S269" s="116" t="n"/>
      <c r="T269" s="120" t="n"/>
      <c r="U269" s="122" t="n">
        <v>0</v>
      </c>
      <c r="V269" s="123">
        <f>IF(B269="","",N269-U269)</f>
        <v/>
      </c>
      <c r="W269" s="116" t="n"/>
      <c r="X269" s="125">
        <f>IF(B269="","",IF(LEFT(B269,2)="NC",-1,1))</f>
        <v/>
      </c>
      <c r="Y269" s="123">
        <f>IF(B269="",0,N(I269)*X269)</f>
        <v/>
      </c>
      <c r="Z269" s="123">
        <f>IF(B269="",0,N(J269)*X269)</f>
        <v/>
      </c>
      <c r="AA269" s="123">
        <f>IF(B269="",0,N(K269)*X269)</f>
        <v/>
      </c>
      <c r="AB269" s="123">
        <f>IF(B269="",0,N(L269)*X269)</f>
        <v/>
      </c>
      <c r="AC269" s="123">
        <f>IF(B269="",0,N(N269)*X269)</f>
        <v/>
      </c>
    </row>
    <row r="270" ht="15" customHeight="1" s="83">
      <c r="A270" s="120" t="n"/>
      <c r="B270" s="116" t="n"/>
      <c r="C270" s="116" t="n"/>
      <c r="D270" s="116" t="n"/>
      <c r="E270" s="116" t="n"/>
      <c r="F270" s="116" t="n"/>
      <c r="G270" s="116" t="n"/>
      <c r="H270" s="121">
        <f>IF(G270="","",IF(ISNUMBER(SEARCH("CAPITA",UPPER(G270))),651110,IF(ISNUMBER(SEARCH("REFUERZO",UPPER(G270))),651110,IF(ISNUMBER(SEARCH("VACUNACION",UPPER(G270))),651110,IF(ISNUMBER(SEARCH("ENFERMERIA",UPPER(G270))),651110,IF(ISNUMBER(SEARCH("APORTES",UPPER(G270))),651110,IF(ISNUMBER(SEARCH("HONORARIOS",UPPER(G270))),702010,IF(ISNUMBER(SEARCH("ADMINISTRACION",UPPER(G270))),702010,IF(ISNUMBER(SEARCH("GERENCIAMIENTO",UPPER(G270))),702010,IF(ISNUMBER(SEARCH("ALQUILER",UPPER(G270))),702010,IF(ISNUMBER(SEARCH("AUDITORIA",UPPER(G270))),702010,IF(ISNUMBER(SEARCH("PRESTACIONAL",UPPER(G270))),702010,702010))))))))))))</f>
        <v/>
      </c>
      <c r="I270" s="122" t="n"/>
      <c r="J270" s="122" t="n"/>
      <c r="K270" s="123">
        <f>IF(N(I270)&gt;0,ROUND(N(I270)*IVA_general,2),0)</f>
        <v/>
      </c>
      <c r="L270" s="122" t="n">
        <v>0</v>
      </c>
      <c r="M270" s="122" t="n"/>
      <c r="N270" s="123">
        <f>IF(SUM(I270:M270)=0,"",SUM(I270:M270))</f>
        <v/>
      </c>
      <c r="O270" s="124">
        <f>IF(A270="","",TEXT(A270,"yyyy-mm"))</f>
        <v/>
      </c>
      <c r="P270" s="121">
        <f>IF(A270="","",YEAR(A270))</f>
        <v/>
      </c>
      <c r="Q270" s="121">
        <f>IF(A270="","",MONTH(A270))</f>
        <v/>
      </c>
      <c r="R270" s="116" t="n"/>
      <c r="S270" s="116" t="n"/>
      <c r="T270" s="120" t="n"/>
      <c r="U270" s="122" t="n">
        <v>0</v>
      </c>
      <c r="V270" s="123">
        <f>IF(B270="","",N270-U270)</f>
        <v/>
      </c>
      <c r="W270" s="116" t="n"/>
      <c r="X270" s="125">
        <f>IF(B270="","",IF(LEFT(B270,2)="NC",-1,1))</f>
        <v/>
      </c>
      <c r="Y270" s="123">
        <f>IF(B270="",0,N(I270)*X270)</f>
        <v/>
      </c>
      <c r="Z270" s="123">
        <f>IF(B270="",0,N(J270)*X270)</f>
        <v/>
      </c>
      <c r="AA270" s="123">
        <f>IF(B270="",0,N(K270)*X270)</f>
        <v/>
      </c>
      <c r="AB270" s="123">
        <f>IF(B270="",0,N(L270)*X270)</f>
        <v/>
      </c>
      <c r="AC270" s="123">
        <f>IF(B270="",0,N(N270)*X270)</f>
        <v/>
      </c>
    </row>
    <row r="271" ht="15" customHeight="1" s="83">
      <c r="A271" s="120" t="n"/>
      <c r="B271" s="116" t="n"/>
      <c r="C271" s="116" t="n"/>
      <c r="D271" s="116" t="n"/>
      <c r="E271" s="116" t="n"/>
      <c r="F271" s="116" t="n"/>
      <c r="G271" s="116" t="n"/>
      <c r="H271" s="121">
        <f>IF(G271="","",IF(ISNUMBER(SEARCH("CAPITA",UPPER(G271))),651110,IF(ISNUMBER(SEARCH("REFUERZO",UPPER(G271))),651110,IF(ISNUMBER(SEARCH("VACUNACION",UPPER(G271))),651110,IF(ISNUMBER(SEARCH("ENFERMERIA",UPPER(G271))),651110,IF(ISNUMBER(SEARCH("APORTES",UPPER(G271))),651110,IF(ISNUMBER(SEARCH("HONORARIOS",UPPER(G271))),702010,IF(ISNUMBER(SEARCH("ADMINISTRACION",UPPER(G271))),702010,IF(ISNUMBER(SEARCH("GERENCIAMIENTO",UPPER(G271))),702010,IF(ISNUMBER(SEARCH("ALQUILER",UPPER(G271))),702010,IF(ISNUMBER(SEARCH("AUDITORIA",UPPER(G271))),702010,IF(ISNUMBER(SEARCH("PRESTACIONAL",UPPER(G271))),702010,702010))))))))))))</f>
        <v/>
      </c>
      <c r="I271" s="122" t="n"/>
      <c r="J271" s="122" t="n"/>
      <c r="K271" s="123">
        <f>IF(N(I271)&gt;0,ROUND(N(I271)*IVA_general,2),0)</f>
        <v/>
      </c>
      <c r="L271" s="122" t="n">
        <v>0</v>
      </c>
      <c r="M271" s="122" t="n"/>
      <c r="N271" s="123">
        <f>IF(SUM(I271:M271)=0,"",SUM(I271:M271))</f>
        <v/>
      </c>
      <c r="O271" s="124">
        <f>IF(A271="","",TEXT(A271,"yyyy-mm"))</f>
        <v/>
      </c>
      <c r="P271" s="121">
        <f>IF(A271="","",YEAR(A271))</f>
        <v/>
      </c>
      <c r="Q271" s="121">
        <f>IF(A271="","",MONTH(A271))</f>
        <v/>
      </c>
      <c r="R271" s="116" t="n"/>
      <c r="S271" s="116" t="n"/>
      <c r="T271" s="120" t="n"/>
      <c r="U271" s="122" t="n">
        <v>0</v>
      </c>
      <c r="V271" s="123">
        <f>IF(B271="","",N271-U271)</f>
        <v/>
      </c>
      <c r="W271" s="116" t="n"/>
      <c r="X271" s="125">
        <f>IF(B271="","",IF(LEFT(B271,2)="NC",-1,1))</f>
        <v/>
      </c>
      <c r="Y271" s="123">
        <f>IF(B271="",0,N(I271)*X271)</f>
        <v/>
      </c>
      <c r="Z271" s="123">
        <f>IF(B271="",0,N(J271)*X271)</f>
        <v/>
      </c>
      <c r="AA271" s="123">
        <f>IF(B271="",0,N(K271)*X271)</f>
        <v/>
      </c>
      <c r="AB271" s="123">
        <f>IF(B271="",0,N(L271)*X271)</f>
        <v/>
      </c>
      <c r="AC271" s="123">
        <f>IF(B271="",0,N(N271)*X271)</f>
        <v/>
      </c>
    </row>
    <row r="272" ht="15" customHeight="1" s="83">
      <c r="A272" s="120" t="n"/>
      <c r="B272" s="116" t="n"/>
      <c r="C272" s="116" t="n"/>
      <c r="D272" s="116" t="n"/>
      <c r="E272" s="116" t="n"/>
      <c r="F272" s="116" t="n"/>
      <c r="G272" s="116" t="n"/>
      <c r="H272" s="121">
        <f>IF(G272="","",IF(ISNUMBER(SEARCH("CAPITA",UPPER(G272))),651110,IF(ISNUMBER(SEARCH("REFUERZO",UPPER(G272))),651110,IF(ISNUMBER(SEARCH("VACUNACION",UPPER(G272))),651110,IF(ISNUMBER(SEARCH("ENFERMERIA",UPPER(G272))),651110,IF(ISNUMBER(SEARCH("APORTES",UPPER(G272))),651110,IF(ISNUMBER(SEARCH("HONORARIOS",UPPER(G272))),702010,IF(ISNUMBER(SEARCH("ADMINISTRACION",UPPER(G272))),702010,IF(ISNUMBER(SEARCH("GERENCIAMIENTO",UPPER(G272))),702010,IF(ISNUMBER(SEARCH("ALQUILER",UPPER(G272))),702010,IF(ISNUMBER(SEARCH("AUDITORIA",UPPER(G272))),702010,IF(ISNUMBER(SEARCH("PRESTACIONAL",UPPER(G272))),702010,702010))))))))))))</f>
        <v/>
      </c>
      <c r="I272" s="122" t="n"/>
      <c r="J272" s="122" t="n"/>
      <c r="K272" s="123">
        <f>IF(N(I272)&gt;0,ROUND(N(I272)*IVA_general,2),0)</f>
        <v/>
      </c>
      <c r="L272" s="122" t="n">
        <v>0</v>
      </c>
      <c r="M272" s="122" t="n"/>
      <c r="N272" s="123">
        <f>IF(SUM(I272:M272)=0,"",SUM(I272:M272))</f>
        <v/>
      </c>
      <c r="O272" s="124">
        <f>IF(A272="","",TEXT(A272,"yyyy-mm"))</f>
        <v/>
      </c>
      <c r="P272" s="121">
        <f>IF(A272="","",YEAR(A272))</f>
        <v/>
      </c>
      <c r="Q272" s="121">
        <f>IF(A272="","",MONTH(A272))</f>
        <v/>
      </c>
      <c r="R272" s="116" t="n"/>
      <c r="S272" s="116" t="n"/>
      <c r="T272" s="120" t="n"/>
      <c r="U272" s="122" t="n">
        <v>0</v>
      </c>
      <c r="V272" s="123">
        <f>IF(B272="","",N272-U272)</f>
        <v/>
      </c>
      <c r="W272" s="116" t="n"/>
      <c r="X272" s="125">
        <f>IF(B272="","",IF(LEFT(B272,2)="NC",-1,1))</f>
        <v/>
      </c>
      <c r="Y272" s="123">
        <f>IF(B272="",0,N(I272)*X272)</f>
        <v/>
      </c>
      <c r="Z272" s="123">
        <f>IF(B272="",0,N(J272)*X272)</f>
        <v/>
      </c>
      <c r="AA272" s="123">
        <f>IF(B272="",0,N(K272)*X272)</f>
        <v/>
      </c>
      <c r="AB272" s="123">
        <f>IF(B272="",0,N(L272)*X272)</f>
        <v/>
      </c>
      <c r="AC272" s="123">
        <f>IF(B272="",0,N(N272)*X272)</f>
        <v/>
      </c>
    </row>
    <row r="273" ht="15" customHeight="1" s="83">
      <c r="A273" s="120" t="n"/>
      <c r="B273" s="116" t="n"/>
      <c r="C273" s="116" t="n"/>
      <c r="D273" s="116" t="n"/>
      <c r="E273" s="116" t="n"/>
      <c r="F273" s="116" t="n"/>
      <c r="G273" s="116" t="n"/>
      <c r="H273" s="121">
        <f>IF(G273="","",IF(ISNUMBER(SEARCH("CAPITA",UPPER(G273))),651110,IF(ISNUMBER(SEARCH("REFUERZO",UPPER(G273))),651110,IF(ISNUMBER(SEARCH("VACUNACION",UPPER(G273))),651110,IF(ISNUMBER(SEARCH("ENFERMERIA",UPPER(G273))),651110,IF(ISNUMBER(SEARCH("APORTES",UPPER(G273))),651110,IF(ISNUMBER(SEARCH("HONORARIOS",UPPER(G273))),702010,IF(ISNUMBER(SEARCH("ADMINISTRACION",UPPER(G273))),702010,IF(ISNUMBER(SEARCH("GERENCIAMIENTO",UPPER(G273))),702010,IF(ISNUMBER(SEARCH("ALQUILER",UPPER(G273))),702010,IF(ISNUMBER(SEARCH("AUDITORIA",UPPER(G273))),702010,IF(ISNUMBER(SEARCH("PRESTACIONAL",UPPER(G273))),702010,702010))))))))))))</f>
        <v/>
      </c>
      <c r="I273" s="122" t="n"/>
      <c r="J273" s="122" t="n"/>
      <c r="K273" s="123">
        <f>IF(N(I273)&gt;0,ROUND(N(I273)*IVA_general,2),0)</f>
        <v/>
      </c>
      <c r="L273" s="122" t="n">
        <v>0</v>
      </c>
      <c r="M273" s="122" t="n"/>
      <c r="N273" s="123">
        <f>IF(SUM(I273:M273)=0,"",SUM(I273:M273))</f>
        <v/>
      </c>
      <c r="O273" s="124">
        <f>IF(A273="","",TEXT(A273,"yyyy-mm"))</f>
        <v/>
      </c>
      <c r="P273" s="121">
        <f>IF(A273="","",YEAR(A273))</f>
        <v/>
      </c>
      <c r="Q273" s="121">
        <f>IF(A273="","",MONTH(A273))</f>
        <v/>
      </c>
      <c r="R273" s="116" t="n"/>
      <c r="S273" s="116" t="n"/>
      <c r="T273" s="120" t="n"/>
      <c r="U273" s="122" t="n">
        <v>0</v>
      </c>
      <c r="V273" s="123">
        <f>IF(B273="","",N273-U273)</f>
        <v/>
      </c>
      <c r="W273" s="116" t="n"/>
      <c r="X273" s="125">
        <f>IF(B273="","",IF(LEFT(B273,2)="NC",-1,1))</f>
        <v/>
      </c>
      <c r="Y273" s="123">
        <f>IF(B273="",0,N(I273)*X273)</f>
        <v/>
      </c>
      <c r="Z273" s="123">
        <f>IF(B273="",0,N(J273)*X273)</f>
        <v/>
      </c>
      <c r="AA273" s="123">
        <f>IF(B273="",0,N(K273)*X273)</f>
        <v/>
      </c>
      <c r="AB273" s="123">
        <f>IF(B273="",0,N(L273)*X273)</f>
        <v/>
      </c>
      <c r="AC273" s="123">
        <f>IF(B273="",0,N(N273)*X273)</f>
        <v/>
      </c>
    </row>
    <row r="274" ht="15" customHeight="1" s="83">
      <c r="A274" s="120" t="n"/>
      <c r="B274" s="116" t="n"/>
      <c r="C274" s="116" t="n"/>
      <c r="D274" s="116" t="n"/>
      <c r="E274" s="116" t="n"/>
      <c r="F274" s="116" t="n"/>
      <c r="G274" s="116" t="n"/>
      <c r="H274" s="121">
        <f>IF(G274="","",IF(ISNUMBER(SEARCH("CAPITA",UPPER(G274))),651110,IF(ISNUMBER(SEARCH("REFUERZO",UPPER(G274))),651110,IF(ISNUMBER(SEARCH("VACUNACION",UPPER(G274))),651110,IF(ISNUMBER(SEARCH("ENFERMERIA",UPPER(G274))),651110,IF(ISNUMBER(SEARCH("APORTES",UPPER(G274))),651110,IF(ISNUMBER(SEARCH("HONORARIOS",UPPER(G274))),702010,IF(ISNUMBER(SEARCH("ADMINISTRACION",UPPER(G274))),702010,IF(ISNUMBER(SEARCH("GERENCIAMIENTO",UPPER(G274))),702010,IF(ISNUMBER(SEARCH("ALQUILER",UPPER(G274))),702010,IF(ISNUMBER(SEARCH("AUDITORIA",UPPER(G274))),702010,IF(ISNUMBER(SEARCH("PRESTACIONAL",UPPER(G274))),702010,702010))))))))))))</f>
        <v/>
      </c>
      <c r="I274" s="122" t="n"/>
      <c r="J274" s="122" t="n"/>
      <c r="K274" s="123">
        <f>IF(N(I274)&gt;0,ROUND(N(I274)*IVA_general,2),0)</f>
        <v/>
      </c>
      <c r="L274" s="122" t="n">
        <v>0</v>
      </c>
      <c r="M274" s="122" t="n"/>
      <c r="N274" s="123">
        <f>IF(SUM(I274:M274)=0,"",SUM(I274:M274))</f>
        <v/>
      </c>
      <c r="O274" s="124">
        <f>IF(A274="","",TEXT(A274,"yyyy-mm"))</f>
        <v/>
      </c>
      <c r="P274" s="121">
        <f>IF(A274="","",YEAR(A274))</f>
        <v/>
      </c>
      <c r="Q274" s="121">
        <f>IF(A274="","",MONTH(A274))</f>
        <v/>
      </c>
      <c r="R274" s="116" t="n"/>
      <c r="S274" s="116" t="n"/>
      <c r="T274" s="120" t="n"/>
      <c r="U274" s="122" t="n">
        <v>0</v>
      </c>
      <c r="V274" s="123">
        <f>IF(B274="","",N274-U274)</f>
        <v/>
      </c>
      <c r="W274" s="116" t="n"/>
      <c r="X274" s="125">
        <f>IF(B274="","",IF(LEFT(B274,2)="NC",-1,1))</f>
        <v/>
      </c>
      <c r="Y274" s="123">
        <f>IF(B274="",0,N(I274)*X274)</f>
        <v/>
      </c>
      <c r="Z274" s="123">
        <f>IF(B274="",0,N(J274)*X274)</f>
        <v/>
      </c>
      <c r="AA274" s="123">
        <f>IF(B274="",0,N(K274)*X274)</f>
        <v/>
      </c>
      <c r="AB274" s="123">
        <f>IF(B274="",0,N(L274)*X274)</f>
        <v/>
      </c>
      <c r="AC274" s="123">
        <f>IF(B274="",0,N(N274)*X274)</f>
        <v/>
      </c>
    </row>
    <row r="275" ht="15" customHeight="1" s="83">
      <c r="A275" s="120" t="n"/>
      <c r="B275" s="116" t="n"/>
      <c r="C275" s="116" t="n"/>
      <c r="D275" s="116" t="n"/>
      <c r="E275" s="116" t="n"/>
      <c r="F275" s="116" t="n"/>
      <c r="G275" s="116" t="n"/>
      <c r="H275" s="121">
        <f>IF(G275="","",IF(ISNUMBER(SEARCH("CAPITA",UPPER(G275))),651110,IF(ISNUMBER(SEARCH("REFUERZO",UPPER(G275))),651110,IF(ISNUMBER(SEARCH("VACUNACION",UPPER(G275))),651110,IF(ISNUMBER(SEARCH("ENFERMERIA",UPPER(G275))),651110,IF(ISNUMBER(SEARCH("APORTES",UPPER(G275))),651110,IF(ISNUMBER(SEARCH("HONORARIOS",UPPER(G275))),702010,IF(ISNUMBER(SEARCH("ADMINISTRACION",UPPER(G275))),702010,IF(ISNUMBER(SEARCH("GERENCIAMIENTO",UPPER(G275))),702010,IF(ISNUMBER(SEARCH("ALQUILER",UPPER(G275))),702010,IF(ISNUMBER(SEARCH("AUDITORIA",UPPER(G275))),702010,IF(ISNUMBER(SEARCH("PRESTACIONAL",UPPER(G275))),702010,702010))))))))))))</f>
        <v/>
      </c>
      <c r="I275" s="122" t="n"/>
      <c r="J275" s="122" t="n"/>
      <c r="K275" s="123">
        <f>IF(N(I275)&gt;0,ROUND(N(I275)*IVA_general,2),0)</f>
        <v/>
      </c>
      <c r="L275" s="122" t="n">
        <v>0</v>
      </c>
      <c r="M275" s="122" t="n"/>
      <c r="N275" s="123">
        <f>IF(SUM(I275:M275)=0,"",SUM(I275:M275))</f>
        <v/>
      </c>
      <c r="O275" s="124">
        <f>IF(A275="","",TEXT(A275,"yyyy-mm"))</f>
        <v/>
      </c>
      <c r="P275" s="121">
        <f>IF(A275="","",YEAR(A275))</f>
        <v/>
      </c>
      <c r="Q275" s="121">
        <f>IF(A275="","",MONTH(A275))</f>
        <v/>
      </c>
      <c r="R275" s="116" t="n"/>
      <c r="S275" s="116" t="n"/>
      <c r="T275" s="120" t="n"/>
      <c r="U275" s="122" t="n">
        <v>0</v>
      </c>
      <c r="V275" s="123">
        <f>IF(B275="","",N275-U275)</f>
        <v/>
      </c>
      <c r="W275" s="116" t="n"/>
      <c r="X275" s="125">
        <f>IF(B275="","",IF(LEFT(B275,2)="NC",-1,1))</f>
        <v/>
      </c>
      <c r="Y275" s="123">
        <f>IF(B275="",0,N(I275)*X275)</f>
        <v/>
      </c>
      <c r="Z275" s="123">
        <f>IF(B275="",0,N(J275)*X275)</f>
        <v/>
      </c>
      <c r="AA275" s="123">
        <f>IF(B275="",0,N(K275)*X275)</f>
        <v/>
      </c>
      <c r="AB275" s="123">
        <f>IF(B275="",0,N(L275)*X275)</f>
        <v/>
      </c>
      <c r="AC275" s="123">
        <f>IF(B275="",0,N(N275)*X275)</f>
        <v/>
      </c>
    </row>
    <row r="276" ht="15" customHeight="1" s="83">
      <c r="A276" s="120" t="n"/>
      <c r="B276" s="116" t="n"/>
      <c r="C276" s="116" t="n"/>
      <c r="D276" s="116" t="n"/>
      <c r="E276" s="116" t="n"/>
      <c r="F276" s="116" t="n"/>
      <c r="G276" s="116" t="n"/>
      <c r="H276" s="121">
        <f>IF(G276="","",IF(ISNUMBER(SEARCH("CAPITA",UPPER(G276))),651110,IF(ISNUMBER(SEARCH("REFUERZO",UPPER(G276))),651110,IF(ISNUMBER(SEARCH("VACUNACION",UPPER(G276))),651110,IF(ISNUMBER(SEARCH("ENFERMERIA",UPPER(G276))),651110,IF(ISNUMBER(SEARCH("APORTES",UPPER(G276))),651110,IF(ISNUMBER(SEARCH("HONORARIOS",UPPER(G276))),702010,IF(ISNUMBER(SEARCH("ADMINISTRACION",UPPER(G276))),702010,IF(ISNUMBER(SEARCH("GERENCIAMIENTO",UPPER(G276))),702010,IF(ISNUMBER(SEARCH("ALQUILER",UPPER(G276))),702010,IF(ISNUMBER(SEARCH("AUDITORIA",UPPER(G276))),702010,IF(ISNUMBER(SEARCH("PRESTACIONAL",UPPER(G276))),702010,702010))))))))))))</f>
        <v/>
      </c>
      <c r="I276" s="122" t="n"/>
      <c r="J276" s="122" t="n"/>
      <c r="K276" s="123">
        <f>IF(N(I276)&gt;0,ROUND(N(I276)*IVA_general,2),0)</f>
        <v/>
      </c>
      <c r="L276" s="122" t="n">
        <v>0</v>
      </c>
      <c r="M276" s="122" t="n"/>
      <c r="N276" s="123">
        <f>IF(SUM(I276:M276)=0,"",SUM(I276:M276))</f>
        <v/>
      </c>
      <c r="O276" s="124">
        <f>IF(A276="","",TEXT(A276,"yyyy-mm"))</f>
        <v/>
      </c>
      <c r="P276" s="121">
        <f>IF(A276="","",YEAR(A276))</f>
        <v/>
      </c>
      <c r="Q276" s="121">
        <f>IF(A276="","",MONTH(A276))</f>
        <v/>
      </c>
      <c r="R276" s="116" t="n"/>
      <c r="S276" s="116" t="n"/>
      <c r="T276" s="120" t="n"/>
      <c r="U276" s="122" t="n">
        <v>0</v>
      </c>
      <c r="V276" s="123">
        <f>IF(B276="","",N276-U276)</f>
        <v/>
      </c>
      <c r="W276" s="116" t="n"/>
      <c r="X276" s="125">
        <f>IF(B276="","",IF(LEFT(B276,2)="NC",-1,1))</f>
        <v/>
      </c>
      <c r="Y276" s="123">
        <f>IF(B276="",0,N(I276)*X276)</f>
        <v/>
      </c>
      <c r="Z276" s="123">
        <f>IF(B276="",0,N(J276)*X276)</f>
        <v/>
      </c>
      <c r="AA276" s="123">
        <f>IF(B276="",0,N(K276)*X276)</f>
        <v/>
      </c>
      <c r="AB276" s="123">
        <f>IF(B276="",0,N(L276)*X276)</f>
        <v/>
      </c>
      <c r="AC276" s="123">
        <f>IF(B276="",0,N(N276)*X276)</f>
        <v/>
      </c>
    </row>
    <row r="277" ht="15" customHeight="1" s="83">
      <c r="A277" s="120" t="n"/>
      <c r="B277" s="116" t="n"/>
      <c r="C277" s="116" t="n"/>
      <c r="D277" s="116" t="n"/>
      <c r="E277" s="116" t="n"/>
      <c r="F277" s="116" t="n"/>
      <c r="G277" s="116" t="n"/>
      <c r="H277" s="121">
        <f>IF(G277="","",IF(ISNUMBER(SEARCH("CAPITA",UPPER(G277))),651110,IF(ISNUMBER(SEARCH("REFUERZO",UPPER(G277))),651110,IF(ISNUMBER(SEARCH("VACUNACION",UPPER(G277))),651110,IF(ISNUMBER(SEARCH("ENFERMERIA",UPPER(G277))),651110,IF(ISNUMBER(SEARCH("APORTES",UPPER(G277))),651110,IF(ISNUMBER(SEARCH("HONORARIOS",UPPER(G277))),702010,IF(ISNUMBER(SEARCH("ADMINISTRACION",UPPER(G277))),702010,IF(ISNUMBER(SEARCH("GERENCIAMIENTO",UPPER(G277))),702010,IF(ISNUMBER(SEARCH("ALQUILER",UPPER(G277))),702010,IF(ISNUMBER(SEARCH("AUDITORIA",UPPER(G277))),702010,IF(ISNUMBER(SEARCH("PRESTACIONAL",UPPER(G277))),702010,702010))))))))))))</f>
        <v/>
      </c>
      <c r="I277" s="122" t="n"/>
      <c r="J277" s="122" t="n"/>
      <c r="K277" s="123">
        <f>IF(N(I277)&gt;0,ROUND(N(I277)*IVA_general,2),0)</f>
        <v/>
      </c>
      <c r="L277" s="122" t="n">
        <v>0</v>
      </c>
      <c r="M277" s="122" t="n"/>
      <c r="N277" s="123">
        <f>IF(SUM(I277:M277)=0,"",SUM(I277:M277))</f>
        <v/>
      </c>
      <c r="O277" s="124">
        <f>IF(A277="","",TEXT(A277,"yyyy-mm"))</f>
        <v/>
      </c>
      <c r="P277" s="121">
        <f>IF(A277="","",YEAR(A277))</f>
        <v/>
      </c>
      <c r="Q277" s="121">
        <f>IF(A277="","",MONTH(A277))</f>
        <v/>
      </c>
      <c r="R277" s="116" t="n"/>
      <c r="S277" s="116" t="n"/>
      <c r="T277" s="120" t="n"/>
      <c r="U277" s="122" t="n">
        <v>0</v>
      </c>
      <c r="V277" s="123">
        <f>IF(B277="","",N277-U277)</f>
        <v/>
      </c>
      <c r="W277" s="116" t="n"/>
      <c r="X277" s="125">
        <f>IF(B277="","",IF(LEFT(B277,2)="NC",-1,1))</f>
        <v/>
      </c>
      <c r="Y277" s="123">
        <f>IF(B277="",0,N(I277)*X277)</f>
        <v/>
      </c>
      <c r="Z277" s="123">
        <f>IF(B277="",0,N(J277)*X277)</f>
        <v/>
      </c>
      <c r="AA277" s="123">
        <f>IF(B277="",0,N(K277)*X277)</f>
        <v/>
      </c>
      <c r="AB277" s="123">
        <f>IF(B277="",0,N(L277)*X277)</f>
        <v/>
      </c>
      <c r="AC277" s="123">
        <f>IF(B277="",0,N(N277)*X277)</f>
        <v/>
      </c>
    </row>
    <row r="278" ht="15" customHeight="1" s="83">
      <c r="A278" s="120" t="n"/>
      <c r="B278" s="116" t="n"/>
      <c r="C278" s="116" t="n"/>
      <c r="D278" s="116" t="n"/>
      <c r="E278" s="116" t="n"/>
      <c r="F278" s="116" t="n"/>
      <c r="G278" s="116" t="n"/>
      <c r="H278" s="121">
        <f>IF(G278="","",IF(ISNUMBER(SEARCH("CAPITA",UPPER(G278))),651110,IF(ISNUMBER(SEARCH("REFUERZO",UPPER(G278))),651110,IF(ISNUMBER(SEARCH("VACUNACION",UPPER(G278))),651110,IF(ISNUMBER(SEARCH("ENFERMERIA",UPPER(G278))),651110,IF(ISNUMBER(SEARCH("APORTES",UPPER(G278))),651110,IF(ISNUMBER(SEARCH("HONORARIOS",UPPER(G278))),702010,IF(ISNUMBER(SEARCH("ADMINISTRACION",UPPER(G278))),702010,IF(ISNUMBER(SEARCH("GERENCIAMIENTO",UPPER(G278))),702010,IF(ISNUMBER(SEARCH("ALQUILER",UPPER(G278))),702010,IF(ISNUMBER(SEARCH("AUDITORIA",UPPER(G278))),702010,IF(ISNUMBER(SEARCH("PRESTACIONAL",UPPER(G278))),702010,702010))))))))))))</f>
        <v/>
      </c>
      <c r="I278" s="122" t="n"/>
      <c r="J278" s="122" t="n"/>
      <c r="K278" s="123">
        <f>IF(N(I278)&gt;0,ROUND(N(I278)*IVA_general,2),0)</f>
        <v/>
      </c>
      <c r="L278" s="122" t="n">
        <v>0</v>
      </c>
      <c r="M278" s="122" t="n"/>
      <c r="N278" s="123">
        <f>IF(SUM(I278:M278)=0,"",SUM(I278:M278))</f>
        <v/>
      </c>
      <c r="O278" s="124">
        <f>IF(A278="","",TEXT(A278,"yyyy-mm"))</f>
        <v/>
      </c>
      <c r="P278" s="121">
        <f>IF(A278="","",YEAR(A278))</f>
        <v/>
      </c>
      <c r="Q278" s="121">
        <f>IF(A278="","",MONTH(A278))</f>
        <v/>
      </c>
      <c r="R278" s="116" t="n"/>
      <c r="S278" s="116" t="n"/>
      <c r="T278" s="120" t="n"/>
      <c r="U278" s="122" t="n">
        <v>0</v>
      </c>
      <c r="V278" s="123">
        <f>IF(B278="","",N278-U278)</f>
        <v/>
      </c>
      <c r="W278" s="116" t="n"/>
      <c r="X278" s="125">
        <f>IF(B278="","",IF(LEFT(B278,2)="NC",-1,1))</f>
        <v/>
      </c>
      <c r="Y278" s="123">
        <f>IF(B278="",0,N(I278)*X278)</f>
        <v/>
      </c>
      <c r="Z278" s="123">
        <f>IF(B278="",0,N(J278)*X278)</f>
        <v/>
      </c>
      <c r="AA278" s="123">
        <f>IF(B278="",0,N(K278)*X278)</f>
        <v/>
      </c>
      <c r="AB278" s="123">
        <f>IF(B278="",0,N(L278)*X278)</f>
        <v/>
      </c>
      <c r="AC278" s="123">
        <f>IF(B278="",0,N(N278)*X278)</f>
        <v/>
      </c>
    </row>
    <row r="279" ht="15" customHeight="1" s="83">
      <c r="A279" s="120" t="n"/>
      <c r="B279" s="116" t="n"/>
      <c r="C279" s="116" t="n"/>
      <c r="D279" s="116" t="n"/>
      <c r="E279" s="116" t="n"/>
      <c r="F279" s="116" t="n"/>
      <c r="G279" s="116" t="n"/>
      <c r="H279" s="121">
        <f>IF(G279="","",IF(ISNUMBER(SEARCH("CAPITA",UPPER(G279))),651110,IF(ISNUMBER(SEARCH("REFUERZO",UPPER(G279))),651110,IF(ISNUMBER(SEARCH("VACUNACION",UPPER(G279))),651110,IF(ISNUMBER(SEARCH("ENFERMERIA",UPPER(G279))),651110,IF(ISNUMBER(SEARCH("APORTES",UPPER(G279))),651110,IF(ISNUMBER(SEARCH("HONORARIOS",UPPER(G279))),702010,IF(ISNUMBER(SEARCH("ADMINISTRACION",UPPER(G279))),702010,IF(ISNUMBER(SEARCH("GERENCIAMIENTO",UPPER(G279))),702010,IF(ISNUMBER(SEARCH("ALQUILER",UPPER(G279))),702010,IF(ISNUMBER(SEARCH("AUDITORIA",UPPER(G279))),702010,IF(ISNUMBER(SEARCH("PRESTACIONAL",UPPER(G279))),702010,702010))))))))))))</f>
        <v/>
      </c>
      <c r="I279" s="122" t="n"/>
      <c r="J279" s="122" t="n"/>
      <c r="K279" s="123">
        <f>IF(N(I279)&gt;0,ROUND(N(I279)*IVA_general,2),0)</f>
        <v/>
      </c>
      <c r="L279" s="122" t="n">
        <v>0</v>
      </c>
      <c r="M279" s="122" t="n"/>
      <c r="N279" s="123">
        <f>IF(SUM(I279:M279)=0,"",SUM(I279:M279))</f>
        <v/>
      </c>
      <c r="O279" s="124">
        <f>IF(A279="","",TEXT(A279,"yyyy-mm"))</f>
        <v/>
      </c>
      <c r="P279" s="121">
        <f>IF(A279="","",YEAR(A279))</f>
        <v/>
      </c>
      <c r="Q279" s="121">
        <f>IF(A279="","",MONTH(A279))</f>
        <v/>
      </c>
      <c r="R279" s="116" t="n"/>
      <c r="S279" s="116" t="n"/>
      <c r="T279" s="120" t="n"/>
      <c r="U279" s="122" t="n">
        <v>0</v>
      </c>
      <c r="V279" s="123">
        <f>IF(B279="","",N279-U279)</f>
        <v/>
      </c>
      <c r="W279" s="116" t="n"/>
      <c r="X279" s="125">
        <f>IF(B279="","",IF(LEFT(B279,2)="NC",-1,1))</f>
        <v/>
      </c>
      <c r="Y279" s="123">
        <f>IF(B279="",0,N(I279)*X279)</f>
        <v/>
      </c>
      <c r="Z279" s="123">
        <f>IF(B279="",0,N(J279)*X279)</f>
        <v/>
      </c>
      <c r="AA279" s="123">
        <f>IF(B279="",0,N(K279)*X279)</f>
        <v/>
      </c>
      <c r="AB279" s="123">
        <f>IF(B279="",0,N(L279)*X279)</f>
        <v/>
      </c>
      <c r="AC279" s="123">
        <f>IF(B279="",0,N(N279)*X279)</f>
        <v/>
      </c>
    </row>
    <row r="280" ht="15" customHeight="1" s="83">
      <c r="A280" s="120" t="n"/>
      <c r="B280" s="116" t="n"/>
      <c r="C280" s="116" t="n"/>
      <c r="D280" s="116" t="n"/>
      <c r="E280" s="116" t="n"/>
      <c r="F280" s="116" t="n"/>
      <c r="G280" s="116" t="n"/>
      <c r="H280" s="121">
        <f>IF(G280="","",IF(ISNUMBER(SEARCH("CAPITA",UPPER(G280))),651110,IF(ISNUMBER(SEARCH("REFUERZO",UPPER(G280))),651110,IF(ISNUMBER(SEARCH("VACUNACION",UPPER(G280))),651110,IF(ISNUMBER(SEARCH("ENFERMERIA",UPPER(G280))),651110,IF(ISNUMBER(SEARCH("APORTES",UPPER(G280))),651110,IF(ISNUMBER(SEARCH("HONORARIOS",UPPER(G280))),702010,IF(ISNUMBER(SEARCH("ADMINISTRACION",UPPER(G280))),702010,IF(ISNUMBER(SEARCH("GERENCIAMIENTO",UPPER(G280))),702010,IF(ISNUMBER(SEARCH("ALQUILER",UPPER(G280))),702010,IF(ISNUMBER(SEARCH("AUDITORIA",UPPER(G280))),702010,IF(ISNUMBER(SEARCH("PRESTACIONAL",UPPER(G280))),702010,702010))))))))))))</f>
        <v/>
      </c>
      <c r="I280" s="122" t="n"/>
      <c r="J280" s="122" t="n"/>
      <c r="K280" s="123">
        <f>IF(N(I280)&gt;0,ROUND(N(I280)*IVA_general,2),0)</f>
        <v/>
      </c>
      <c r="L280" s="122" t="n">
        <v>0</v>
      </c>
      <c r="M280" s="122" t="n"/>
      <c r="N280" s="123">
        <f>IF(SUM(I280:M280)=0,"",SUM(I280:M280))</f>
        <v/>
      </c>
      <c r="O280" s="124">
        <f>IF(A280="","",TEXT(A280,"yyyy-mm"))</f>
        <v/>
      </c>
      <c r="P280" s="121">
        <f>IF(A280="","",YEAR(A280))</f>
        <v/>
      </c>
      <c r="Q280" s="121">
        <f>IF(A280="","",MONTH(A280))</f>
        <v/>
      </c>
      <c r="R280" s="116" t="n"/>
      <c r="S280" s="116" t="n"/>
      <c r="T280" s="120" t="n"/>
      <c r="U280" s="122" t="n">
        <v>0</v>
      </c>
      <c r="V280" s="123">
        <f>IF(B280="","",N280-U280)</f>
        <v/>
      </c>
      <c r="W280" s="116" t="n"/>
      <c r="X280" s="125">
        <f>IF(B280="","",IF(LEFT(B280,2)="NC",-1,1))</f>
        <v/>
      </c>
      <c r="Y280" s="123">
        <f>IF(B280="",0,N(I280)*X280)</f>
        <v/>
      </c>
      <c r="Z280" s="123">
        <f>IF(B280="",0,N(J280)*X280)</f>
        <v/>
      </c>
      <c r="AA280" s="123">
        <f>IF(B280="",0,N(K280)*X280)</f>
        <v/>
      </c>
      <c r="AB280" s="123">
        <f>IF(B280="",0,N(L280)*X280)</f>
        <v/>
      </c>
      <c r="AC280" s="123">
        <f>IF(B280="",0,N(N280)*X280)</f>
        <v/>
      </c>
    </row>
    <row r="281" ht="15" customHeight="1" s="83">
      <c r="A281" s="120" t="n"/>
      <c r="B281" s="116" t="n"/>
      <c r="C281" s="116" t="n"/>
      <c r="D281" s="116" t="n"/>
      <c r="E281" s="116" t="n"/>
      <c r="F281" s="116" t="n"/>
      <c r="G281" s="116" t="n"/>
      <c r="H281" s="121">
        <f>IF(G281="","",IF(ISNUMBER(SEARCH("CAPITA",UPPER(G281))),651110,IF(ISNUMBER(SEARCH("REFUERZO",UPPER(G281))),651110,IF(ISNUMBER(SEARCH("VACUNACION",UPPER(G281))),651110,IF(ISNUMBER(SEARCH("ENFERMERIA",UPPER(G281))),651110,IF(ISNUMBER(SEARCH("APORTES",UPPER(G281))),651110,IF(ISNUMBER(SEARCH("HONORARIOS",UPPER(G281))),702010,IF(ISNUMBER(SEARCH("ADMINISTRACION",UPPER(G281))),702010,IF(ISNUMBER(SEARCH("GERENCIAMIENTO",UPPER(G281))),702010,IF(ISNUMBER(SEARCH("ALQUILER",UPPER(G281))),702010,IF(ISNUMBER(SEARCH("AUDITORIA",UPPER(G281))),702010,IF(ISNUMBER(SEARCH("PRESTACIONAL",UPPER(G281))),702010,702010))))))))))))</f>
        <v/>
      </c>
      <c r="I281" s="122" t="n"/>
      <c r="J281" s="122" t="n"/>
      <c r="K281" s="123">
        <f>IF(N(I281)&gt;0,ROUND(N(I281)*IVA_general,2),0)</f>
        <v/>
      </c>
      <c r="L281" s="122" t="n">
        <v>0</v>
      </c>
      <c r="M281" s="122" t="n"/>
      <c r="N281" s="123">
        <f>IF(SUM(I281:M281)=0,"",SUM(I281:M281))</f>
        <v/>
      </c>
      <c r="O281" s="124">
        <f>IF(A281="","",TEXT(A281,"yyyy-mm"))</f>
        <v/>
      </c>
      <c r="P281" s="121">
        <f>IF(A281="","",YEAR(A281))</f>
        <v/>
      </c>
      <c r="Q281" s="121">
        <f>IF(A281="","",MONTH(A281))</f>
        <v/>
      </c>
      <c r="R281" s="116" t="n"/>
      <c r="S281" s="116" t="n"/>
      <c r="T281" s="120" t="n"/>
      <c r="U281" s="122" t="n">
        <v>0</v>
      </c>
      <c r="V281" s="123">
        <f>IF(B281="","",N281-U281)</f>
        <v/>
      </c>
      <c r="W281" s="116" t="n"/>
      <c r="X281" s="125">
        <f>IF(B281="","",IF(LEFT(B281,2)="NC",-1,1))</f>
        <v/>
      </c>
      <c r="Y281" s="123">
        <f>IF(B281="",0,N(I281)*X281)</f>
        <v/>
      </c>
      <c r="Z281" s="123">
        <f>IF(B281="",0,N(J281)*X281)</f>
        <v/>
      </c>
      <c r="AA281" s="123">
        <f>IF(B281="",0,N(K281)*X281)</f>
        <v/>
      </c>
      <c r="AB281" s="123">
        <f>IF(B281="",0,N(L281)*X281)</f>
        <v/>
      </c>
      <c r="AC281" s="123">
        <f>IF(B281="",0,N(N281)*X281)</f>
        <v/>
      </c>
    </row>
    <row r="282" ht="15" customHeight="1" s="83">
      <c r="A282" s="120" t="n"/>
      <c r="B282" s="116" t="n"/>
      <c r="C282" s="116" t="n"/>
      <c r="D282" s="116" t="n"/>
      <c r="E282" s="116" t="n"/>
      <c r="F282" s="116" t="n"/>
      <c r="G282" s="116" t="n"/>
      <c r="H282" s="121">
        <f>IF(G282="","",IF(ISNUMBER(SEARCH("CAPITA",UPPER(G282))),651110,IF(ISNUMBER(SEARCH("REFUERZO",UPPER(G282))),651110,IF(ISNUMBER(SEARCH("VACUNACION",UPPER(G282))),651110,IF(ISNUMBER(SEARCH("ENFERMERIA",UPPER(G282))),651110,IF(ISNUMBER(SEARCH("APORTES",UPPER(G282))),651110,IF(ISNUMBER(SEARCH("HONORARIOS",UPPER(G282))),702010,IF(ISNUMBER(SEARCH("ADMINISTRACION",UPPER(G282))),702010,IF(ISNUMBER(SEARCH("GERENCIAMIENTO",UPPER(G282))),702010,IF(ISNUMBER(SEARCH("ALQUILER",UPPER(G282))),702010,IF(ISNUMBER(SEARCH("AUDITORIA",UPPER(G282))),702010,IF(ISNUMBER(SEARCH("PRESTACIONAL",UPPER(G282))),702010,702010))))))))))))</f>
        <v/>
      </c>
      <c r="I282" s="122" t="n"/>
      <c r="J282" s="122" t="n"/>
      <c r="K282" s="123">
        <f>IF(N(I282)&gt;0,ROUND(N(I282)*IVA_general,2),0)</f>
        <v/>
      </c>
      <c r="L282" s="122" t="n">
        <v>0</v>
      </c>
      <c r="M282" s="122" t="n"/>
      <c r="N282" s="123">
        <f>IF(SUM(I282:M282)=0,"",SUM(I282:M282))</f>
        <v/>
      </c>
      <c r="O282" s="124">
        <f>IF(A282="","",TEXT(A282,"yyyy-mm"))</f>
        <v/>
      </c>
      <c r="P282" s="121">
        <f>IF(A282="","",YEAR(A282))</f>
        <v/>
      </c>
      <c r="Q282" s="121">
        <f>IF(A282="","",MONTH(A282))</f>
        <v/>
      </c>
      <c r="R282" s="116" t="n"/>
      <c r="S282" s="116" t="n"/>
      <c r="T282" s="120" t="n"/>
      <c r="U282" s="122" t="n">
        <v>0</v>
      </c>
      <c r="V282" s="123">
        <f>IF(B282="","",N282-U282)</f>
        <v/>
      </c>
      <c r="W282" s="116" t="n"/>
      <c r="X282" s="125">
        <f>IF(B282="","",IF(LEFT(B282,2)="NC",-1,1))</f>
        <v/>
      </c>
      <c r="Y282" s="123">
        <f>IF(B282="",0,N(I282)*X282)</f>
        <v/>
      </c>
      <c r="Z282" s="123">
        <f>IF(B282="",0,N(J282)*X282)</f>
        <v/>
      </c>
      <c r="AA282" s="123">
        <f>IF(B282="",0,N(K282)*X282)</f>
        <v/>
      </c>
      <c r="AB282" s="123">
        <f>IF(B282="",0,N(L282)*X282)</f>
        <v/>
      </c>
      <c r="AC282" s="123">
        <f>IF(B282="",0,N(N282)*X282)</f>
        <v/>
      </c>
    </row>
    <row r="283" ht="15" customHeight="1" s="83">
      <c r="A283" s="120" t="n"/>
      <c r="B283" s="116" t="n"/>
      <c r="C283" s="116" t="n"/>
      <c r="D283" s="116" t="n"/>
      <c r="E283" s="116" t="n"/>
      <c r="F283" s="116" t="n"/>
      <c r="G283" s="116" t="n"/>
      <c r="H283" s="121">
        <f>IF(G283="","",IF(ISNUMBER(SEARCH("CAPITA",UPPER(G283))),651110,IF(ISNUMBER(SEARCH("REFUERZO",UPPER(G283))),651110,IF(ISNUMBER(SEARCH("VACUNACION",UPPER(G283))),651110,IF(ISNUMBER(SEARCH("ENFERMERIA",UPPER(G283))),651110,IF(ISNUMBER(SEARCH("APORTES",UPPER(G283))),651110,IF(ISNUMBER(SEARCH("HONORARIOS",UPPER(G283))),702010,IF(ISNUMBER(SEARCH("ADMINISTRACION",UPPER(G283))),702010,IF(ISNUMBER(SEARCH("GERENCIAMIENTO",UPPER(G283))),702010,IF(ISNUMBER(SEARCH("ALQUILER",UPPER(G283))),702010,IF(ISNUMBER(SEARCH("AUDITORIA",UPPER(G283))),702010,IF(ISNUMBER(SEARCH("PRESTACIONAL",UPPER(G283))),702010,702010))))))))))))</f>
        <v/>
      </c>
      <c r="I283" s="122" t="n"/>
      <c r="J283" s="122" t="n"/>
      <c r="K283" s="123">
        <f>IF(N(I283)&gt;0,ROUND(N(I283)*IVA_general,2),0)</f>
        <v/>
      </c>
      <c r="L283" s="122" t="n">
        <v>0</v>
      </c>
      <c r="M283" s="122" t="n"/>
      <c r="N283" s="123">
        <f>IF(SUM(I283:M283)=0,"",SUM(I283:M283))</f>
        <v/>
      </c>
      <c r="O283" s="124">
        <f>IF(A283="","",TEXT(A283,"yyyy-mm"))</f>
        <v/>
      </c>
      <c r="P283" s="121">
        <f>IF(A283="","",YEAR(A283))</f>
        <v/>
      </c>
      <c r="Q283" s="121">
        <f>IF(A283="","",MONTH(A283))</f>
        <v/>
      </c>
      <c r="R283" s="116" t="n"/>
      <c r="S283" s="116" t="n"/>
      <c r="T283" s="120" t="n"/>
      <c r="U283" s="122" t="n">
        <v>0</v>
      </c>
      <c r="V283" s="123">
        <f>IF(B283="","",N283-U283)</f>
        <v/>
      </c>
      <c r="W283" s="116" t="n"/>
      <c r="X283" s="125">
        <f>IF(B283="","",IF(LEFT(B283,2)="NC",-1,1))</f>
        <v/>
      </c>
      <c r="Y283" s="123">
        <f>IF(B283="",0,N(I283)*X283)</f>
        <v/>
      </c>
      <c r="Z283" s="123">
        <f>IF(B283="",0,N(J283)*X283)</f>
        <v/>
      </c>
      <c r="AA283" s="123">
        <f>IF(B283="",0,N(K283)*X283)</f>
        <v/>
      </c>
      <c r="AB283" s="123">
        <f>IF(B283="",0,N(L283)*X283)</f>
        <v/>
      </c>
      <c r="AC283" s="123">
        <f>IF(B283="",0,N(N283)*X283)</f>
        <v/>
      </c>
    </row>
    <row r="284" ht="15" customHeight="1" s="83">
      <c r="A284" s="120" t="n"/>
      <c r="B284" s="116" t="n"/>
      <c r="C284" s="116" t="n"/>
      <c r="D284" s="116" t="n"/>
      <c r="E284" s="116" t="n"/>
      <c r="F284" s="116" t="n"/>
      <c r="G284" s="116" t="n"/>
      <c r="H284" s="121">
        <f>IF(G284="","",IF(ISNUMBER(SEARCH("CAPITA",UPPER(G284))),651110,IF(ISNUMBER(SEARCH("REFUERZO",UPPER(G284))),651110,IF(ISNUMBER(SEARCH("VACUNACION",UPPER(G284))),651110,IF(ISNUMBER(SEARCH("ENFERMERIA",UPPER(G284))),651110,IF(ISNUMBER(SEARCH("APORTES",UPPER(G284))),651110,IF(ISNUMBER(SEARCH("HONORARIOS",UPPER(G284))),702010,IF(ISNUMBER(SEARCH("ADMINISTRACION",UPPER(G284))),702010,IF(ISNUMBER(SEARCH("GERENCIAMIENTO",UPPER(G284))),702010,IF(ISNUMBER(SEARCH("ALQUILER",UPPER(G284))),702010,IF(ISNUMBER(SEARCH("AUDITORIA",UPPER(G284))),702010,IF(ISNUMBER(SEARCH("PRESTACIONAL",UPPER(G284))),702010,702010))))))))))))</f>
        <v/>
      </c>
      <c r="I284" s="122" t="n"/>
      <c r="J284" s="122" t="n"/>
      <c r="K284" s="123">
        <f>IF(N(I284)&gt;0,ROUND(N(I284)*IVA_general,2),0)</f>
        <v/>
      </c>
      <c r="L284" s="122" t="n">
        <v>0</v>
      </c>
      <c r="M284" s="122" t="n"/>
      <c r="N284" s="123">
        <f>IF(SUM(I284:M284)=0,"",SUM(I284:M284))</f>
        <v/>
      </c>
      <c r="O284" s="124">
        <f>IF(A284="","",TEXT(A284,"yyyy-mm"))</f>
        <v/>
      </c>
      <c r="P284" s="121">
        <f>IF(A284="","",YEAR(A284))</f>
        <v/>
      </c>
      <c r="Q284" s="121">
        <f>IF(A284="","",MONTH(A284))</f>
        <v/>
      </c>
      <c r="R284" s="116" t="n"/>
      <c r="S284" s="116" t="n"/>
      <c r="T284" s="120" t="n"/>
      <c r="U284" s="122" t="n">
        <v>0</v>
      </c>
      <c r="V284" s="123">
        <f>IF(B284="","",N284-U284)</f>
        <v/>
      </c>
      <c r="W284" s="116" t="n"/>
      <c r="X284" s="125">
        <f>IF(B284="","",IF(LEFT(B284,2)="NC",-1,1))</f>
        <v/>
      </c>
      <c r="Y284" s="123">
        <f>IF(B284="",0,N(I284)*X284)</f>
        <v/>
      </c>
      <c r="Z284" s="123">
        <f>IF(B284="",0,N(J284)*X284)</f>
        <v/>
      </c>
      <c r="AA284" s="123">
        <f>IF(B284="",0,N(K284)*X284)</f>
        <v/>
      </c>
      <c r="AB284" s="123">
        <f>IF(B284="",0,N(L284)*X284)</f>
        <v/>
      </c>
      <c r="AC284" s="123">
        <f>IF(B284="",0,N(N284)*X284)</f>
        <v/>
      </c>
    </row>
    <row r="285" ht="15" customHeight="1" s="83">
      <c r="A285" s="120" t="n"/>
      <c r="B285" s="116" t="n"/>
      <c r="C285" s="116" t="n"/>
      <c r="D285" s="116" t="n"/>
      <c r="E285" s="116" t="n"/>
      <c r="F285" s="116" t="n"/>
      <c r="G285" s="116" t="n"/>
      <c r="H285" s="121">
        <f>IF(G285="","",IF(ISNUMBER(SEARCH("CAPITA",UPPER(G285))),651110,IF(ISNUMBER(SEARCH("REFUERZO",UPPER(G285))),651110,IF(ISNUMBER(SEARCH("VACUNACION",UPPER(G285))),651110,IF(ISNUMBER(SEARCH("ENFERMERIA",UPPER(G285))),651110,IF(ISNUMBER(SEARCH("APORTES",UPPER(G285))),651110,IF(ISNUMBER(SEARCH("HONORARIOS",UPPER(G285))),702010,IF(ISNUMBER(SEARCH("ADMINISTRACION",UPPER(G285))),702010,IF(ISNUMBER(SEARCH("GERENCIAMIENTO",UPPER(G285))),702010,IF(ISNUMBER(SEARCH("ALQUILER",UPPER(G285))),702010,IF(ISNUMBER(SEARCH("AUDITORIA",UPPER(G285))),702010,IF(ISNUMBER(SEARCH("PRESTACIONAL",UPPER(G285))),702010,702010))))))))))))</f>
        <v/>
      </c>
      <c r="I285" s="122" t="n"/>
      <c r="J285" s="122" t="n"/>
      <c r="K285" s="123">
        <f>IF(N(I285)&gt;0,ROUND(N(I285)*IVA_general,2),0)</f>
        <v/>
      </c>
      <c r="L285" s="122" t="n">
        <v>0</v>
      </c>
      <c r="M285" s="122" t="n"/>
      <c r="N285" s="123">
        <f>IF(SUM(I285:M285)=0,"",SUM(I285:M285))</f>
        <v/>
      </c>
      <c r="O285" s="124">
        <f>IF(A285="","",TEXT(A285,"yyyy-mm"))</f>
        <v/>
      </c>
      <c r="P285" s="121">
        <f>IF(A285="","",YEAR(A285))</f>
        <v/>
      </c>
      <c r="Q285" s="121">
        <f>IF(A285="","",MONTH(A285))</f>
        <v/>
      </c>
      <c r="R285" s="116" t="n"/>
      <c r="S285" s="116" t="n"/>
      <c r="T285" s="120" t="n"/>
      <c r="U285" s="122" t="n">
        <v>0</v>
      </c>
      <c r="V285" s="123">
        <f>IF(B285="","",N285-U285)</f>
        <v/>
      </c>
      <c r="W285" s="116" t="n"/>
      <c r="X285" s="125">
        <f>IF(B285="","",IF(LEFT(B285,2)="NC",-1,1))</f>
        <v/>
      </c>
      <c r="Y285" s="123">
        <f>IF(B285="",0,N(I285)*X285)</f>
        <v/>
      </c>
      <c r="Z285" s="123">
        <f>IF(B285="",0,N(J285)*X285)</f>
        <v/>
      </c>
      <c r="AA285" s="123">
        <f>IF(B285="",0,N(K285)*X285)</f>
        <v/>
      </c>
      <c r="AB285" s="123">
        <f>IF(B285="",0,N(L285)*X285)</f>
        <v/>
      </c>
      <c r="AC285" s="123">
        <f>IF(B285="",0,N(N285)*X285)</f>
        <v/>
      </c>
    </row>
    <row r="286" ht="15" customHeight="1" s="83">
      <c r="A286" s="120" t="n"/>
      <c r="B286" s="116" t="n"/>
      <c r="C286" s="116" t="n"/>
      <c r="D286" s="116" t="n"/>
      <c r="E286" s="116" t="n"/>
      <c r="F286" s="116" t="n"/>
      <c r="G286" s="116" t="n"/>
      <c r="H286" s="121">
        <f>IF(G286="","",IF(ISNUMBER(SEARCH("CAPITA",UPPER(G286))),651110,IF(ISNUMBER(SEARCH("REFUERZO",UPPER(G286))),651110,IF(ISNUMBER(SEARCH("VACUNACION",UPPER(G286))),651110,IF(ISNUMBER(SEARCH("ENFERMERIA",UPPER(G286))),651110,IF(ISNUMBER(SEARCH("APORTES",UPPER(G286))),651110,IF(ISNUMBER(SEARCH("HONORARIOS",UPPER(G286))),702010,IF(ISNUMBER(SEARCH("ADMINISTRACION",UPPER(G286))),702010,IF(ISNUMBER(SEARCH("GERENCIAMIENTO",UPPER(G286))),702010,IF(ISNUMBER(SEARCH("ALQUILER",UPPER(G286))),702010,IF(ISNUMBER(SEARCH("AUDITORIA",UPPER(G286))),702010,IF(ISNUMBER(SEARCH("PRESTACIONAL",UPPER(G286))),702010,702010))))))))))))</f>
        <v/>
      </c>
      <c r="I286" s="122" t="n"/>
      <c r="J286" s="122" t="n"/>
      <c r="K286" s="123">
        <f>IF(N(I286)&gt;0,ROUND(N(I286)*IVA_general,2),0)</f>
        <v/>
      </c>
      <c r="L286" s="122" t="n">
        <v>0</v>
      </c>
      <c r="M286" s="122" t="n"/>
      <c r="N286" s="123">
        <f>IF(SUM(I286:M286)=0,"",SUM(I286:M286))</f>
        <v/>
      </c>
      <c r="O286" s="124">
        <f>IF(A286="","",TEXT(A286,"yyyy-mm"))</f>
        <v/>
      </c>
      <c r="P286" s="121">
        <f>IF(A286="","",YEAR(A286))</f>
        <v/>
      </c>
      <c r="Q286" s="121">
        <f>IF(A286="","",MONTH(A286))</f>
        <v/>
      </c>
      <c r="R286" s="116" t="n"/>
      <c r="S286" s="116" t="n"/>
      <c r="T286" s="120" t="n"/>
      <c r="U286" s="122" t="n">
        <v>0</v>
      </c>
      <c r="V286" s="123">
        <f>IF(B286="","",N286-U286)</f>
        <v/>
      </c>
      <c r="W286" s="116" t="n"/>
      <c r="X286" s="125">
        <f>IF(B286="","",IF(LEFT(B286,2)="NC",-1,1))</f>
        <v/>
      </c>
      <c r="Y286" s="123">
        <f>IF(B286="",0,N(I286)*X286)</f>
        <v/>
      </c>
      <c r="Z286" s="123">
        <f>IF(B286="",0,N(J286)*X286)</f>
        <v/>
      </c>
      <c r="AA286" s="123">
        <f>IF(B286="",0,N(K286)*X286)</f>
        <v/>
      </c>
      <c r="AB286" s="123">
        <f>IF(B286="",0,N(L286)*X286)</f>
        <v/>
      </c>
      <c r="AC286" s="123">
        <f>IF(B286="",0,N(N286)*X286)</f>
        <v/>
      </c>
    </row>
    <row r="287" ht="15" customHeight="1" s="83">
      <c r="A287" s="120" t="n"/>
      <c r="B287" s="116" t="n"/>
      <c r="C287" s="116" t="n"/>
      <c r="D287" s="116" t="n"/>
      <c r="E287" s="116" t="n"/>
      <c r="F287" s="116" t="n"/>
      <c r="G287" s="116" t="n"/>
      <c r="H287" s="121">
        <f>IF(G287="","",IF(ISNUMBER(SEARCH("CAPITA",UPPER(G287))),651110,IF(ISNUMBER(SEARCH("REFUERZO",UPPER(G287))),651110,IF(ISNUMBER(SEARCH("VACUNACION",UPPER(G287))),651110,IF(ISNUMBER(SEARCH("ENFERMERIA",UPPER(G287))),651110,IF(ISNUMBER(SEARCH("APORTES",UPPER(G287))),651110,IF(ISNUMBER(SEARCH("HONORARIOS",UPPER(G287))),702010,IF(ISNUMBER(SEARCH("ADMINISTRACION",UPPER(G287))),702010,IF(ISNUMBER(SEARCH("GERENCIAMIENTO",UPPER(G287))),702010,IF(ISNUMBER(SEARCH("ALQUILER",UPPER(G287))),702010,IF(ISNUMBER(SEARCH("AUDITORIA",UPPER(G287))),702010,IF(ISNUMBER(SEARCH("PRESTACIONAL",UPPER(G287))),702010,702010))))))))))))</f>
        <v/>
      </c>
      <c r="I287" s="122" t="n"/>
      <c r="J287" s="122" t="n"/>
      <c r="K287" s="123">
        <f>IF(N(I287)&gt;0,ROUND(N(I287)*IVA_general,2),0)</f>
        <v/>
      </c>
      <c r="L287" s="122" t="n">
        <v>0</v>
      </c>
      <c r="M287" s="122" t="n"/>
      <c r="N287" s="123">
        <f>IF(SUM(I287:M287)=0,"",SUM(I287:M287))</f>
        <v/>
      </c>
      <c r="O287" s="124">
        <f>IF(A287="","",TEXT(A287,"yyyy-mm"))</f>
        <v/>
      </c>
      <c r="P287" s="121">
        <f>IF(A287="","",YEAR(A287))</f>
        <v/>
      </c>
      <c r="Q287" s="121">
        <f>IF(A287="","",MONTH(A287))</f>
        <v/>
      </c>
      <c r="R287" s="116" t="n"/>
      <c r="S287" s="116" t="n"/>
      <c r="T287" s="120" t="n"/>
      <c r="U287" s="122" t="n">
        <v>0</v>
      </c>
      <c r="V287" s="123">
        <f>IF(B287="","",N287-U287)</f>
        <v/>
      </c>
      <c r="W287" s="116" t="n"/>
      <c r="X287" s="125">
        <f>IF(B287="","",IF(LEFT(B287,2)="NC",-1,1))</f>
        <v/>
      </c>
      <c r="Y287" s="123">
        <f>IF(B287="",0,N(I287)*X287)</f>
        <v/>
      </c>
      <c r="Z287" s="123">
        <f>IF(B287="",0,N(J287)*X287)</f>
        <v/>
      </c>
      <c r="AA287" s="123">
        <f>IF(B287="",0,N(K287)*X287)</f>
        <v/>
      </c>
      <c r="AB287" s="123">
        <f>IF(B287="",0,N(L287)*X287)</f>
        <v/>
      </c>
      <c r="AC287" s="123">
        <f>IF(B287="",0,N(N287)*X287)</f>
        <v/>
      </c>
    </row>
    <row r="288" ht="15" customHeight="1" s="83">
      <c r="A288" s="120" t="n"/>
      <c r="B288" s="116" t="n"/>
      <c r="C288" s="116" t="n"/>
      <c r="D288" s="116" t="n"/>
      <c r="E288" s="116" t="n"/>
      <c r="F288" s="116" t="n"/>
      <c r="G288" s="116" t="n"/>
      <c r="H288" s="121">
        <f>IF(G288="","",IF(ISNUMBER(SEARCH("CAPITA",UPPER(G288))),651110,IF(ISNUMBER(SEARCH("REFUERZO",UPPER(G288))),651110,IF(ISNUMBER(SEARCH("VACUNACION",UPPER(G288))),651110,IF(ISNUMBER(SEARCH("ENFERMERIA",UPPER(G288))),651110,IF(ISNUMBER(SEARCH("APORTES",UPPER(G288))),651110,IF(ISNUMBER(SEARCH("HONORARIOS",UPPER(G288))),702010,IF(ISNUMBER(SEARCH("ADMINISTRACION",UPPER(G288))),702010,IF(ISNUMBER(SEARCH("GERENCIAMIENTO",UPPER(G288))),702010,IF(ISNUMBER(SEARCH("ALQUILER",UPPER(G288))),702010,IF(ISNUMBER(SEARCH("AUDITORIA",UPPER(G288))),702010,IF(ISNUMBER(SEARCH("PRESTACIONAL",UPPER(G288))),702010,702010))))))))))))</f>
        <v/>
      </c>
      <c r="I288" s="122" t="n"/>
      <c r="J288" s="122" t="n"/>
      <c r="K288" s="123">
        <f>IF(N(I288)&gt;0,ROUND(N(I288)*IVA_general,2),0)</f>
        <v/>
      </c>
      <c r="L288" s="122" t="n">
        <v>0</v>
      </c>
      <c r="M288" s="122" t="n"/>
      <c r="N288" s="123">
        <f>IF(SUM(I288:M288)=0,"",SUM(I288:M288))</f>
        <v/>
      </c>
      <c r="O288" s="124">
        <f>IF(A288="","",TEXT(A288,"yyyy-mm"))</f>
        <v/>
      </c>
      <c r="P288" s="121">
        <f>IF(A288="","",YEAR(A288))</f>
        <v/>
      </c>
      <c r="Q288" s="121">
        <f>IF(A288="","",MONTH(A288))</f>
        <v/>
      </c>
      <c r="R288" s="116" t="n"/>
      <c r="S288" s="116" t="n"/>
      <c r="T288" s="120" t="n"/>
      <c r="U288" s="122" t="n">
        <v>0</v>
      </c>
      <c r="V288" s="123">
        <f>IF(B288="","",N288-U288)</f>
        <v/>
      </c>
      <c r="W288" s="116" t="n"/>
      <c r="X288" s="125">
        <f>IF(B288="","",IF(LEFT(B288,2)="NC",-1,1))</f>
        <v/>
      </c>
      <c r="Y288" s="123">
        <f>IF(B288="",0,N(I288)*X288)</f>
        <v/>
      </c>
      <c r="Z288" s="123">
        <f>IF(B288="",0,N(J288)*X288)</f>
        <v/>
      </c>
      <c r="AA288" s="123">
        <f>IF(B288="",0,N(K288)*X288)</f>
        <v/>
      </c>
      <c r="AB288" s="123">
        <f>IF(B288="",0,N(L288)*X288)</f>
        <v/>
      </c>
      <c r="AC288" s="123">
        <f>IF(B288="",0,N(N288)*X288)</f>
        <v/>
      </c>
    </row>
    <row r="289" ht="15" customHeight="1" s="83">
      <c r="A289" s="120" t="n"/>
      <c r="B289" s="116" t="n"/>
      <c r="C289" s="116" t="n"/>
      <c r="D289" s="116" t="n"/>
      <c r="E289" s="116" t="n"/>
      <c r="F289" s="116" t="n"/>
      <c r="G289" s="116" t="n"/>
      <c r="H289" s="121">
        <f>IF(G289="","",IF(ISNUMBER(SEARCH("CAPITA",UPPER(G289))),651110,IF(ISNUMBER(SEARCH("REFUERZO",UPPER(G289))),651110,IF(ISNUMBER(SEARCH("VACUNACION",UPPER(G289))),651110,IF(ISNUMBER(SEARCH("ENFERMERIA",UPPER(G289))),651110,IF(ISNUMBER(SEARCH("APORTES",UPPER(G289))),651110,IF(ISNUMBER(SEARCH("HONORARIOS",UPPER(G289))),702010,IF(ISNUMBER(SEARCH("ADMINISTRACION",UPPER(G289))),702010,IF(ISNUMBER(SEARCH("GERENCIAMIENTO",UPPER(G289))),702010,IF(ISNUMBER(SEARCH("ALQUILER",UPPER(G289))),702010,IF(ISNUMBER(SEARCH("AUDITORIA",UPPER(G289))),702010,IF(ISNUMBER(SEARCH("PRESTACIONAL",UPPER(G289))),702010,702010))))))))))))</f>
        <v/>
      </c>
      <c r="I289" s="122" t="n"/>
      <c r="J289" s="122" t="n"/>
      <c r="K289" s="123">
        <f>IF(N(I289)&gt;0,ROUND(N(I289)*IVA_general,2),0)</f>
        <v/>
      </c>
      <c r="L289" s="122" t="n">
        <v>0</v>
      </c>
      <c r="M289" s="122" t="n"/>
      <c r="N289" s="123">
        <f>IF(SUM(I289:M289)=0,"",SUM(I289:M289))</f>
        <v/>
      </c>
      <c r="O289" s="124">
        <f>IF(A289="","",TEXT(A289,"yyyy-mm"))</f>
        <v/>
      </c>
      <c r="P289" s="121">
        <f>IF(A289="","",YEAR(A289))</f>
        <v/>
      </c>
      <c r="Q289" s="121">
        <f>IF(A289="","",MONTH(A289))</f>
        <v/>
      </c>
      <c r="R289" s="116" t="n"/>
      <c r="S289" s="116" t="n"/>
      <c r="T289" s="120" t="n"/>
      <c r="U289" s="122" t="n">
        <v>0</v>
      </c>
      <c r="V289" s="123">
        <f>IF(B289="","",N289-U289)</f>
        <v/>
      </c>
      <c r="W289" s="116" t="n"/>
      <c r="X289" s="125">
        <f>IF(B289="","",IF(LEFT(B289,2)="NC",-1,1))</f>
        <v/>
      </c>
      <c r="Y289" s="123">
        <f>IF(B289="",0,N(I289)*X289)</f>
        <v/>
      </c>
      <c r="Z289" s="123">
        <f>IF(B289="",0,N(J289)*X289)</f>
        <v/>
      </c>
      <c r="AA289" s="123">
        <f>IF(B289="",0,N(K289)*X289)</f>
        <v/>
      </c>
      <c r="AB289" s="123">
        <f>IF(B289="",0,N(L289)*X289)</f>
        <v/>
      </c>
      <c r="AC289" s="123">
        <f>IF(B289="",0,N(N289)*X289)</f>
        <v/>
      </c>
    </row>
    <row r="290" ht="15" customHeight="1" s="83">
      <c r="A290" s="120" t="n"/>
      <c r="B290" s="116" t="n"/>
      <c r="C290" s="116" t="n"/>
      <c r="D290" s="116" t="n"/>
      <c r="E290" s="116" t="n"/>
      <c r="F290" s="116" t="n"/>
      <c r="G290" s="116" t="n"/>
      <c r="H290" s="121">
        <f>IF(G290="","",IF(ISNUMBER(SEARCH("CAPITA",UPPER(G290))),651110,IF(ISNUMBER(SEARCH("REFUERZO",UPPER(G290))),651110,IF(ISNUMBER(SEARCH("VACUNACION",UPPER(G290))),651110,IF(ISNUMBER(SEARCH("ENFERMERIA",UPPER(G290))),651110,IF(ISNUMBER(SEARCH("APORTES",UPPER(G290))),651110,IF(ISNUMBER(SEARCH("HONORARIOS",UPPER(G290))),702010,IF(ISNUMBER(SEARCH("ADMINISTRACION",UPPER(G290))),702010,IF(ISNUMBER(SEARCH("GERENCIAMIENTO",UPPER(G290))),702010,IF(ISNUMBER(SEARCH("ALQUILER",UPPER(G290))),702010,IF(ISNUMBER(SEARCH("AUDITORIA",UPPER(G290))),702010,IF(ISNUMBER(SEARCH("PRESTACIONAL",UPPER(G290))),702010,702010))))))))))))</f>
        <v/>
      </c>
      <c r="I290" s="122" t="n"/>
      <c r="J290" s="122" t="n"/>
      <c r="K290" s="123">
        <f>IF(N(I290)&gt;0,ROUND(N(I290)*IVA_general,2),0)</f>
        <v/>
      </c>
      <c r="L290" s="122" t="n">
        <v>0</v>
      </c>
      <c r="M290" s="122" t="n"/>
      <c r="N290" s="123">
        <f>IF(SUM(I290:M290)=0,"",SUM(I290:M290))</f>
        <v/>
      </c>
      <c r="O290" s="124">
        <f>IF(A290="","",TEXT(A290,"yyyy-mm"))</f>
        <v/>
      </c>
      <c r="P290" s="121">
        <f>IF(A290="","",YEAR(A290))</f>
        <v/>
      </c>
      <c r="Q290" s="121">
        <f>IF(A290="","",MONTH(A290))</f>
        <v/>
      </c>
      <c r="R290" s="116" t="n"/>
      <c r="S290" s="116" t="n"/>
      <c r="T290" s="120" t="n"/>
      <c r="U290" s="122" t="n">
        <v>0</v>
      </c>
      <c r="V290" s="123">
        <f>IF(B290="","",N290-U290)</f>
        <v/>
      </c>
      <c r="W290" s="116" t="n"/>
      <c r="X290" s="125">
        <f>IF(B290="","",IF(LEFT(B290,2)="NC",-1,1))</f>
        <v/>
      </c>
      <c r="Y290" s="123">
        <f>IF(B290="",0,N(I290)*X290)</f>
        <v/>
      </c>
      <c r="Z290" s="123">
        <f>IF(B290="",0,N(J290)*X290)</f>
        <v/>
      </c>
      <c r="AA290" s="123">
        <f>IF(B290="",0,N(K290)*X290)</f>
        <v/>
      </c>
      <c r="AB290" s="123">
        <f>IF(B290="",0,N(L290)*X290)</f>
        <v/>
      </c>
      <c r="AC290" s="123">
        <f>IF(B290="",0,N(N290)*X290)</f>
        <v/>
      </c>
    </row>
    <row r="291" ht="15" customHeight="1" s="83">
      <c r="A291" s="120" t="n"/>
      <c r="B291" s="116" t="n"/>
      <c r="C291" s="116" t="n"/>
      <c r="D291" s="116" t="n"/>
      <c r="E291" s="116" t="n"/>
      <c r="F291" s="116" t="n"/>
      <c r="G291" s="116" t="n"/>
      <c r="H291" s="121">
        <f>IF(G291="","",IF(ISNUMBER(SEARCH("CAPITA",UPPER(G291))),651110,IF(ISNUMBER(SEARCH("REFUERZO",UPPER(G291))),651110,IF(ISNUMBER(SEARCH("VACUNACION",UPPER(G291))),651110,IF(ISNUMBER(SEARCH("ENFERMERIA",UPPER(G291))),651110,IF(ISNUMBER(SEARCH("APORTES",UPPER(G291))),651110,IF(ISNUMBER(SEARCH("HONORARIOS",UPPER(G291))),702010,IF(ISNUMBER(SEARCH("ADMINISTRACION",UPPER(G291))),702010,IF(ISNUMBER(SEARCH("GERENCIAMIENTO",UPPER(G291))),702010,IF(ISNUMBER(SEARCH("ALQUILER",UPPER(G291))),702010,IF(ISNUMBER(SEARCH("AUDITORIA",UPPER(G291))),702010,IF(ISNUMBER(SEARCH("PRESTACIONAL",UPPER(G291))),702010,702010))))))))))))</f>
        <v/>
      </c>
      <c r="I291" s="122" t="n"/>
      <c r="J291" s="122" t="n"/>
      <c r="K291" s="123">
        <f>IF(N(I291)&gt;0,ROUND(N(I291)*IVA_general,2),0)</f>
        <v/>
      </c>
      <c r="L291" s="122" t="n">
        <v>0</v>
      </c>
      <c r="M291" s="122" t="n"/>
      <c r="N291" s="123">
        <f>IF(SUM(I291:M291)=0,"",SUM(I291:M291))</f>
        <v/>
      </c>
      <c r="O291" s="124">
        <f>IF(A291="","",TEXT(A291,"yyyy-mm"))</f>
        <v/>
      </c>
      <c r="P291" s="121">
        <f>IF(A291="","",YEAR(A291))</f>
        <v/>
      </c>
      <c r="Q291" s="121">
        <f>IF(A291="","",MONTH(A291))</f>
        <v/>
      </c>
      <c r="R291" s="116" t="n"/>
      <c r="S291" s="116" t="n"/>
      <c r="T291" s="120" t="n"/>
      <c r="U291" s="122" t="n">
        <v>0</v>
      </c>
      <c r="V291" s="123">
        <f>IF(B291="","",N291-U291)</f>
        <v/>
      </c>
      <c r="W291" s="116" t="n"/>
      <c r="X291" s="125">
        <f>IF(B291="","",IF(LEFT(B291,2)="NC",-1,1))</f>
        <v/>
      </c>
      <c r="Y291" s="123">
        <f>IF(B291="",0,N(I291)*X291)</f>
        <v/>
      </c>
      <c r="Z291" s="123">
        <f>IF(B291="",0,N(J291)*X291)</f>
        <v/>
      </c>
      <c r="AA291" s="123">
        <f>IF(B291="",0,N(K291)*X291)</f>
        <v/>
      </c>
      <c r="AB291" s="123">
        <f>IF(B291="",0,N(L291)*X291)</f>
        <v/>
      </c>
      <c r="AC291" s="123">
        <f>IF(B291="",0,N(N291)*X291)</f>
        <v/>
      </c>
    </row>
    <row r="292" ht="15" customHeight="1" s="83">
      <c r="A292" s="120" t="n"/>
      <c r="B292" s="116" t="n"/>
      <c r="C292" s="116" t="n"/>
      <c r="D292" s="116" t="n"/>
      <c r="E292" s="116" t="n"/>
      <c r="F292" s="116" t="n"/>
      <c r="G292" s="116" t="n"/>
      <c r="H292" s="121">
        <f>IF(G292="","",IF(ISNUMBER(SEARCH("CAPITA",UPPER(G292))),651110,IF(ISNUMBER(SEARCH("REFUERZO",UPPER(G292))),651110,IF(ISNUMBER(SEARCH("VACUNACION",UPPER(G292))),651110,IF(ISNUMBER(SEARCH("ENFERMERIA",UPPER(G292))),651110,IF(ISNUMBER(SEARCH("APORTES",UPPER(G292))),651110,IF(ISNUMBER(SEARCH("HONORARIOS",UPPER(G292))),702010,IF(ISNUMBER(SEARCH("ADMINISTRACION",UPPER(G292))),702010,IF(ISNUMBER(SEARCH("GERENCIAMIENTO",UPPER(G292))),702010,IF(ISNUMBER(SEARCH("ALQUILER",UPPER(G292))),702010,IF(ISNUMBER(SEARCH("AUDITORIA",UPPER(G292))),702010,IF(ISNUMBER(SEARCH("PRESTACIONAL",UPPER(G292))),702010,702010))))))))))))</f>
        <v/>
      </c>
      <c r="I292" s="122" t="n"/>
      <c r="J292" s="122" t="n"/>
      <c r="K292" s="123">
        <f>IF(N(I292)&gt;0,ROUND(N(I292)*IVA_general,2),0)</f>
        <v/>
      </c>
      <c r="L292" s="122" t="n">
        <v>0</v>
      </c>
      <c r="M292" s="122" t="n"/>
      <c r="N292" s="123">
        <f>IF(SUM(I292:M292)=0,"",SUM(I292:M292))</f>
        <v/>
      </c>
      <c r="O292" s="124">
        <f>IF(A292="","",TEXT(A292,"yyyy-mm"))</f>
        <v/>
      </c>
      <c r="P292" s="121">
        <f>IF(A292="","",YEAR(A292))</f>
        <v/>
      </c>
      <c r="Q292" s="121">
        <f>IF(A292="","",MONTH(A292))</f>
        <v/>
      </c>
      <c r="R292" s="116" t="n"/>
      <c r="S292" s="116" t="n"/>
      <c r="T292" s="120" t="n"/>
      <c r="U292" s="122" t="n">
        <v>0</v>
      </c>
      <c r="V292" s="123">
        <f>IF(B292="","",N292-U292)</f>
        <v/>
      </c>
      <c r="W292" s="116" t="n"/>
      <c r="X292" s="125">
        <f>IF(B292="","",IF(LEFT(B292,2)="NC",-1,1))</f>
        <v/>
      </c>
      <c r="Y292" s="123">
        <f>IF(B292="",0,N(I292)*X292)</f>
        <v/>
      </c>
      <c r="Z292" s="123">
        <f>IF(B292="",0,N(J292)*X292)</f>
        <v/>
      </c>
      <c r="AA292" s="123">
        <f>IF(B292="",0,N(K292)*X292)</f>
        <v/>
      </c>
      <c r="AB292" s="123">
        <f>IF(B292="",0,N(L292)*X292)</f>
        <v/>
      </c>
      <c r="AC292" s="123">
        <f>IF(B292="",0,N(N292)*X292)</f>
        <v/>
      </c>
    </row>
    <row r="293" ht="15" customHeight="1" s="83">
      <c r="A293" s="120" t="n"/>
      <c r="B293" s="116" t="n"/>
      <c r="C293" s="116" t="n"/>
      <c r="D293" s="116" t="n"/>
      <c r="E293" s="116" t="n"/>
      <c r="F293" s="116" t="n"/>
      <c r="G293" s="116" t="n"/>
      <c r="H293" s="121">
        <f>IF(G293="","",IF(ISNUMBER(SEARCH("CAPITA",UPPER(G293))),651110,IF(ISNUMBER(SEARCH("REFUERZO",UPPER(G293))),651110,IF(ISNUMBER(SEARCH("VACUNACION",UPPER(G293))),651110,IF(ISNUMBER(SEARCH("ENFERMERIA",UPPER(G293))),651110,IF(ISNUMBER(SEARCH("APORTES",UPPER(G293))),651110,IF(ISNUMBER(SEARCH("HONORARIOS",UPPER(G293))),702010,IF(ISNUMBER(SEARCH("ADMINISTRACION",UPPER(G293))),702010,IF(ISNUMBER(SEARCH("GERENCIAMIENTO",UPPER(G293))),702010,IF(ISNUMBER(SEARCH("ALQUILER",UPPER(G293))),702010,IF(ISNUMBER(SEARCH("AUDITORIA",UPPER(G293))),702010,IF(ISNUMBER(SEARCH("PRESTACIONAL",UPPER(G293))),702010,702010))))))))))))</f>
        <v/>
      </c>
      <c r="I293" s="122" t="n"/>
      <c r="J293" s="122" t="n"/>
      <c r="K293" s="123">
        <f>IF(N(I293)&gt;0,ROUND(N(I293)*IVA_general,2),0)</f>
        <v/>
      </c>
      <c r="L293" s="122" t="n">
        <v>0</v>
      </c>
      <c r="M293" s="122" t="n"/>
      <c r="N293" s="123">
        <f>IF(SUM(I293:M293)=0,"",SUM(I293:M293))</f>
        <v/>
      </c>
      <c r="O293" s="124">
        <f>IF(A293="","",TEXT(A293,"yyyy-mm"))</f>
        <v/>
      </c>
      <c r="P293" s="121">
        <f>IF(A293="","",YEAR(A293))</f>
        <v/>
      </c>
      <c r="Q293" s="121">
        <f>IF(A293="","",MONTH(A293))</f>
        <v/>
      </c>
      <c r="R293" s="116" t="n"/>
      <c r="S293" s="116" t="n"/>
      <c r="T293" s="120" t="n"/>
      <c r="U293" s="122" t="n">
        <v>0</v>
      </c>
      <c r="V293" s="123">
        <f>IF(B293="","",N293-U293)</f>
        <v/>
      </c>
      <c r="W293" s="116" t="n"/>
      <c r="X293" s="125">
        <f>IF(B293="","",IF(LEFT(B293,2)="NC",-1,1))</f>
        <v/>
      </c>
      <c r="Y293" s="123">
        <f>IF(B293="",0,N(I293)*X293)</f>
        <v/>
      </c>
      <c r="Z293" s="123">
        <f>IF(B293="",0,N(J293)*X293)</f>
        <v/>
      </c>
      <c r="AA293" s="123">
        <f>IF(B293="",0,N(K293)*X293)</f>
        <v/>
      </c>
      <c r="AB293" s="123">
        <f>IF(B293="",0,N(L293)*X293)</f>
        <v/>
      </c>
      <c r="AC293" s="123">
        <f>IF(B293="",0,N(N293)*X293)</f>
        <v/>
      </c>
    </row>
    <row r="294" ht="15" customHeight="1" s="83">
      <c r="A294" s="120" t="n"/>
      <c r="B294" s="116" t="n"/>
      <c r="C294" s="116" t="n"/>
      <c r="D294" s="116" t="n"/>
      <c r="E294" s="116" t="n"/>
      <c r="F294" s="116" t="n"/>
      <c r="G294" s="116" t="n"/>
      <c r="H294" s="121">
        <f>IF(G294="","",IF(ISNUMBER(SEARCH("CAPITA",UPPER(G294))),651110,IF(ISNUMBER(SEARCH("REFUERZO",UPPER(G294))),651110,IF(ISNUMBER(SEARCH("VACUNACION",UPPER(G294))),651110,IF(ISNUMBER(SEARCH("ENFERMERIA",UPPER(G294))),651110,IF(ISNUMBER(SEARCH("APORTES",UPPER(G294))),651110,IF(ISNUMBER(SEARCH("HONORARIOS",UPPER(G294))),702010,IF(ISNUMBER(SEARCH("ADMINISTRACION",UPPER(G294))),702010,IF(ISNUMBER(SEARCH("GERENCIAMIENTO",UPPER(G294))),702010,IF(ISNUMBER(SEARCH("ALQUILER",UPPER(G294))),702010,IF(ISNUMBER(SEARCH("AUDITORIA",UPPER(G294))),702010,IF(ISNUMBER(SEARCH("PRESTACIONAL",UPPER(G294))),702010,702010))))))))))))</f>
        <v/>
      </c>
      <c r="I294" s="122" t="n"/>
      <c r="J294" s="122" t="n"/>
      <c r="K294" s="123">
        <f>IF(N(I294)&gt;0,ROUND(N(I294)*IVA_general,2),0)</f>
        <v/>
      </c>
      <c r="L294" s="122" t="n">
        <v>0</v>
      </c>
      <c r="M294" s="122" t="n"/>
      <c r="N294" s="123">
        <f>IF(SUM(I294:M294)=0,"",SUM(I294:M294))</f>
        <v/>
      </c>
      <c r="O294" s="124">
        <f>IF(A294="","",TEXT(A294,"yyyy-mm"))</f>
        <v/>
      </c>
      <c r="P294" s="121">
        <f>IF(A294="","",YEAR(A294))</f>
        <v/>
      </c>
      <c r="Q294" s="121">
        <f>IF(A294="","",MONTH(A294))</f>
        <v/>
      </c>
      <c r="R294" s="116" t="n"/>
      <c r="S294" s="116" t="n"/>
      <c r="T294" s="120" t="n"/>
      <c r="U294" s="122" t="n">
        <v>0</v>
      </c>
      <c r="V294" s="123">
        <f>IF(B294="","",N294-U294)</f>
        <v/>
      </c>
      <c r="W294" s="116" t="n"/>
      <c r="X294" s="125">
        <f>IF(B294="","",IF(LEFT(B294,2)="NC",-1,1))</f>
        <v/>
      </c>
      <c r="Y294" s="123">
        <f>IF(B294="",0,N(I294)*X294)</f>
        <v/>
      </c>
      <c r="Z294" s="123">
        <f>IF(B294="",0,N(J294)*X294)</f>
        <v/>
      </c>
      <c r="AA294" s="123">
        <f>IF(B294="",0,N(K294)*X294)</f>
        <v/>
      </c>
      <c r="AB294" s="123">
        <f>IF(B294="",0,N(L294)*X294)</f>
        <v/>
      </c>
      <c r="AC294" s="123">
        <f>IF(B294="",0,N(N294)*X294)</f>
        <v/>
      </c>
    </row>
    <row r="295" ht="15" customHeight="1" s="83">
      <c r="A295" s="120" t="n"/>
      <c r="B295" s="116" t="n"/>
      <c r="C295" s="116" t="n"/>
      <c r="D295" s="116" t="n"/>
      <c r="E295" s="116" t="n"/>
      <c r="F295" s="116" t="n"/>
      <c r="G295" s="116" t="n"/>
      <c r="H295" s="121">
        <f>IF(G295="","",IF(ISNUMBER(SEARCH("CAPITA",UPPER(G295))),651110,IF(ISNUMBER(SEARCH("REFUERZO",UPPER(G295))),651110,IF(ISNUMBER(SEARCH("VACUNACION",UPPER(G295))),651110,IF(ISNUMBER(SEARCH("ENFERMERIA",UPPER(G295))),651110,IF(ISNUMBER(SEARCH("APORTES",UPPER(G295))),651110,IF(ISNUMBER(SEARCH("HONORARIOS",UPPER(G295))),702010,IF(ISNUMBER(SEARCH("ADMINISTRACION",UPPER(G295))),702010,IF(ISNUMBER(SEARCH("GERENCIAMIENTO",UPPER(G295))),702010,IF(ISNUMBER(SEARCH("ALQUILER",UPPER(G295))),702010,IF(ISNUMBER(SEARCH("AUDITORIA",UPPER(G295))),702010,IF(ISNUMBER(SEARCH("PRESTACIONAL",UPPER(G295))),702010,702010))))))))))))</f>
        <v/>
      </c>
      <c r="I295" s="122" t="n"/>
      <c r="J295" s="122" t="n"/>
      <c r="K295" s="123">
        <f>IF(N(I295)&gt;0,ROUND(N(I295)*IVA_general,2),0)</f>
        <v/>
      </c>
      <c r="L295" s="122" t="n">
        <v>0</v>
      </c>
      <c r="M295" s="122" t="n"/>
      <c r="N295" s="123">
        <f>IF(SUM(I295:M295)=0,"",SUM(I295:M295))</f>
        <v/>
      </c>
      <c r="O295" s="124">
        <f>IF(A295="","",TEXT(A295,"yyyy-mm"))</f>
        <v/>
      </c>
      <c r="P295" s="121">
        <f>IF(A295="","",YEAR(A295))</f>
        <v/>
      </c>
      <c r="Q295" s="121">
        <f>IF(A295="","",MONTH(A295))</f>
        <v/>
      </c>
      <c r="R295" s="116" t="n"/>
      <c r="S295" s="116" t="n"/>
      <c r="T295" s="120" t="n"/>
      <c r="U295" s="122" t="n">
        <v>0</v>
      </c>
      <c r="V295" s="123">
        <f>IF(B295="","",N295-U295)</f>
        <v/>
      </c>
      <c r="W295" s="116" t="n"/>
      <c r="X295" s="125">
        <f>IF(B295="","",IF(LEFT(B295,2)="NC",-1,1))</f>
        <v/>
      </c>
      <c r="Y295" s="123">
        <f>IF(B295="",0,N(I295)*X295)</f>
        <v/>
      </c>
      <c r="Z295" s="123">
        <f>IF(B295="",0,N(J295)*X295)</f>
        <v/>
      </c>
      <c r="AA295" s="123">
        <f>IF(B295="",0,N(K295)*X295)</f>
        <v/>
      </c>
      <c r="AB295" s="123">
        <f>IF(B295="",0,N(L295)*X295)</f>
        <v/>
      </c>
      <c r="AC295" s="123">
        <f>IF(B295="",0,N(N295)*X295)</f>
        <v/>
      </c>
    </row>
    <row r="296" ht="15" customHeight="1" s="83">
      <c r="A296" s="120" t="n"/>
      <c r="B296" s="116" t="n"/>
      <c r="C296" s="116" t="n"/>
      <c r="D296" s="116" t="n"/>
      <c r="E296" s="116" t="n"/>
      <c r="F296" s="116" t="n"/>
      <c r="G296" s="116" t="n"/>
      <c r="H296" s="121">
        <f>IF(G296="","",IF(ISNUMBER(SEARCH("CAPITA",UPPER(G296))),651110,IF(ISNUMBER(SEARCH("REFUERZO",UPPER(G296))),651110,IF(ISNUMBER(SEARCH("VACUNACION",UPPER(G296))),651110,IF(ISNUMBER(SEARCH("ENFERMERIA",UPPER(G296))),651110,IF(ISNUMBER(SEARCH("APORTES",UPPER(G296))),651110,IF(ISNUMBER(SEARCH("HONORARIOS",UPPER(G296))),702010,IF(ISNUMBER(SEARCH("ADMINISTRACION",UPPER(G296))),702010,IF(ISNUMBER(SEARCH("GERENCIAMIENTO",UPPER(G296))),702010,IF(ISNUMBER(SEARCH("ALQUILER",UPPER(G296))),702010,IF(ISNUMBER(SEARCH("AUDITORIA",UPPER(G296))),702010,IF(ISNUMBER(SEARCH("PRESTACIONAL",UPPER(G296))),702010,702010))))))))))))</f>
        <v/>
      </c>
      <c r="I296" s="122" t="n"/>
      <c r="J296" s="122" t="n"/>
      <c r="K296" s="123">
        <f>IF(N(I296)&gt;0,ROUND(N(I296)*IVA_general,2),0)</f>
        <v/>
      </c>
      <c r="L296" s="122" t="n">
        <v>0</v>
      </c>
      <c r="M296" s="122" t="n"/>
      <c r="N296" s="123">
        <f>IF(SUM(I296:M296)=0,"",SUM(I296:M296))</f>
        <v/>
      </c>
      <c r="O296" s="124">
        <f>IF(A296="","",TEXT(A296,"yyyy-mm"))</f>
        <v/>
      </c>
      <c r="P296" s="121">
        <f>IF(A296="","",YEAR(A296))</f>
        <v/>
      </c>
      <c r="Q296" s="121">
        <f>IF(A296="","",MONTH(A296))</f>
        <v/>
      </c>
      <c r="R296" s="116" t="n"/>
      <c r="S296" s="116" t="n"/>
      <c r="T296" s="120" t="n"/>
      <c r="U296" s="122" t="n">
        <v>0</v>
      </c>
      <c r="V296" s="123">
        <f>IF(B296="","",N296-U296)</f>
        <v/>
      </c>
      <c r="W296" s="116" t="n"/>
      <c r="X296" s="125">
        <f>IF(B296="","",IF(LEFT(B296,2)="NC",-1,1))</f>
        <v/>
      </c>
      <c r="Y296" s="123">
        <f>IF(B296="",0,N(I296)*X296)</f>
        <v/>
      </c>
      <c r="Z296" s="123">
        <f>IF(B296="",0,N(J296)*X296)</f>
        <v/>
      </c>
      <c r="AA296" s="123">
        <f>IF(B296="",0,N(K296)*X296)</f>
        <v/>
      </c>
      <c r="AB296" s="123">
        <f>IF(B296="",0,N(L296)*X296)</f>
        <v/>
      </c>
      <c r="AC296" s="123">
        <f>IF(B296="",0,N(N296)*X296)</f>
        <v/>
      </c>
    </row>
    <row r="297" ht="15" customHeight="1" s="83">
      <c r="A297" s="120" t="n"/>
      <c r="B297" s="116" t="n"/>
      <c r="C297" s="116" t="n"/>
      <c r="D297" s="116" t="n"/>
      <c r="E297" s="116" t="n"/>
      <c r="F297" s="116" t="n"/>
      <c r="G297" s="116" t="n"/>
      <c r="H297" s="121">
        <f>IF(G297="","",IF(ISNUMBER(SEARCH("CAPITA",UPPER(G297))),651110,IF(ISNUMBER(SEARCH("REFUERZO",UPPER(G297))),651110,IF(ISNUMBER(SEARCH("VACUNACION",UPPER(G297))),651110,IF(ISNUMBER(SEARCH("ENFERMERIA",UPPER(G297))),651110,IF(ISNUMBER(SEARCH("APORTES",UPPER(G297))),651110,IF(ISNUMBER(SEARCH("HONORARIOS",UPPER(G297))),702010,IF(ISNUMBER(SEARCH("ADMINISTRACION",UPPER(G297))),702010,IF(ISNUMBER(SEARCH("GERENCIAMIENTO",UPPER(G297))),702010,IF(ISNUMBER(SEARCH("ALQUILER",UPPER(G297))),702010,IF(ISNUMBER(SEARCH("AUDITORIA",UPPER(G297))),702010,IF(ISNUMBER(SEARCH("PRESTACIONAL",UPPER(G297))),702010,702010))))))))))))</f>
        <v/>
      </c>
      <c r="I297" s="122" t="n"/>
      <c r="J297" s="122" t="n"/>
      <c r="K297" s="123">
        <f>IF(N(I297)&gt;0,ROUND(N(I297)*IVA_general,2),0)</f>
        <v/>
      </c>
      <c r="L297" s="122" t="n">
        <v>0</v>
      </c>
      <c r="M297" s="122" t="n"/>
      <c r="N297" s="123">
        <f>IF(SUM(I297:M297)=0,"",SUM(I297:M297))</f>
        <v/>
      </c>
      <c r="O297" s="124">
        <f>IF(A297="","",TEXT(A297,"yyyy-mm"))</f>
        <v/>
      </c>
      <c r="P297" s="121">
        <f>IF(A297="","",YEAR(A297))</f>
        <v/>
      </c>
      <c r="Q297" s="121">
        <f>IF(A297="","",MONTH(A297))</f>
        <v/>
      </c>
      <c r="R297" s="116" t="n"/>
      <c r="S297" s="116" t="n"/>
      <c r="T297" s="120" t="n"/>
      <c r="U297" s="122" t="n">
        <v>0</v>
      </c>
      <c r="V297" s="123">
        <f>IF(B297="","",N297-U297)</f>
        <v/>
      </c>
      <c r="W297" s="116" t="n"/>
      <c r="X297" s="125">
        <f>IF(B297="","",IF(LEFT(B297,2)="NC",-1,1))</f>
        <v/>
      </c>
      <c r="Y297" s="123">
        <f>IF(B297="",0,N(I297)*X297)</f>
        <v/>
      </c>
      <c r="Z297" s="123">
        <f>IF(B297="",0,N(J297)*X297)</f>
        <v/>
      </c>
      <c r="AA297" s="123">
        <f>IF(B297="",0,N(K297)*X297)</f>
        <v/>
      </c>
      <c r="AB297" s="123">
        <f>IF(B297="",0,N(L297)*X297)</f>
        <v/>
      </c>
      <c r="AC297" s="123">
        <f>IF(B297="",0,N(N297)*X297)</f>
        <v/>
      </c>
    </row>
    <row r="298" ht="15" customHeight="1" s="83">
      <c r="A298" s="120" t="n"/>
      <c r="B298" s="116" t="n"/>
      <c r="C298" s="116" t="n"/>
      <c r="D298" s="116" t="n"/>
      <c r="E298" s="116" t="n"/>
      <c r="F298" s="116" t="n"/>
      <c r="G298" s="116" t="n"/>
      <c r="H298" s="121">
        <f>IF(G298="","",IF(ISNUMBER(SEARCH("CAPITA",UPPER(G298))),651110,IF(ISNUMBER(SEARCH("REFUERZO",UPPER(G298))),651110,IF(ISNUMBER(SEARCH("VACUNACION",UPPER(G298))),651110,IF(ISNUMBER(SEARCH("ENFERMERIA",UPPER(G298))),651110,IF(ISNUMBER(SEARCH("APORTES",UPPER(G298))),651110,IF(ISNUMBER(SEARCH("HONORARIOS",UPPER(G298))),702010,IF(ISNUMBER(SEARCH("ADMINISTRACION",UPPER(G298))),702010,IF(ISNUMBER(SEARCH("GERENCIAMIENTO",UPPER(G298))),702010,IF(ISNUMBER(SEARCH("ALQUILER",UPPER(G298))),702010,IF(ISNUMBER(SEARCH("AUDITORIA",UPPER(G298))),702010,IF(ISNUMBER(SEARCH("PRESTACIONAL",UPPER(G298))),702010,702010))))))))))))</f>
        <v/>
      </c>
      <c r="I298" s="122" t="n"/>
      <c r="J298" s="122" t="n"/>
      <c r="K298" s="123">
        <f>IF(N(I298)&gt;0,ROUND(N(I298)*IVA_general,2),0)</f>
        <v/>
      </c>
      <c r="L298" s="122" t="n">
        <v>0</v>
      </c>
      <c r="M298" s="122" t="n"/>
      <c r="N298" s="123">
        <f>IF(SUM(I298:M298)=0,"",SUM(I298:M298))</f>
        <v/>
      </c>
      <c r="O298" s="124">
        <f>IF(A298="","",TEXT(A298,"yyyy-mm"))</f>
        <v/>
      </c>
      <c r="P298" s="121">
        <f>IF(A298="","",YEAR(A298))</f>
        <v/>
      </c>
      <c r="Q298" s="121">
        <f>IF(A298="","",MONTH(A298))</f>
        <v/>
      </c>
      <c r="R298" s="116" t="n"/>
      <c r="S298" s="116" t="n"/>
      <c r="T298" s="120" t="n"/>
      <c r="U298" s="122" t="n">
        <v>0</v>
      </c>
      <c r="V298" s="123">
        <f>IF(B298="","",N298-U298)</f>
        <v/>
      </c>
      <c r="W298" s="116" t="n"/>
      <c r="X298" s="125">
        <f>IF(B298="","",IF(LEFT(B298,2)="NC",-1,1))</f>
        <v/>
      </c>
      <c r="Y298" s="123">
        <f>IF(B298="",0,N(I298)*X298)</f>
        <v/>
      </c>
      <c r="Z298" s="123">
        <f>IF(B298="",0,N(J298)*X298)</f>
        <v/>
      </c>
      <c r="AA298" s="123">
        <f>IF(B298="",0,N(K298)*X298)</f>
        <v/>
      </c>
      <c r="AB298" s="123">
        <f>IF(B298="",0,N(L298)*X298)</f>
        <v/>
      </c>
      <c r="AC298" s="123">
        <f>IF(B298="",0,N(N298)*X298)</f>
        <v/>
      </c>
    </row>
    <row r="299" ht="15" customHeight="1" s="83">
      <c r="A299" s="120" t="n"/>
      <c r="B299" s="116" t="n"/>
      <c r="C299" s="116" t="n"/>
      <c r="D299" s="116" t="n"/>
      <c r="E299" s="116" t="n"/>
      <c r="F299" s="116" t="n"/>
      <c r="G299" s="116" t="n"/>
      <c r="H299" s="121">
        <f>IF(G299="","",IF(ISNUMBER(SEARCH("CAPITA",UPPER(G299))),651110,IF(ISNUMBER(SEARCH("REFUERZO",UPPER(G299))),651110,IF(ISNUMBER(SEARCH("VACUNACION",UPPER(G299))),651110,IF(ISNUMBER(SEARCH("ENFERMERIA",UPPER(G299))),651110,IF(ISNUMBER(SEARCH("APORTES",UPPER(G299))),651110,IF(ISNUMBER(SEARCH("HONORARIOS",UPPER(G299))),702010,IF(ISNUMBER(SEARCH("ADMINISTRACION",UPPER(G299))),702010,IF(ISNUMBER(SEARCH("GERENCIAMIENTO",UPPER(G299))),702010,IF(ISNUMBER(SEARCH("ALQUILER",UPPER(G299))),702010,IF(ISNUMBER(SEARCH("AUDITORIA",UPPER(G299))),702010,IF(ISNUMBER(SEARCH("PRESTACIONAL",UPPER(G299))),702010,702010))))))))))))</f>
        <v/>
      </c>
      <c r="I299" s="122" t="n"/>
      <c r="J299" s="122" t="n"/>
      <c r="K299" s="123">
        <f>IF(N(I299)&gt;0,ROUND(N(I299)*IVA_general,2),0)</f>
        <v/>
      </c>
      <c r="L299" s="122" t="n">
        <v>0</v>
      </c>
      <c r="M299" s="122" t="n"/>
      <c r="N299" s="123">
        <f>IF(SUM(I299:M299)=0,"",SUM(I299:M299))</f>
        <v/>
      </c>
      <c r="O299" s="124">
        <f>IF(A299="","",TEXT(A299,"yyyy-mm"))</f>
        <v/>
      </c>
      <c r="P299" s="121">
        <f>IF(A299="","",YEAR(A299))</f>
        <v/>
      </c>
      <c r="Q299" s="121">
        <f>IF(A299="","",MONTH(A299))</f>
        <v/>
      </c>
      <c r="R299" s="116" t="n"/>
      <c r="S299" s="116" t="n"/>
      <c r="T299" s="120" t="n"/>
      <c r="U299" s="122" t="n">
        <v>0</v>
      </c>
      <c r="V299" s="123">
        <f>IF(B299="","",N299-U299)</f>
        <v/>
      </c>
      <c r="W299" s="116" t="n"/>
      <c r="X299" s="125">
        <f>IF(B299="","",IF(LEFT(B299,2)="NC",-1,1))</f>
        <v/>
      </c>
      <c r="Y299" s="123">
        <f>IF(B299="",0,N(I299)*X299)</f>
        <v/>
      </c>
      <c r="Z299" s="123">
        <f>IF(B299="",0,N(J299)*X299)</f>
        <v/>
      </c>
      <c r="AA299" s="123">
        <f>IF(B299="",0,N(K299)*X299)</f>
        <v/>
      </c>
      <c r="AB299" s="123">
        <f>IF(B299="",0,N(L299)*X299)</f>
        <v/>
      </c>
      <c r="AC299" s="123">
        <f>IF(B299="",0,N(N299)*X299)</f>
        <v/>
      </c>
    </row>
    <row r="300" ht="15" customHeight="1" s="83">
      <c r="A300" s="120" t="n"/>
      <c r="B300" s="116" t="n"/>
      <c r="C300" s="116" t="n"/>
      <c r="D300" s="116" t="n"/>
      <c r="E300" s="116" t="n"/>
      <c r="F300" s="116" t="n"/>
      <c r="G300" s="116" t="n"/>
      <c r="H300" s="121">
        <f>IF(G300="","",IF(ISNUMBER(SEARCH("CAPITA",UPPER(G300))),651110,IF(ISNUMBER(SEARCH("REFUERZO",UPPER(G300))),651110,IF(ISNUMBER(SEARCH("VACUNACION",UPPER(G300))),651110,IF(ISNUMBER(SEARCH("ENFERMERIA",UPPER(G300))),651110,IF(ISNUMBER(SEARCH("APORTES",UPPER(G300))),651110,IF(ISNUMBER(SEARCH("HONORARIOS",UPPER(G300))),702010,IF(ISNUMBER(SEARCH("ADMINISTRACION",UPPER(G300))),702010,IF(ISNUMBER(SEARCH("GERENCIAMIENTO",UPPER(G300))),702010,IF(ISNUMBER(SEARCH("ALQUILER",UPPER(G300))),702010,IF(ISNUMBER(SEARCH("AUDITORIA",UPPER(G300))),702010,IF(ISNUMBER(SEARCH("PRESTACIONAL",UPPER(G300))),702010,702010))))))))))))</f>
        <v/>
      </c>
      <c r="I300" s="122" t="n"/>
      <c r="J300" s="122" t="n"/>
      <c r="K300" s="123">
        <f>IF(N(I300)&gt;0,ROUND(N(I300)*IVA_general,2),0)</f>
        <v/>
      </c>
      <c r="L300" s="122" t="n">
        <v>0</v>
      </c>
      <c r="M300" s="122" t="n"/>
      <c r="N300" s="123">
        <f>IF(SUM(I300:M300)=0,"",SUM(I300:M300))</f>
        <v/>
      </c>
      <c r="O300" s="124">
        <f>IF(A300="","",TEXT(A300,"yyyy-mm"))</f>
        <v/>
      </c>
      <c r="P300" s="121">
        <f>IF(A300="","",YEAR(A300))</f>
        <v/>
      </c>
      <c r="Q300" s="121">
        <f>IF(A300="","",MONTH(A300))</f>
        <v/>
      </c>
      <c r="R300" s="116" t="n"/>
      <c r="S300" s="116" t="n"/>
      <c r="T300" s="120" t="n"/>
      <c r="U300" s="122" t="n">
        <v>0</v>
      </c>
      <c r="V300" s="123">
        <f>IF(B300="","",N300-U300)</f>
        <v/>
      </c>
      <c r="W300" s="116" t="n"/>
      <c r="X300" s="125">
        <f>IF(B300="","",IF(LEFT(B300,2)="NC",-1,1))</f>
        <v/>
      </c>
      <c r="Y300" s="123">
        <f>IF(B300="",0,N(I300)*X300)</f>
        <v/>
      </c>
      <c r="Z300" s="123">
        <f>IF(B300="",0,N(J300)*X300)</f>
        <v/>
      </c>
      <c r="AA300" s="123">
        <f>IF(B300="",0,N(K300)*X300)</f>
        <v/>
      </c>
      <c r="AB300" s="123">
        <f>IF(B300="",0,N(L300)*X300)</f>
        <v/>
      </c>
      <c r="AC300" s="123">
        <f>IF(B300="",0,N(N300)*X300)</f>
        <v/>
      </c>
    </row>
    <row r="301" ht="15" customHeight="1" s="83">
      <c r="A301" s="120" t="n"/>
      <c r="B301" s="116" t="n"/>
      <c r="C301" s="116" t="n"/>
      <c r="D301" s="116" t="n"/>
      <c r="E301" s="116" t="n"/>
      <c r="F301" s="116" t="n"/>
      <c r="G301" s="116" t="n"/>
      <c r="H301" s="121">
        <f>IF(G301="","",IF(ISNUMBER(SEARCH("CAPITA",UPPER(G301))),651110,IF(ISNUMBER(SEARCH("REFUERZO",UPPER(G301))),651110,IF(ISNUMBER(SEARCH("VACUNACION",UPPER(G301))),651110,IF(ISNUMBER(SEARCH("ENFERMERIA",UPPER(G301))),651110,IF(ISNUMBER(SEARCH("APORTES",UPPER(G301))),651110,IF(ISNUMBER(SEARCH("HONORARIOS",UPPER(G301))),702010,IF(ISNUMBER(SEARCH("ADMINISTRACION",UPPER(G301))),702010,IF(ISNUMBER(SEARCH("GERENCIAMIENTO",UPPER(G301))),702010,IF(ISNUMBER(SEARCH("ALQUILER",UPPER(G301))),702010,IF(ISNUMBER(SEARCH("AUDITORIA",UPPER(G301))),702010,IF(ISNUMBER(SEARCH("PRESTACIONAL",UPPER(G301))),702010,702010))))))))))))</f>
        <v/>
      </c>
      <c r="I301" s="122" t="n"/>
      <c r="J301" s="122" t="n"/>
      <c r="K301" s="123">
        <f>IF(N(I301)&gt;0,ROUND(N(I301)*IVA_general,2),0)</f>
        <v/>
      </c>
      <c r="L301" s="122" t="n">
        <v>0</v>
      </c>
      <c r="M301" s="122" t="n"/>
      <c r="N301" s="123">
        <f>IF(SUM(I301:M301)=0,"",SUM(I301:M301))</f>
        <v/>
      </c>
      <c r="O301" s="124">
        <f>IF(A301="","",TEXT(A301,"yyyy-mm"))</f>
        <v/>
      </c>
      <c r="P301" s="121">
        <f>IF(A301="","",YEAR(A301))</f>
        <v/>
      </c>
      <c r="Q301" s="121">
        <f>IF(A301="","",MONTH(A301))</f>
        <v/>
      </c>
      <c r="R301" s="116" t="n"/>
      <c r="S301" s="116" t="n"/>
      <c r="T301" s="120" t="n"/>
      <c r="U301" s="122" t="n">
        <v>0</v>
      </c>
      <c r="V301" s="123">
        <f>IF(B301="","",N301-U301)</f>
        <v/>
      </c>
      <c r="W301" s="116" t="n"/>
      <c r="X301" s="125">
        <f>IF(B301="","",IF(LEFT(B301,2)="NC",-1,1))</f>
        <v/>
      </c>
      <c r="Y301" s="123">
        <f>IF(B301="",0,N(I301)*X301)</f>
        <v/>
      </c>
      <c r="Z301" s="123">
        <f>IF(B301="",0,N(J301)*X301)</f>
        <v/>
      </c>
      <c r="AA301" s="123">
        <f>IF(B301="",0,N(K301)*X301)</f>
        <v/>
      </c>
      <c r="AB301" s="123">
        <f>IF(B301="",0,N(L301)*X301)</f>
        <v/>
      </c>
      <c r="AC301" s="123">
        <f>IF(B301="",0,N(N301)*X301)</f>
        <v/>
      </c>
    </row>
    <row r="302" ht="15" customHeight="1" s="83">
      <c r="A302" s="120" t="n"/>
      <c r="B302" s="116" t="n"/>
      <c r="C302" s="116" t="n"/>
      <c r="D302" s="116" t="n"/>
      <c r="E302" s="116" t="n"/>
      <c r="F302" s="116" t="n"/>
      <c r="G302" s="116" t="n"/>
      <c r="H302" s="121">
        <f>IF(G302="","",IF(ISNUMBER(SEARCH("CAPITA",UPPER(G302))),651110,IF(ISNUMBER(SEARCH("REFUERZO",UPPER(G302))),651110,IF(ISNUMBER(SEARCH("VACUNACION",UPPER(G302))),651110,IF(ISNUMBER(SEARCH("ENFERMERIA",UPPER(G302))),651110,IF(ISNUMBER(SEARCH("APORTES",UPPER(G302))),651110,IF(ISNUMBER(SEARCH("HONORARIOS",UPPER(G302))),702010,IF(ISNUMBER(SEARCH("ADMINISTRACION",UPPER(G302))),702010,IF(ISNUMBER(SEARCH("GERENCIAMIENTO",UPPER(G302))),702010,IF(ISNUMBER(SEARCH("ALQUILER",UPPER(G302))),702010,IF(ISNUMBER(SEARCH("AUDITORIA",UPPER(G302))),702010,IF(ISNUMBER(SEARCH("PRESTACIONAL",UPPER(G302))),702010,702010))))))))))))</f>
        <v/>
      </c>
      <c r="I302" s="122" t="n"/>
      <c r="J302" s="122" t="n"/>
      <c r="K302" s="123">
        <f>IF(N(I302)&gt;0,ROUND(N(I302)*IVA_general,2),0)</f>
        <v/>
      </c>
      <c r="L302" s="122" t="n">
        <v>0</v>
      </c>
      <c r="M302" s="122" t="n"/>
      <c r="N302" s="123">
        <f>IF(SUM(I302:M302)=0,"",SUM(I302:M302))</f>
        <v/>
      </c>
      <c r="O302" s="124">
        <f>IF(A302="","",TEXT(A302,"yyyy-mm"))</f>
        <v/>
      </c>
      <c r="P302" s="121">
        <f>IF(A302="","",YEAR(A302))</f>
        <v/>
      </c>
      <c r="Q302" s="121">
        <f>IF(A302="","",MONTH(A302))</f>
        <v/>
      </c>
      <c r="R302" s="116" t="n"/>
      <c r="S302" s="116" t="n"/>
      <c r="T302" s="120" t="n"/>
      <c r="U302" s="122" t="n">
        <v>0</v>
      </c>
      <c r="V302" s="123">
        <f>IF(B302="","",N302-U302)</f>
        <v/>
      </c>
      <c r="W302" s="116" t="n"/>
      <c r="X302" s="125">
        <f>IF(B302="","",IF(LEFT(B302,2)="NC",-1,1))</f>
        <v/>
      </c>
      <c r="Y302" s="123">
        <f>IF(B302="",0,N(I302)*X302)</f>
        <v/>
      </c>
      <c r="Z302" s="123">
        <f>IF(B302="",0,N(J302)*X302)</f>
        <v/>
      </c>
      <c r="AA302" s="123">
        <f>IF(B302="",0,N(K302)*X302)</f>
        <v/>
      </c>
      <c r="AB302" s="123">
        <f>IF(B302="",0,N(L302)*X302)</f>
        <v/>
      </c>
      <c r="AC302" s="123">
        <f>IF(B302="",0,N(N302)*X302)</f>
        <v/>
      </c>
    </row>
    <row r="303" ht="15" customHeight="1" s="83">
      <c r="A303" s="120" t="n"/>
      <c r="B303" s="116" t="n"/>
      <c r="C303" s="116" t="n"/>
      <c r="D303" s="116" t="n"/>
      <c r="E303" s="116" t="n"/>
      <c r="F303" s="116" t="n"/>
      <c r="G303" s="116" t="n"/>
      <c r="H303" s="121">
        <f>IF(G303="","",IF(ISNUMBER(SEARCH("CAPITA",UPPER(G303))),651110,IF(ISNUMBER(SEARCH("REFUERZO",UPPER(G303))),651110,IF(ISNUMBER(SEARCH("VACUNACION",UPPER(G303))),651110,IF(ISNUMBER(SEARCH("ENFERMERIA",UPPER(G303))),651110,IF(ISNUMBER(SEARCH("APORTES",UPPER(G303))),651110,IF(ISNUMBER(SEARCH("HONORARIOS",UPPER(G303))),702010,IF(ISNUMBER(SEARCH("ADMINISTRACION",UPPER(G303))),702010,IF(ISNUMBER(SEARCH("GERENCIAMIENTO",UPPER(G303))),702010,IF(ISNUMBER(SEARCH("ALQUILER",UPPER(G303))),702010,IF(ISNUMBER(SEARCH("AUDITORIA",UPPER(G303))),702010,IF(ISNUMBER(SEARCH("PRESTACIONAL",UPPER(G303))),702010,702010))))))))))))</f>
        <v/>
      </c>
      <c r="I303" s="122" t="n"/>
      <c r="J303" s="122" t="n"/>
      <c r="K303" s="123">
        <f>IF(N(I303)&gt;0,ROUND(N(I303)*IVA_general,2),0)</f>
        <v/>
      </c>
      <c r="L303" s="122" t="n">
        <v>0</v>
      </c>
      <c r="M303" s="122" t="n"/>
      <c r="N303" s="123">
        <f>IF(SUM(I303:M303)=0,"",SUM(I303:M303))</f>
        <v/>
      </c>
      <c r="O303" s="124">
        <f>IF(A303="","",TEXT(A303,"yyyy-mm"))</f>
        <v/>
      </c>
      <c r="P303" s="121">
        <f>IF(A303="","",YEAR(A303))</f>
        <v/>
      </c>
      <c r="Q303" s="121">
        <f>IF(A303="","",MONTH(A303))</f>
        <v/>
      </c>
      <c r="R303" s="116" t="n"/>
      <c r="S303" s="116" t="n"/>
      <c r="T303" s="120" t="n"/>
      <c r="U303" s="122" t="n">
        <v>0</v>
      </c>
      <c r="V303" s="123">
        <f>IF(B303="","",N303-U303)</f>
        <v/>
      </c>
      <c r="W303" s="116" t="n"/>
      <c r="X303" s="125">
        <f>IF(B303="","",IF(LEFT(B303,2)="NC",-1,1))</f>
        <v/>
      </c>
      <c r="Y303" s="123">
        <f>IF(B303="",0,N(I303)*X303)</f>
        <v/>
      </c>
      <c r="Z303" s="123">
        <f>IF(B303="",0,N(J303)*X303)</f>
        <v/>
      </c>
      <c r="AA303" s="123">
        <f>IF(B303="",0,N(K303)*X303)</f>
        <v/>
      </c>
      <c r="AB303" s="123">
        <f>IF(B303="",0,N(L303)*X303)</f>
        <v/>
      </c>
      <c r="AC303" s="123">
        <f>IF(B303="",0,N(N303)*X303)</f>
        <v/>
      </c>
    </row>
    <row r="304" ht="15" customHeight="1" s="83">
      <c r="A304" s="120" t="n"/>
      <c r="B304" s="116" t="n"/>
      <c r="C304" s="116" t="n"/>
      <c r="D304" s="116" t="n"/>
      <c r="E304" s="116" t="n"/>
      <c r="F304" s="116" t="n"/>
      <c r="G304" s="116" t="n"/>
      <c r="H304" s="121">
        <f>IF(G304="","",IF(ISNUMBER(SEARCH("CAPITA",UPPER(G304))),651110,IF(ISNUMBER(SEARCH("REFUERZO",UPPER(G304))),651110,IF(ISNUMBER(SEARCH("VACUNACION",UPPER(G304))),651110,IF(ISNUMBER(SEARCH("ENFERMERIA",UPPER(G304))),651110,IF(ISNUMBER(SEARCH("APORTES",UPPER(G304))),651110,IF(ISNUMBER(SEARCH("HONORARIOS",UPPER(G304))),702010,IF(ISNUMBER(SEARCH("ADMINISTRACION",UPPER(G304))),702010,IF(ISNUMBER(SEARCH("GERENCIAMIENTO",UPPER(G304))),702010,IF(ISNUMBER(SEARCH("ALQUILER",UPPER(G304))),702010,IF(ISNUMBER(SEARCH("AUDITORIA",UPPER(G304))),702010,IF(ISNUMBER(SEARCH("PRESTACIONAL",UPPER(G304))),702010,702010))))))))))))</f>
        <v/>
      </c>
      <c r="I304" s="122" t="n"/>
      <c r="J304" s="122" t="n"/>
      <c r="K304" s="123">
        <f>IF(N(I304)&gt;0,ROUND(N(I304)*IVA_general,2),0)</f>
        <v/>
      </c>
      <c r="L304" s="122" t="n">
        <v>0</v>
      </c>
      <c r="M304" s="122" t="n"/>
      <c r="N304" s="123">
        <f>IF(SUM(I304:M304)=0,"",SUM(I304:M304))</f>
        <v/>
      </c>
      <c r="O304" s="124">
        <f>IF(A304="","",TEXT(A304,"yyyy-mm"))</f>
        <v/>
      </c>
      <c r="P304" s="121">
        <f>IF(A304="","",YEAR(A304))</f>
        <v/>
      </c>
      <c r="Q304" s="121">
        <f>IF(A304="","",MONTH(A304))</f>
        <v/>
      </c>
      <c r="R304" s="116" t="n"/>
      <c r="S304" s="116" t="n"/>
      <c r="T304" s="120" t="n"/>
      <c r="U304" s="122" t="n">
        <v>0</v>
      </c>
      <c r="V304" s="123">
        <f>IF(B304="","",N304-U304)</f>
        <v/>
      </c>
      <c r="W304" s="116" t="n"/>
      <c r="X304" s="125">
        <f>IF(B304="","",IF(LEFT(B304,2)="NC",-1,1))</f>
        <v/>
      </c>
      <c r="Y304" s="123">
        <f>IF(B304="",0,N(I304)*X304)</f>
        <v/>
      </c>
      <c r="Z304" s="123">
        <f>IF(B304="",0,N(J304)*X304)</f>
        <v/>
      </c>
      <c r="AA304" s="123">
        <f>IF(B304="",0,N(K304)*X304)</f>
        <v/>
      </c>
      <c r="AB304" s="123">
        <f>IF(B304="",0,N(L304)*X304)</f>
        <v/>
      </c>
      <c r="AC304" s="123">
        <f>IF(B304="",0,N(N304)*X304)</f>
        <v/>
      </c>
    </row>
    <row r="305" ht="15" customHeight="1" s="83">
      <c r="A305" s="120" t="n"/>
      <c r="B305" s="116" t="n"/>
      <c r="C305" s="116" t="n"/>
      <c r="D305" s="116" t="n"/>
      <c r="E305" s="116" t="n"/>
      <c r="F305" s="116" t="n"/>
      <c r="G305" s="116" t="n"/>
      <c r="H305" s="121">
        <f>IF(G305="","",IF(ISNUMBER(SEARCH("CAPITA",UPPER(G305))),651110,IF(ISNUMBER(SEARCH("REFUERZO",UPPER(G305))),651110,IF(ISNUMBER(SEARCH("VACUNACION",UPPER(G305))),651110,IF(ISNUMBER(SEARCH("ENFERMERIA",UPPER(G305))),651110,IF(ISNUMBER(SEARCH("APORTES",UPPER(G305))),651110,IF(ISNUMBER(SEARCH("HONORARIOS",UPPER(G305))),702010,IF(ISNUMBER(SEARCH("ADMINISTRACION",UPPER(G305))),702010,IF(ISNUMBER(SEARCH("GERENCIAMIENTO",UPPER(G305))),702010,IF(ISNUMBER(SEARCH("ALQUILER",UPPER(G305))),702010,IF(ISNUMBER(SEARCH("AUDITORIA",UPPER(G305))),702010,IF(ISNUMBER(SEARCH("PRESTACIONAL",UPPER(G305))),702010,702010))))))))))))</f>
        <v/>
      </c>
      <c r="I305" s="122" t="n"/>
      <c r="J305" s="122" t="n"/>
      <c r="K305" s="123">
        <f>IF(N(I305)&gt;0,ROUND(N(I305)*IVA_general,2),0)</f>
        <v/>
      </c>
      <c r="L305" s="122" t="n">
        <v>0</v>
      </c>
      <c r="M305" s="122" t="n"/>
      <c r="N305" s="123">
        <f>IF(SUM(I305:M305)=0,"",SUM(I305:M305))</f>
        <v/>
      </c>
      <c r="O305" s="124">
        <f>IF(A305="","",TEXT(A305,"yyyy-mm"))</f>
        <v/>
      </c>
      <c r="P305" s="121">
        <f>IF(A305="","",YEAR(A305))</f>
        <v/>
      </c>
      <c r="Q305" s="121">
        <f>IF(A305="","",MONTH(A305))</f>
        <v/>
      </c>
      <c r="R305" s="116" t="n"/>
      <c r="S305" s="116" t="n"/>
      <c r="T305" s="120" t="n"/>
      <c r="U305" s="122" t="n">
        <v>0</v>
      </c>
      <c r="V305" s="123">
        <f>IF(B305="","",N305-U305)</f>
        <v/>
      </c>
      <c r="W305" s="116" t="n"/>
      <c r="X305" s="125">
        <f>IF(B305="","",IF(LEFT(B305,2)="NC",-1,1))</f>
        <v/>
      </c>
      <c r="Y305" s="123">
        <f>IF(B305="",0,N(I305)*X305)</f>
        <v/>
      </c>
      <c r="Z305" s="123">
        <f>IF(B305="",0,N(J305)*X305)</f>
        <v/>
      </c>
      <c r="AA305" s="123">
        <f>IF(B305="",0,N(K305)*X305)</f>
        <v/>
      </c>
      <c r="AB305" s="123">
        <f>IF(B305="",0,N(L305)*X305)</f>
        <v/>
      </c>
      <c r="AC305" s="123">
        <f>IF(B305="",0,N(N305)*X305)</f>
        <v/>
      </c>
    </row>
    <row r="306" ht="15" customHeight="1" s="83">
      <c r="A306" s="120" t="n"/>
      <c r="B306" s="116" t="n"/>
      <c r="C306" s="116" t="n"/>
      <c r="D306" s="116" t="n"/>
      <c r="E306" s="116" t="n"/>
      <c r="F306" s="116" t="n"/>
      <c r="G306" s="116" t="n"/>
      <c r="H306" s="121">
        <f>IF(G306="","",IF(ISNUMBER(SEARCH("CAPITA",UPPER(G306))),651110,IF(ISNUMBER(SEARCH("REFUERZO",UPPER(G306))),651110,IF(ISNUMBER(SEARCH("VACUNACION",UPPER(G306))),651110,IF(ISNUMBER(SEARCH("ENFERMERIA",UPPER(G306))),651110,IF(ISNUMBER(SEARCH("APORTES",UPPER(G306))),651110,IF(ISNUMBER(SEARCH("HONORARIOS",UPPER(G306))),702010,IF(ISNUMBER(SEARCH("ADMINISTRACION",UPPER(G306))),702010,IF(ISNUMBER(SEARCH("GERENCIAMIENTO",UPPER(G306))),702010,IF(ISNUMBER(SEARCH("ALQUILER",UPPER(G306))),702010,IF(ISNUMBER(SEARCH("AUDITORIA",UPPER(G306))),702010,IF(ISNUMBER(SEARCH("PRESTACIONAL",UPPER(G306))),702010,702010))))))))))))</f>
        <v/>
      </c>
      <c r="I306" s="122" t="n"/>
      <c r="J306" s="122" t="n"/>
      <c r="K306" s="123">
        <f>IF(N(I306)&gt;0,ROUND(N(I306)*IVA_general,2),0)</f>
        <v/>
      </c>
      <c r="L306" s="122" t="n">
        <v>0</v>
      </c>
      <c r="M306" s="122" t="n"/>
      <c r="N306" s="123">
        <f>IF(SUM(I306:M306)=0,"",SUM(I306:M306))</f>
        <v/>
      </c>
      <c r="O306" s="124">
        <f>IF(A306="","",TEXT(A306,"yyyy-mm"))</f>
        <v/>
      </c>
      <c r="P306" s="121">
        <f>IF(A306="","",YEAR(A306))</f>
        <v/>
      </c>
      <c r="Q306" s="121">
        <f>IF(A306="","",MONTH(A306))</f>
        <v/>
      </c>
      <c r="R306" s="116" t="n"/>
      <c r="S306" s="116" t="n"/>
      <c r="T306" s="120" t="n"/>
      <c r="U306" s="122" t="n">
        <v>0</v>
      </c>
      <c r="V306" s="123">
        <f>IF(B306="","",N306-U306)</f>
        <v/>
      </c>
      <c r="W306" s="116" t="n"/>
      <c r="X306" s="125">
        <f>IF(B306="","",IF(LEFT(B306,2)="NC",-1,1))</f>
        <v/>
      </c>
      <c r="Y306" s="123">
        <f>IF(B306="",0,N(I306)*X306)</f>
        <v/>
      </c>
      <c r="Z306" s="123">
        <f>IF(B306="",0,N(J306)*X306)</f>
        <v/>
      </c>
      <c r="AA306" s="123">
        <f>IF(B306="",0,N(K306)*X306)</f>
        <v/>
      </c>
      <c r="AB306" s="123">
        <f>IF(B306="",0,N(L306)*X306)</f>
        <v/>
      </c>
      <c r="AC306" s="123">
        <f>IF(B306="",0,N(N306)*X306)</f>
        <v/>
      </c>
    </row>
    <row r="307" ht="15" customHeight="1" s="83">
      <c r="A307" s="120" t="n"/>
      <c r="B307" s="116" t="n"/>
      <c r="C307" s="116" t="n"/>
      <c r="D307" s="116" t="n"/>
      <c r="E307" s="116" t="n"/>
      <c r="F307" s="116" t="n"/>
      <c r="G307" s="116" t="n"/>
      <c r="H307" s="121">
        <f>IF(G307="","",IF(ISNUMBER(SEARCH("CAPITA",UPPER(G307))),651110,IF(ISNUMBER(SEARCH("REFUERZO",UPPER(G307))),651110,IF(ISNUMBER(SEARCH("VACUNACION",UPPER(G307))),651110,IF(ISNUMBER(SEARCH("ENFERMERIA",UPPER(G307))),651110,IF(ISNUMBER(SEARCH("APORTES",UPPER(G307))),651110,IF(ISNUMBER(SEARCH("HONORARIOS",UPPER(G307))),702010,IF(ISNUMBER(SEARCH("ADMINISTRACION",UPPER(G307))),702010,IF(ISNUMBER(SEARCH("GERENCIAMIENTO",UPPER(G307))),702010,IF(ISNUMBER(SEARCH("ALQUILER",UPPER(G307))),702010,IF(ISNUMBER(SEARCH("AUDITORIA",UPPER(G307))),702010,IF(ISNUMBER(SEARCH("PRESTACIONAL",UPPER(G307))),702010,702010))))))))))))</f>
        <v/>
      </c>
      <c r="I307" s="122" t="n"/>
      <c r="J307" s="122" t="n"/>
      <c r="K307" s="123">
        <f>IF(N(I307)&gt;0,ROUND(N(I307)*IVA_general,2),0)</f>
        <v/>
      </c>
      <c r="L307" s="122" t="n">
        <v>0</v>
      </c>
      <c r="M307" s="122" t="n"/>
      <c r="N307" s="123">
        <f>IF(SUM(I307:M307)=0,"",SUM(I307:M307))</f>
        <v/>
      </c>
      <c r="O307" s="124">
        <f>IF(A307="","",TEXT(A307,"yyyy-mm"))</f>
        <v/>
      </c>
      <c r="P307" s="121">
        <f>IF(A307="","",YEAR(A307))</f>
        <v/>
      </c>
      <c r="Q307" s="121">
        <f>IF(A307="","",MONTH(A307))</f>
        <v/>
      </c>
      <c r="R307" s="116" t="n"/>
      <c r="S307" s="116" t="n"/>
      <c r="T307" s="120" t="n"/>
      <c r="U307" s="122" t="n">
        <v>0</v>
      </c>
      <c r="V307" s="123">
        <f>IF(B307="","",N307-U307)</f>
        <v/>
      </c>
      <c r="W307" s="116" t="n"/>
      <c r="X307" s="125">
        <f>IF(B307="","",IF(LEFT(B307,2)="NC",-1,1))</f>
        <v/>
      </c>
      <c r="Y307" s="123">
        <f>IF(B307="",0,N(I307)*X307)</f>
        <v/>
      </c>
      <c r="Z307" s="123">
        <f>IF(B307="",0,N(J307)*X307)</f>
        <v/>
      </c>
      <c r="AA307" s="123">
        <f>IF(B307="",0,N(K307)*X307)</f>
        <v/>
      </c>
      <c r="AB307" s="123">
        <f>IF(B307="",0,N(L307)*X307)</f>
        <v/>
      </c>
      <c r="AC307" s="123">
        <f>IF(B307="",0,N(N307)*X307)</f>
        <v/>
      </c>
    </row>
    <row r="308" ht="15" customHeight="1" s="83">
      <c r="A308" s="120" t="n"/>
      <c r="B308" s="116" t="n"/>
      <c r="C308" s="116" t="n"/>
      <c r="D308" s="116" t="n"/>
      <c r="E308" s="116" t="n"/>
      <c r="F308" s="116" t="n"/>
      <c r="G308" s="116" t="n"/>
      <c r="H308" s="121">
        <f>IF(G308="","",IF(ISNUMBER(SEARCH("CAPITA",UPPER(G308))),651110,IF(ISNUMBER(SEARCH("REFUERZO",UPPER(G308))),651110,IF(ISNUMBER(SEARCH("VACUNACION",UPPER(G308))),651110,IF(ISNUMBER(SEARCH("ENFERMERIA",UPPER(G308))),651110,IF(ISNUMBER(SEARCH("APORTES",UPPER(G308))),651110,IF(ISNUMBER(SEARCH("HONORARIOS",UPPER(G308))),702010,IF(ISNUMBER(SEARCH("ADMINISTRACION",UPPER(G308))),702010,IF(ISNUMBER(SEARCH("GERENCIAMIENTO",UPPER(G308))),702010,IF(ISNUMBER(SEARCH("ALQUILER",UPPER(G308))),702010,IF(ISNUMBER(SEARCH("AUDITORIA",UPPER(G308))),702010,IF(ISNUMBER(SEARCH("PRESTACIONAL",UPPER(G308))),702010,702010))))))))))))</f>
        <v/>
      </c>
      <c r="I308" s="122" t="n"/>
      <c r="J308" s="122" t="n"/>
      <c r="K308" s="123">
        <f>IF(N(I308)&gt;0,ROUND(N(I308)*IVA_general,2),0)</f>
        <v/>
      </c>
      <c r="L308" s="122" t="n">
        <v>0</v>
      </c>
      <c r="M308" s="122" t="n"/>
      <c r="N308" s="123">
        <f>IF(SUM(I308:M308)=0,"",SUM(I308:M308))</f>
        <v/>
      </c>
      <c r="O308" s="124">
        <f>IF(A308="","",TEXT(A308,"yyyy-mm"))</f>
        <v/>
      </c>
      <c r="P308" s="121">
        <f>IF(A308="","",YEAR(A308))</f>
        <v/>
      </c>
      <c r="Q308" s="121">
        <f>IF(A308="","",MONTH(A308))</f>
        <v/>
      </c>
      <c r="R308" s="116" t="n"/>
      <c r="S308" s="116" t="n"/>
      <c r="T308" s="120" t="n"/>
      <c r="U308" s="122" t="n">
        <v>0</v>
      </c>
      <c r="V308" s="123">
        <f>IF(B308="","",N308-U308)</f>
        <v/>
      </c>
      <c r="W308" s="116" t="n"/>
      <c r="X308" s="125">
        <f>IF(B308="","",IF(LEFT(B308,2)="NC",-1,1))</f>
        <v/>
      </c>
      <c r="Y308" s="123">
        <f>IF(B308="",0,N(I308)*X308)</f>
        <v/>
      </c>
      <c r="Z308" s="123">
        <f>IF(B308="",0,N(J308)*X308)</f>
        <v/>
      </c>
      <c r="AA308" s="123">
        <f>IF(B308="",0,N(K308)*X308)</f>
        <v/>
      </c>
      <c r="AB308" s="123">
        <f>IF(B308="",0,N(L308)*X308)</f>
        <v/>
      </c>
      <c r="AC308" s="123">
        <f>IF(B308="",0,N(N308)*X308)</f>
        <v/>
      </c>
    </row>
    <row r="309" ht="15" customHeight="1" s="83">
      <c r="A309" s="120" t="n"/>
      <c r="B309" s="116" t="n"/>
      <c r="C309" s="116" t="n"/>
      <c r="D309" s="116" t="n"/>
      <c r="E309" s="116" t="n"/>
      <c r="F309" s="116" t="n"/>
      <c r="G309" s="116" t="n"/>
      <c r="H309" s="121">
        <f>IF(G309="","",IF(ISNUMBER(SEARCH("CAPITA",UPPER(G309))),651110,IF(ISNUMBER(SEARCH("REFUERZO",UPPER(G309))),651110,IF(ISNUMBER(SEARCH("VACUNACION",UPPER(G309))),651110,IF(ISNUMBER(SEARCH("ENFERMERIA",UPPER(G309))),651110,IF(ISNUMBER(SEARCH("APORTES",UPPER(G309))),651110,IF(ISNUMBER(SEARCH("HONORARIOS",UPPER(G309))),702010,IF(ISNUMBER(SEARCH("ADMINISTRACION",UPPER(G309))),702010,IF(ISNUMBER(SEARCH("GERENCIAMIENTO",UPPER(G309))),702010,IF(ISNUMBER(SEARCH("ALQUILER",UPPER(G309))),702010,IF(ISNUMBER(SEARCH("AUDITORIA",UPPER(G309))),702010,IF(ISNUMBER(SEARCH("PRESTACIONAL",UPPER(G309))),702010,702010))))))))))))</f>
        <v/>
      </c>
      <c r="I309" s="122" t="n"/>
      <c r="J309" s="122" t="n"/>
      <c r="K309" s="123">
        <f>IF(N(I309)&gt;0,ROUND(N(I309)*IVA_general,2),0)</f>
        <v/>
      </c>
      <c r="L309" s="122" t="n">
        <v>0</v>
      </c>
      <c r="M309" s="122" t="n"/>
      <c r="N309" s="123">
        <f>IF(SUM(I309:M309)=0,"",SUM(I309:M309))</f>
        <v/>
      </c>
      <c r="O309" s="124">
        <f>IF(A309="","",TEXT(A309,"yyyy-mm"))</f>
        <v/>
      </c>
      <c r="P309" s="121">
        <f>IF(A309="","",YEAR(A309))</f>
        <v/>
      </c>
      <c r="Q309" s="121">
        <f>IF(A309="","",MONTH(A309))</f>
        <v/>
      </c>
      <c r="R309" s="116" t="n"/>
      <c r="S309" s="116" t="n"/>
      <c r="T309" s="120" t="n"/>
      <c r="U309" s="122" t="n">
        <v>0</v>
      </c>
      <c r="V309" s="123">
        <f>IF(B309="","",N309-U309)</f>
        <v/>
      </c>
      <c r="W309" s="116" t="n"/>
      <c r="X309" s="125">
        <f>IF(B309="","",IF(LEFT(B309,2)="NC",-1,1))</f>
        <v/>
      </c>
      <c r="Y309" s="123">
        <f>IF(B309="",0,N(I309)*X309)</f>
        <v/>
      </c>
      <c r="Z309" s="123">
        <f>IF(B309="",0,N(J309)*X309)</f>
        <v/>
      </c>
      <c r="AA309" s="123">
        <f>IF(B309="",0,N(K309)*X309)</f>
        <v/>
      </c>
      <c r="AB309" s="123">
        <f>IF(B309="",0,N(L309)*X309)</f>
        <v/>
      </c>
      <c r="AC309" s="123">
        <f>IF(B309="",0,N(N309)*X309)</f>
        <v/>
      </c>
    </row>
    <row r="310" ht="15" customHeight="1" s="83">
      <c r="A310" s="120" t="n"/>
      <c r="B310" s="116" t="n"/>
      <c r="C310" s="116" t="n"/>
      <c r="D310" s="116" t="n"/>
      <c r="E310" s="116" t="n"/>
      <c r="F310" s="116" t="n"/>
      <c r="G310" s="116" t="n"/>
      <c r="H310" s="121">
        <f>IF(G310="","",IF(ISNUMBER(SEARCH("CAPITA",UPPER(G310))),651110,IF(ISNUMBER(SEARCH("REFUERZO",UPPER(G310))),651110,IF(ISNUMBER(SEARCH("VACUNACION",UPPER(G310))),651110,IF(ISNUMBER(SEARCH("ENFERMERIA",UPPER(G310))),651110,IF(ISNUMBER(SEARCH("APORTES",UPPER(G310))),651110,IF(ISNUMBER(SEARCH("HONORARIOS",UPPER(G310))),702010,IF(ISNUMBER(SEARCH("ADMINISTRACION",UPPER(G310))),702010,IF(ISNUMBER(SEARCH("GERENCIAMIENTO",UPPER(G310))),702010,IF(ISNUMBER(SEARCH("ALQUILER",UPPER(G310))),702010,IF(ISNUMBER(SEARCH("AUDITORIA",UPPER(G310))),702010,IF(ISNUMBER(SEARCH("PRESTACIONAL",UPPER(G310))),702010,702010))))))))))))</f>
        <v/>
      </c>
      <c r="I310" s="122" t="n"/>
      <c r="J310" s="122" t="n"/>
      <c r="K310" s="123">
        <f>IF(N(I310)&gt;0,ROUND(N(I310)*IVA_general,2),0)</f>
        <v/>
      </c>
      <c r="L310" s="122" t="n">
        <v>0</v>
      </c>
      <c r="M310" s="122" t="n"/>
      <c r="N310" s="123">
        <f>IF(SUM(I310:M310)=0,"",SUM(I310:M310))</f>
        <v/>
      </c>
      <c r="O310" s="124">
        <f>IF(A310="","",TEXT(A310,"yyyy-mm"))</f>
        <v/>
      </c>
      <c r="P310" s="121">
        <f>IF(A310="","",YEAR(A310))</f>
        <v/>
      </c>
      <c r="Q310" s="121">
        <f>IF(A310="","",MONTH(A310))</f>
        <v/>
      </c>
      <c r="R310" s="116" t="n"/>
      <c r="S310" s="116" t="n"/>
      <c r="T310" s="120" t="n"/>
      <c r="U310" s="122" t="n">
        <v>0</v>
      </c>
      <c r="V310" s="123">
        <f>IF(B310="","",N310-U310)</f>
        <v/>
      </c>
      <c r="W310" s="116" t="n"/>
      <c r="X310" s="125">
        <f>IF(B310="","",IF(LEFT(B310,2)="NC",-1,1))</f>
        <v/>
      </c>
      <c r="Y310" s="123">
        <f>IF(B310="",0,N(I310)*X310)</f>
        <v/>
      </c>
      <c r="Z310" s="123">
        <f>IF(B310="",0,N(J310)*X310)</f>
        <v/>
      </c>
      <c r="AA310" s="123">
        <f>IF(B310="",0,N(K310)*X310)</f>
        <v/>
      </c>
      <c r="AB310" s="123">
        <f>IF(B310="",0,N(L310)*X310)</f>
        <v/>
      </c>
      <c r="AC310" s="123">
        <f>IF(B310="",0,N(N310)*X310)</f>
        <v/>
      </c>
    </row>
    <row r="311" ht="15" customHeight="1" s="83">
      <c r="A311" s="120" t="n"/>
      <c r="B311" s="116" t="n"/>
      <c r="C311" s="116" t="n"/>
      <c r="D311" s="116" t="n"/>
      <c r="E311" s="116" t="n"/>
      <c r="F311" s="116" t="n"/>
      <c r="G311" s="116" t="n"/>
      <c r="H311" s="121">
        <f>IF(G311="","",IF(ISNUMBER(SEARCH("CAPITA",UPPER(G311))),651110,IF(ISNUMBER(SEARCH("REFUERZO",UPPER(G311))),651110,IF(ISNUMBER(SEARCH("VACUNACION",UPPER(G311))),651110,IF(ISNUMBER(SEARCH("ENFERMERIA",UPPER(G311))),651110,IF(ISNUMBER(SEARCH("APORTES",UPPER(G311))),651110,IF(ISNUMBER(SEARCH("HONORARIOS",UPPER(G311))),702010,IF(ISNUMBER(SEARCH("ADMINISTRACION",UPPER(G311))),702010,IF(ISNUMBER(SEARCH("GERENCIAMIENTO",UPPER(G311))),702010,IF(ISNUMBER(SEARCH("ALQUILER",UPPER(G311))),702010,IF(ISNUMBER(SEARCH("AUDITORIA",UPPER(G311))),702010,IF(ISNUMBER(SEARCH("PRESTACIONAL",UPPER(G311))),702010,702010))))))))))))</f>
        <v/>
      </c>
      <c r="I311" s="122" t="n"/>
      <c r="J311" s="122" t="n"/>
      <c r="K311" s="123">
        <f>IF(N(I311)&gt;0,ROUND(N(I311)*IVA_general,2),0)</f>
        <v/>
      </c>
      <c r="L311" s="122" t="n">
        <v>0</v>
      </c>
      <c r="M311" s="122" t="n"/>
      <c r="N311" s="123">
        <f>IF(SUM(I311:M311)=0,"",SUM(I311:M311))</f>
        <v/>
      </c>
      <c r="O311" s="124">
        <f>IF(A311="","",TEXT(A311,"yyyy-mm"))</f>
        <v/>
      </c>
      <c r="P311" s="121">
        <f>IF(A311="","",YEAR(A311))</f>
        <v/>
      </c>
      <c r="Q311" s="121">
        <f>IF(A311="","",MONTH(A311))</f>
        <v/>
      </c>
      <c r="R311" s="116" t="n"/>
      <c r="S311" s="116" t="n"/>
      <c r="T311" s="120" t="n"/>
      <c r="U311" s="122" t="n">
        <v>0</v>
      </c>
      <c r="V311" s="123">
        <f>IF(B311="","",N311-U311)</f>
        <v/>
      </c>
      <c r="W311" s="116" t="n"/>
      <c r="X311" s="125">
        <f>IF(B311="","",IF(LEFT(B311,2)="NC",-1,1))</f>
        <v/>
      </c>
      <c r="Y311" s="123">
        <f>IF(B311="",0,N(I311)*X311)</f>
        <v/>
      </c>
      <c r="Z311" s="123">
        <f>IF(B311="",0,N(J311)*X311)</f>
        <v/>
      </c>
      <c r="AA311" s="123">
        <f>IF(B311="",0,N(K311)*X311)</f>
        <v/>
      </c>
      <c r="AB311" s="123">
        <f>IF(B311="",0,N(L311)*X311)</f>
        <v/>
      </c>
      <c r="AC311" s="123">
        <f>IF(B311="",0,N(N311)*X311)</f>
        <v/>
      </c>
    </row>
    <row r="312" ht="15" customHeight="1" s="83">
      <c r="A312" s="120" t="n"/>
      <c r="B312" s="116" t="n"/>
      <c r="C312" s="116" t="n"/>
      <c r="D312" s="116" t="n"/>
      <c r="E312" s="116" t="n"/>
      <c r="F312" s="116" t="n"/>
      <c r="G312" s="116" t="n"/>
      <c r="H312" s="121">
        <f>IF(G312="","",IF(ISNUMBER(SEARCH("CAPITA",UPPER(G312))),651110,IF(ISNUMBER(SEARCH("REFUERZO",UPPER(G312))),651110,IF(ISNUMBER(SEARCH("VACUNACION",UPPER(G312))),651110,IF(ISNUMBER(SEARCH("ENFERMERIA",UPPER(G312))),651110,IF(ISNUMBER(SEARCH("APORTES",UPPER(G312))),651110,IF(ISNUMBER(SEARCH("HONORARIOS",UPPER(G312))),702010,IF(ISNUMBER(SEARCH("ADMINISTRACION",UPPER(G312))),702010,IF(ISNUMBER(SEARCH("GERENCIAMIENTO",UPPER(G312))),702010,IF(ISNUMBER(SEARCH("ALQUILER",UPPER(G312))),702010,IF(ISNUMBER(SEARCH("AUDITORIA",UPPER(G312))),702010,IF(ISNUMBER(SEARCH("PRESTACIONAL",UPPER(G312))),702010,702010))))))))))))</f>
        <v/>
      </c>
      <c r="I312" s="122" t="n"/>
      <c r="J312" s="122" t="n"/>
      <c r="K312" s="123">
        <f>IF(N(I312)&gt;0,ROUND(N(I312)*IVA_general,2),0)</f>
        <v/>
      </c>
      <c r="L312" s="122" t="n">
        <v>0</v>
      </c>
      <c r="M312" s="122" t="n"/>
      <c r="N312" s="123">
        <f>IF(SUM(I312:M312)=0,"",SUM(I312:M312))</f>
        <v/>
      </c>
      <c r="O312" s="124">
        <f>IF(A312="","",TEXT(A312,"yyyy-mm"))</f>
        <v/>
      </c>
      <c r="P312" s="121">
        <f>IF(A312="","",YEAR(A312))</f>
        <v/>
      </c>
      <c r="Q312" s="121">
        <f>IF(A312="","",MONTH(A312))</f>
        <v/>
      </c>
      <c r="R312" s="116" t="n"/>
      <c r="S312" s="116" t="n"/>
      <c r="T312" s="120" t="n"/>
      <c r="U312" s="122" t="n">
        <v>0</v>
      </c>
      <c r="V312" s="123">
        <f>IF(B312="","",N312-U312)</f>
        <v/>
      </c>
      <c r="W312" s="116" t="n"/>
      <c r="X312" s="125">
        <f>IF(B312="","",IF(LEFT(B312,2)="NC",-1,1))</f>
        <v/>
      </c>
      <c r="Y312" s="123">
        <f>IF(B312="",0,N(I312)*X312)</f>
        <v/>
      </c>
      <c r="Z312" s="123">
        <f>IF(B312="",0,N(J312)*X312)</f>
        <v/>
      </c>
      <c r="AA312" s="123">
        <f>IF(B312="",0,N(K312)*X312)</f>
        <v/>
      </c>
      <c r="AB312" s="123">
        <f>IF(B312="",0,N(L312)*X312)</f>
        <v/>
      </c>
      <c r="AC312" s="123">
        <f>IF(B312="",0,N(N312)*X312)</f>
        <v/>
      </c>
    </row>
    <row r="313" ht="15" customHeight="1" s="83">
      <c r="A313" s="120" t="n"/>
      <c r="B313" s="116" t="n"/>
      <c r="C313" s="116" t="n"/>
      <c r="D313" s="116" t="n"/>
      <c r="E313" s="116" t="n"/>
      <c r="F313" s="116" t="n"/>
      <c r="G313" s="116" t="n"/>
      <c r="H313" s="121">
        <f>IF(G313="","",IF(ISNUMBER(SEARCH("CAPITA",UPPER(G313))),651110,IF(ISNUMBER(SEARCH("REFUERZO",UPPER(G313))),651110,IF(ISNUMBER(SEARCH("VACUNACION",UPPER(G313))),651110,IF(ISNUMBER(SEARCH("ENFERMERIA",UPPER(G313))),651110,IF(ISNUMBER(SEARCH("APORTES",UPPER(G313))),651110,IF(ISNUMBER(SEARCH("HONORARIOS",UPPER(G313))),702010,IF(ISNUMBER(SEARCH("ADMINISTRACION",UPPER(G313))),702010,IF(ISNUMBER(SEARCH("GERENCIAMIENTO",UPPER(G313))),702010,IF(ISNUMBER(SEARCH("ALQUILER",UPPER(G313))),702010,IF(ISNUMBER(SEARCH("AUDITORIA",UPPER(G313))),702010,IF(ISNUMBER(SEARCH("PRESTACIONAL",UPPER(G313))),702010,702010))))))))))))</f>
        <v/>
      </c>
      <c r="I313" s="122" t="n"/>
      <c r="J313" s="122" t="n"/>
      <c r="K313" s="123">
        <f>IF(N(I313)&gt;0,ROUND(N(I313)*IVA_general,2),0)</f>
        <v/>
      </c>
      <c r="L313" s="122" t="n">
        <v>0</v>
      </c>
      <c r="M313" s="122" t="n"/>
      <c r="N313" s="123">
        <f>IF(SUM(I313:M313)=0,"",SUM(I313:M313))</f>
        <v/>
      </c>
      <c r="O313" s="124">
        <f>IF(A313="","",TEXT(A313,"yyyy-mm"))</f>
        <v/>
      </c>
      <c r="P313" s="121">
        <f>IF(A313="","",YEAR(A313))</f>
        <v/>
      </c>
      <c r="Q313" s="121">
        <f>IF(A313="","",MONTH(A313))</f>
        <v/>
      </c>
      <c r="R313" s="116" t="n"/>
      <c r="S313" s="116" t="n"/>
      <c r="T313" s="120" t="n"/>
      <c r="U313" s="122" t="n">
        <v>0</v>
      </c>
      <c r="V313" s="123">
        <f>IF(B313="","",N313-U313)</f>
        <v/>
      </c>
      <c r="W313" s="116" t="n"/>
      <c r="X313" s="125">
        <f>IF(B313="","",IF(LEFT(B313,2)="NC",-1,1))</f>
        <v/>
      </c>
      <c r="Y313" s="123">
        <f>IF(B313="",0,N(I313)*X313)</f>
        <v/>
      </c>
      <c r="Z313" s="123">
        <f>IF(B313="",0,N(J313)*X313)</f>
        <v/>
      </c>
      <c r="AA313" s="123">
        <f>IF(B313="",0,N(K313)*X313)</f>
        <v/>
      </c>
      <c r="AB313" s="123">
        <f>IF(B313="",0,N(L313)*X313)</f>
        <v/>
      </c>
      <c r="AC313" s="123">
        <f>IF(B313="",0,N(N313)*X313)</f>
        <v/>
      </c>
    </row>
    <row r="314" ht="15" customHeight="1" s="83">
      <c r="A314" s="120" t="n"/>
      <c r="B314" s="116" t="n"/>
      <c r="C314" s="116" t="n"/>
      <c r="D314" s="116" t="n"/>
      <c r="E314" s="116" t="n"/>
      <c r="F314" s="116" t="n"/>
      <c r="G314" s="116" t="n"/>
      <c r="H314" s="121">
        <f>IF(G314="","",IF(ISNUMBER(SEARCH("CAPITA",UPPER(G314))),651110,IF(ISNUMBER(SEARCH("REFUERZO",UPPER(G314))),651110,IF(ISNUMBER(SEARCH("VACUNACION",UPPER(G314))),651110,IF(ISNUMBER(SEARCH("ENFERMERIA",UPPER(G314))),651110,IF(ISNUMBER(SEARCH("APORTES",UPPER(G314))),651110,IF(ISNUMBER(SEARCH("HONORARIOS",UPPER(G314))),702010,IF(ISNUMBER(SEARCH("ADMINISTRACION",UPPER(G314))),702010,IF(ISNUMBER(SEARCH("GERENCIAMIENTO",UPPER(G314))),702010,IF(ISNUMBER(SEARCH("ALQUILER",UPPER(G314))),702010,IF(ISNUMBER(SEARCH("AUDITORIA",UPPER(G314))),702010,IF(ISNUMBER(SEARCH("PRESTACIONAL",UPPER(G314))),702010,702010))))))))))))</f>
        <v/>
      </c>
      <c r="I314" s="122" t="n"/>
      <c r="J314" s="122" t="n"/>
      <c r="K314" s="123">
        <f>IF(N(I314)&gt;0,ROUND(N(I314)*IVA_general,2),0)</f>
        <v/>
      </c>
      <c r="L314" s="122" t="n">
        <v>0</v>
      </c>
      <c r="M314" s="122" t="n"/>
      <c r="N314" s="123">
        <f>IF(SUM(I314:M314)=0,"",SUM(I314:M314))</f>
        <v/>
      </c>
      <c r="O314" s="124">
        <f>IF(A314="","",TEXT(A314,"yyyy-mm"))</f>
        <v/>
      </c>
      <c r="P314" s="121">
        <f>IF(A314="","",YEAR(A314))</f>
        <v/>
      </c>
      <c r="Q314" s="121">
        <f>IF(A314="","",MONTH(A314))</f>
        <v/>
      </c>
      <c r="R314" s="116" t="n"/>
      <c r="S314" s="116" t="n"/>
      <c r="T314" s="120" t="n"/>
      <c r="U314" s="122" t="n">
        <v>0</v>
      </c>
      <c r="V314" s="123">
        <f>IF(B314="","",N314-U314)</f>
        <v/>
      </c>
      <c r="W314" s="116" t="n"/>
      <c r="X314" s="125">
        <f>IF(B314="","",IF(LEFT(B314,2)="NC",-1,1))</f>
        <v/>
      </c>
      <c r="Y314" s="123">
        <f>IF(B314="",0,N(I314)*X314)</f>
        <v/>
      </c>
      <c r="Z314" s="123">
        <f>IF(B314="",0,N(J314)*X314)</f>
        <v/>
      </c>
      <c r="AA314" s="123">
        <f>IF(B314="",0,N(K314)*X314)</f>
        <v/>
      </c>
      <c r="AB314" s="123">
        <f>IF(B314="",0,N(L314)*X314)</f>
        <v/>
      </c>
      <c r="AC314" s="123">
        <f>IF(B314="",0,N(N314)*X314)</f>
        <v/>
      </c>
    </row>
    <row r="315" ht="15" customHeight="1" s="83">
      <c r="A315" s="120" t="n"/>
      <c r="B315" s="116" t="n"/>
      <c r="C315" s="116" t="n"/>
      <c r="D315" s="116" t="n"/>
      <c r="E315" s="116" t="n"/>
      <c r="F315" s="116" t="n"/>
      <c r="G315" s="116" t="n"/>
      <c r="H315" s="121">
        <f>IF(G315="","",IF(ISNUMBER(SEARCH("CAPITA",UPPER(G315))),651110,IF(ISNUMBER(SEARCH("REFUERZO",UPPER(G315))),651110,IF(ISNUMBER(SEARCH("VACUNACION",UPPER(G315))),651110,IF(ISNUMBER(SEARCH("ENFERMERIA",UPPER(G315))),651110,IF(ISNUMBER(SEARCH("APORTES",UPPER(G315))),651110,IF(ISNUMBER(SEARCH("HONORARIOS",UPPER(G315))),702010,IF(ISNUMBER(SEARCH("ADMINISTRACION",UPPER(G315))),702010,IF(ISNUMBER(SEARCH("GERENCIAMIENTO",UPPER(G315))),702010,IF(ISNUMBER(SEARCH("ALQUILER",UPPER(G315))),702010,IF(ISNUMBER(SEARCH("AUDITORIA",UPPER(G315))),702010,IF(ISNUMBER(SEARCH("PRESTACIONAL",UPPER(G315))),702010,702010))))))))))))</f>
        <v/>
      </c>
      <c r="I315" s="122" t="n"/>
      <c r="J315" s="122" t="n"/>
      <c r="K315" s="123">
        <f>IF(N(I315)&gt;0,ROUND(N(I315)*IVA_general,2),0)</f>
        <v/>
      </c>
      <c r="L315" s="122" t="n">
        <v>0</v>
      </c>
      <c r="M315" s="122" t="n"/>
      <c r="N315" s="123">
        <f>IF(SUM(I315:M315)=0,"",SUM(I315:M315))</f>
        <v/>
      </c>
      <c r="O315" s="124">
        <f>IF(A315="","",TEXT(A315,"yyyy-mm"))</f>
        <v/>
      </c>
      <c r="P315" s="121">
        <f>IF(A315="","",YEAR(A315))</f>
        <v/>
      </c>
      <c r="Q315" s="121">
        <f>IF(A315="","",MONTH(A315))</f>
        <v/>
      </c>
      <c r="R315" s="116" t="n"/>
      <c r="S315" s="116" t="n"/>
      <c r="T315" s="120" t="n"/>
      <c r="U315" s="122" t="n">
        <v>0</v>
      </c>
      <c r="V315" s="123">
        <f>IF(B315="","",N315-U315)</f>
        <v/>
      </c>
      <c r="W315" s="116" t="n"/>
      <c r="X315" s="125">
        <f>IF(B315="","",IF(LEFT(B315,2)="NC",-1,1))</f>
        <v/>
      </c>
      <c r="Y315" s="123">
        <f>IF(B315="",0,N(I315)*X315)</f>
        <v/>
      </c>
      <c r="Z315" s="123">
        <f>IF(B315="",0,N(J315)*X315)</f>
        <v/>
      </c>
      <c r="AA315" s="123">
        <f>IF(B315="",0,N(K315)*X315)</f>
        <v/>
      </c>
      <c r="AB315" s="123">
        <f>IF(B315="",0,N(L315)*X315)</f>
        <v/>
      </c>
      <c r="AC315" s="123">
        <f>IF(B315="",0,N(N315)*X315)</f>
        <v/>
      </c>
    </row>
    <row r="316" ht="15" customHeight="1" s="83">
      <c r="A316" s="120" t="n"/>
      <c r="B316" s="116" t="n"/>
      <c r="C316" s="116" t="n"/>
      <c r="D316" s="116" t="n"/>
      <c r="E316" s="116" t="n"/>
      <c r="F316" s="116" t="n"/>
      <c r="G316" s="116" t="n"/>
      <c r="H316" s="121">
        <f>IF(G316="","",IF(ISNUMBER(SEARCH("CAPITA",UPPER(G316))),651110,IF(ISNUMBER(SEARCH("REFUERZO",UPPER(G316))),651110,IF(ISNUMBER(SEARCH("VACUNACION",UPPER(G316))),651110,IF(ISNUMBER(SEARCH("ENFERMERIA",UPPER(G316))),651110,IF(ISNUMBER(SEARCH("APORTES",UPPER(G316))),651110,IF(ISNUMBER(SEARCH("HONORARIOS",UPPER(G316))),702010,IF(ISNUMBER(SEARCH("ADMINISTRACION",UPPER(G316))),702010,IF(ISNUMBER(SEARCH("GERENCIAMIENTO",UPPER(G316))),702010,IF(ISNUMBER(SEARCH("ALQUILER",UPPER(G316))),702010,IF(ISNUMBER(SEARCH("AUDITORIA",UPPER(G316))),702010,IF(ISNUMBER(SEARCH("PRESTACIONAL",UPPER(G316))),702010,702010))))))))))))</f>
        <v/>
      </c>
      <c r="I316" s="122" t="n"/>
      <c r="J316" s="122" t="n"/>
      <c r="K316" s="123">
        <f>IF(N(I316)&gt;0,ROUND(N(I316)*IVA_general,2),0)</f>
        <v/>
      </c>
      <c r="L316" s="122" t="n">
        <v>0</v>
      </c>
      <c r="M316" s="122" t="n"/>
      <c r="N316" s="123">
        <f>IF(SUM(I316:M316)=0,"",SUM(I316:M316))</f>
        <v/>
      </c>
      <c r="O316" s="124">
        <f>IF(A316="","",TEXT(A316,"yyyy-mm"))</f>
        <v/>
      </c>
      <c r="P316" s="121">
        <f>IF(A316="","",YEAR(A316))</f>
        <v/>
      </c>
      <c r="Q316" s="121">
        <f>IF(A316="","",MONTH(A316))</f>
        <v/>
      </c>
      <c r="R316" s="116" t="n"/>
      <c r="S316" s="116" t="n"/>
      <c r="T316" s="120" t="n"/>
      <c r="U316" s="122" t="n">
        <v>0</v>
      </c>
      <c r="V316" s="123">
        <f>IF(B316="","",N316-U316)</f>
        <v/>
      </c>
      <c r="W316" s="116" t="n"/>
      <c r="X316" s="125">
        <f>IF(B316="","",IF(LEFT(B316,2)="NC",-1,1))</f>
        <v/>
      </c>
      <c r="Y316" s="123">
        <f>IF(B316="",0,N(I316)*X316)</f>
        <v/>
      </c>
      <c r="Z316" s="123">
        <f>IF(B316="",0,N(J316)*X316)</f>
        <v/>
      </c>
      <c r="AA316" s="123">
        <f>IF(B316="",0,N(K316)*X316)</f>
        <v/>
      </c>
      <c r="AB316" s="123">
        <f>IF(B316="",0,N(L316)*X316)</f>
        <v/>
      </c>
      <c r="AC316" s="123">
        <f>IF(B316="",0,N(N316)*X316)</f>
        <v/>
      </c>
    </row>
    <row r="317" ht="15" customHeight="1" s="83">
      <c r="A317" s="120" t="n"/>
      <c r="B317" s="116" t="n"/>
      <c r="C317" s="116" t="n"/>
      <c r="D317" s="116" t="n"/>
      <c r="E317" s="116" t="n"/>
      <c r="F317" s="116" t="n"/>
      <c r="G317" s="116" t="n"/>
      <c r="H317" s="121">
        <f>IF(G317="","",IF(ISNUMBER(SEARCH("CAPITA",UPPER(G317))),651110,IF(ISNUMBER(SEARCH("REFUERZO",UPPER(G317))),651110,IF(ISNUMBER(SEARCH("VACUNACION",UPPER(G317))),651110,IF(ISNUMBER(SEARCH("ENFERMERIA",UPPER(G317))),651110,IF(ISNUMBER(SEARCH("APORTES",UPPER(G317))),651110,IF(ISNUMBER(SEARCH("HONORARIOS",UPPER(G317))),702010,IF(ISNUMBER(SEARCH("ADMINISTRACION",UPPER(G317))),702010,IF(ISNUMBER(SEARCH("GERENCIAMIENTO",UPPER(G317))),702010,IF(ISNUMBER(SEARCH("ALQUILER",UPPER(G317))),702010,IF(ISNUMBER(SEARCH("AUDITORIA",UPPER(G317))),702010,IF(ISNUMBER(SEARCH("PRESTACIONAL",UPPER(G317))),702010,702010))))))))))))</f>
        <v/>
      </c>
      <c r="I317" s="122" t="n"/>
      <c r="J317" s="122" t="n"/>
      <c r="K317" s="123">
        <f>IF(N(I317)&gt;0,ROUND(N(I317)*IVA_general,2),0)</f>
        <v/>
      </c>
      <c r="L317" s="122" t="n">
        <v>0</v>
      </c>
      <c r="M317" s="122" t="n"/>
      <c r="N317" s="123">
        <f>IF(SUM(I317:M317)=0,"",SUM(I317:M317))</f>
        <v/>
      </c>
      <c r="O317" s="124">
        <f>IF(A317="","",TEXT(A317,"yyyy-mm"))</f>
        <v/>
      </c>
      <c r="P317" s="121">
        <f>IF(A317="","",YEAR(A317))</f>
        <v/>
      </c>
      <c r="Q317" s="121">
        <f>IF(A317="","",MONTH(A317))</f>
        <v/>
      </c>
      <c r="R317" s="116" t="n"/>
      <c r="S317" s="116" t="n"/>
      <c r="T317" s="120" t="n"/>
      <c r="U317" s="122" t="n">
        <v>0</v>
      </c>
      <c r="V317" s="123">
        <f>IF(B317="","",N317-U317)</f>
        <v/>
      </c>
      <c r="W317" s="116" t="n"/>
      <c r="X317" s="125">
        <f>IF(B317="","",IF(LEFT(B317,2)="NC",-1,1))</f>
        <v/>
      </c>
      <c r="Y317" s="123">
        <f>IF(B317="",0,N(I317)*X317)</f>
        <v/>
      </c>
      <c r="Z317" s="123">
        <f>IF(B317="",0,N(J317)*X317)</f>
        <v/>
      </c>
      <c r="AA317" s="123">
        <f>IF(B317="",0,N(K317)*X317)</f>
        <v/>
      </c>
      <c r="AB317" s="123">
        <f>IF(B317="",0,N(L317)*X317)</f>
        <v/>
      </c>
      <c r="AC317" s="123">
        <f>IF(B317="",0,N(N317)*X317)</f>
        <v/>
      </c>
    </row>
    <row r="318" ht="15" customHeight="1" s="83">
      <c r="A318" s="120" t="n"/>
      <c r="B318" s="116" t="n"/>
      <c r="C318" s="116" t="n"/>
      <c r="D318" s="116" t="n"/>
      <c r="E318" s="116" t="n"/>
      <c r="F318" s="116" t="n"/>
      <c r="G318" s="116" t="n"/>
      <c r="H318" s="121">
        <f>IF(G318="","",IF(ISNUMBER(SEARCH("CAPITA",UPPER(G318))),651110,IF(ISNUMBER(SEARCH("REFUERZO",UPPER(G318))),651110,IF(ISNUMBER(SEARCH("VACUNACION",UPPER(G318))),651110,IF(ISNUMBER(SEARCH("ENFERMERIA",UPPER(G318))),651110,IF(ISNUMBER(SEARCH("APORTES",UPPER(G318))),651110,IF(ISNUMBER(SEARCH("HONORARIOS",UPPER(G318))),702010,IF(ISNUMBER(SEARCH("ADMINISTRACION",UPPER(G318))),702010,IF(ISNUMBER(SEARCH("GERENCIAMIENTO",UPPER(G318))),702010,IF(ISNUMBER(SEARCH("ALQUILER",UPPER(G318))),702010,IF(ISNUMBER(SEARCH("AUDITORIA",UPPER(G318))),702010,IF(ISNUMBER(SEARCH("PRESTACIONAL",UPPER(G318))),702010,702010))))))))))))</f>
        <v/>
      </c>
      <c r="I318" s="122" t="n"/>
      <c r="J318" s="122" t="n"/>
      <c r="K318" s="123">
        <f>IF(N(I318)&gt;0,ROUND(N(I318)*IVA_general,2),0)</f>
        <v/>
      </c>
      <c r="L318" s="122" t="n">
        <v>0</v>
      </c>
      <c r="M318" s="122" t="n"/>
      <c r="N318" s="123">
        <f>IF(SUM(I318:M318)=0,"",SUM(I318:M318))</f>
        <v/>
      </c>
      <c r="O318" s="124">
        <f>IF(A318="","",TEXT(A318,"yyyy-mm"))</f>
        <v/>
      </c>
      <c r="P318" s="121">
        <f>IF(A318="","",YEAR(A318))</f>
        <v/>
      </c>
      <c r="Q318" s="121">
        <f>IF(A318="","",MONTH(A318))</f>
        <v/>
      </c>
      <c r="R318" s="116" t="n"/>
      <c r="S318" s="116" t="n"/>
      <c r="T318" s="120" t="n"/>
      <c r="U318" s="122" t="n">
        <v>0</v>
      </c>
      <c r="V318" s="123">
        <f>IF(B318="","",N318-U318)</f>
        <v/>
      </c>
      <c r="W318" s="116" t="n"/>
      <c r="X318" s="125">
        <f>IF(B318="","",IF(LEFT(B318,2)="NC",-1,1))</f>
        <v/>
      </c>
      <c r="Y318" s="123">
        <f>IF(B318="",0,N(I318)*X318)</f>
        <v/>
      </c>
      <c r="Z318" s="123">
        <f>IF(B318="",0,N(J318)*X318)</f>
        <v/>
      </c>
      <c r="AA318" s="123">
        <f>IF(B318="",0,N(K318)*X318)</f>
        <v/>
      </c>
      <c r="AB318" s="123">
        <f>IF(B318="",0,N(L318)*X318)</f>
        <v/>
      </c>
      <c r="AC318" s="123">
        <f>IF(B318="",0,N(N318)*X318)</f>
        <v/>
      </c>
    </row>
    <row r="319" ht="15" customHeight="1" s="83">
      <c r="A319" s="120" t="n"/>
      <c r="B319" s="116" t="n"/>
      <c r="C319" s="116" t="n"/>
      <c r="D319" s="116" t="n"/>
      <c r="E319" s="116" t="n"/>
      <c r="F319" s="116" t="n"/>
      <c r="G319" s="116" t="n"/>
      <c r="H319" s="121">
        <f>IF(G319="","",IF(ISNUMBER(SEARCH("CAPITA",UPPER(G319))),651110,IF(ISNUMBER(SEARCH("REFUERZO",UPPER(G319))),651110,IF(ISNUMBER(SEARCH("VACUNACION",UPPER(G319))),651110,IF(ISNUMBER(SEARCH("ENFERMERIA",UPPER(G319))),651110,IF(ISNUMBER(SEARCH("APORTES",UPPER(G319))),651110,IF(ISNUMBER(SEARCH("HONORARIOS",UPPER(G319))),702010,IF(ISNUMBER(SEARCH("ADMINISTRACION",UPPER(G319))),702010,IF(ISNUMBER(SEARCH("GERENCIAMIENTO",UPPER(G319))),702010,IF(ISNUMBER(SEARCH("ALQUILER",UPPER(G319))),702010,IF(ISNUMBER(SEARCH("AUDITORIA",UPPER(G319))),702010,IF(ISNUMBER(SEARCH("PRESTACIONAL",UPPER(G319))),702010,702010))))))))))))</f>
        <v/>
      </c>
      <c r="I319" s="122" t="n"/>
      <c r="J319" s="122" t="n"/>
      <c r="K319" s="123">
        <f>IF(N(I319)&gt;0,ROUND(N(I319)*IVA_general,2),0)</f>
        <v/>
      </c>
      <c r="L319" s="122" t="n">
        <v>0</v>
      </c>
      <c r="M319" s="122" t="n"/>
      <c r="N319" s="123">
        <f>IF(SUM(I319:M319)=0,"",SUM(I319:M319))</f>
        <v/>
      </c>
      <c r="O319" s="124">
        <f>IF(A319="","",TEXT(A319,"yyyy-mm"))</f>
        <v/>
      </c>
      <c r="P319" s="121">
        <f>IF(A319="","",YEAR(A319))</f>
        <v/>
      </c>
      <c r="Q319" s="121">
        <f>IF(A319="","",MONTH(A319))</f>
        <v/>
      </c>
      <c r="R319" s="116" t="n"/>
      <c r="S319" s="116" t="n"/>
      <c r="T319" s="120" t="n"/>
      <c r="U319" s="122" t="n">
        <v>0</v>
      </c>
      <c r="V319" s="123">
        <f>IF(B319="","",N319-U319)</f>
        <v/>
      </c>
      <c r="W319" s="116" t="n"/>
      <c r="X319" s="125">
        <f>IF(B319="","",IF(LEFT(B319,2)="NC",-1,1))</f>
        <v/>
      </c>
      <c r="Y319" s="123">
        <f>IF(B319="",0,N(I319)*X319)</f>
        <v/>
      </c>
      <c r="Z319" s="123">
        <f>IF(B319="",0,N(J319)*X319)</f>
        <v/>
      </c>
      <c r="AA319" s="123">
        <f>IF(B319="",0,N(K319)*X319)</f>
        <v/>
      </c>
      <c r="AB319" s="123">
        <f>IF(B319="",0,N(L319)*X319)</f>
        <v/>
      </c>
      <c r="AC319" s="123">
        <f>IF(B319="",0,N(N319)*X319)</f>
        <v/>
      </c>
    </row>
    <row r="320" ht="15" customHeight="1" s="83">
      <c r="A320" s="120" t="n"/>
      <c r="B320" s="116" t="n"/>
      <c r="C320" s="116" t="n"/>
      <c r="D320" s="116" t="n"/>
      <c r="E320" s="116" t="n"/>
      <c r="F320" s="116" t="n"/>
      <c r="G320" s="116" t="n"/>
      <c r="H320" s="121">
        <f>IF(G320="","",IF(ISNUMBER(SEARCH("CAPITA",UPPER(G320))),651110,IF(ISNUMBER(SEARCH("REFUERZO",UPPER(G320))),651110,IF(ISNUMBER(SEARCH("VACUNACION",UPPER(G320))),651110,IF(ISNUMBER(SEARCH("ENFERMERIA",UPPER(G320))),651110,IF(ISNUMBER(SEARCH("APORTES",UPPER(G320))),651110,IF(ISNUMBER(SEARCH("HONORARIOS",UPPER(G320))),702010,IF(ISNUMBER(SEARCH("ADMINISTRACION",UPPER(G320))),702010,IF(ISNUMBER(SEARCH("GERENCIAMIENTO",UPPER(G320))),702010,IF(ISNUMBER(SEARCH("ALQUILER",UPPER(G320))),702010,IF(ISNUMBER(SEARCH("AUDITORIA",UPPER(G320))),702010,IF(ISNUMBER(SEARCH("PRESTACIONAL",UPPER(G320))),702010,702010))))))))))))</f>
        <v/>
      </c>
      <c r="I320" s="122" t="n"/>
      <c r="J320" s="122" t="n"/>
      <c r="K320" s="123">
        <f>IF(N(I320)&gt;0,ROUND(N(I320)*IVA_general,2),0)</f>
        <v/>
      </c>
      <c r="L320" s="122" t="n">
        <v>0</v>
      </c>
      <c r="M320" s="122" t="n"/>
      <c r="N320" s="123">
        <f>IF(SUM(I320:M320)=0,"",SUM(I320:M320))</f>
        <v/>
      </c>
      <c r="O320" s="124">
        <f>IF(A320="","",TEXT(A320,"yyyy-mm"))</f>
        <v/>
      </c>
      <c r="P320" s="121">
        <f>IF(A320="","",YEAR(A320))</f>
        <v/>
      </c>
      <c r="Q320" s="121">
        <f>IF(A320="","",MONTH(A320))</f>
        <v/>
      </c>
      <c r="R320" s="116" t="n"/>
      <c r="S320" s="116" t="n"/>
      <c r="T320" s="120" t="n"/>
      <c r="U320" s="122" t="n">
        <v>0</v>
      </c>
      <c r="V320" s="123">
        <f>IF(B320="","",N320-U320)</f>
        <v/>
      </c>
      <c r="W320" s="116" t="n"/>
      <c r="X320" s="125">
        <f>IF(B320="","",IF(LEFT(B320,2)="NC",-1,1))</f>
        <v/>
      </c>
      <c r="Y320" s="123">
        <f>IF(B320="",0,N(I320)*X320)</f>
        <v/>
      </c>
      <c r="Z320" s="123">
        <f>IF(B320="",0,N(J320)*X320)</f>
        <v/>
      </c>
      <c r="AA320" s="123">
        <f>IF(B320="",0,N(K320)*X320)</f>
        <v/>
      </c>
      <c r="AB320" s="123">
        <f>IF(B320="",0,N(L320)*X320)</f>
        <v/>
      </c>
      <c r="AC320" s="123">
        <f>IF(B320="",0,N(N320)*X320)</f>
        <v/>
      </c>
    </row>
    <row r="321" ht="15" customHeight="1" s="83">
      <c r="A321" s="120" t="n"/>
      <c r="B321" s="116" t="n"/>
      <c r="C321" s="116" t="n"/>
      <c r="D321" s="116" t="n"/>
      <c r="E321" s="116" t="n"/>
      <c r="F321" s="116" t="n"/>
      <c r="G321" s="116" t="n"/>
      <c r="H321" s="121">
        <f>IF(G321="","",IF(ISNUMBER(SEARCH("CAPITA",UPPER(G321))),651110,IF(ISNUMBER(SEARCH("REFUERZO",UPPER(G321))),651110,IF(ISNUMBER(SEARCH("VACUNACION",UPPER(G321))),651110,IF(ISNUMBER(SEARCH("ENFERMERIA",UPPER(G321))),651110,IF(ISNUMBER(SEARCH("APORTES",UPPER(G321))),651110,IF(ISNUMBER(SEARCH("HONORARIOS",UPPER(G321))),702010,IF(ISNUMBER(SEARCH("ADMINISTRACION",UPPER(G321))),702010,IF(ISNUMBER(SEARCH("GERENCIAMIENTO",UPPER(G321))),702010,IF(ISNUMBER(SEARCH("ALQUILER",UPPER(G321))),702010,IF(ISNUMBER(SEARCH("AUDITORIA",UPPER(G321))),702010,IF(ISNUMBER(SEARCH("PRESTACIONAL",UPPER(G321))),702010,702010))))))))))))</f>
        <v/>
      </c>
      <c r="I321" s="122" t="n"/>
      <c r="J321" s="122" t="n"/>
      <c r="K321" s="123">
        <f>IF(N(I321)&gt;0,ROUND(N(I321)*IVA_general,2),0)</f>
        <v/>
      </c>
      <c r="L321" s="122" t="n">
        <v>0</v>
      </c>
      <c r="M321" s="122" t="n"/>
      <c r="N321" s="123">
        <f>IF(SUM(I321:M321)=0,"",SUM(I321:M321))</f>
        <v/>
      </c>
      <c r="O321" s="124">
        <f>IF(A321="","",TEXT(A321,"yyyy-mm"))</f>
        <v/>
      </c>
      <c r="P321" s="121">
        <f>IF(A321="","",YEAR(A321))</f>
        <v/>
      </c>
      <c r="Q321" s="121">
        <f>IF(A321="","",MONTH(A321))</f>
        <v/>
      </c>
      <c r="R321" s="116" t="n"/>
      <c r="S321" s="116" t="n"/>
      <c r="T321" s="120" t="n"/>
      <c r="U321" s="122" t="n">
        <v>0</v>
      </c>
      <c r="V321" s="123">
        <f>IF(B321="","",N321-U321)</f>
        <v/>
      </c>
      <c r="W321" s="116" t="n"/>
      <c r="X321" s="125">
        <f>IF(B321="","",IF(LEFT(B321,2)="NC",-1,1))</f>
        <v/>
      </c>
      <c r="Y321" s="123">
        <f>IF(B321="",0,N(I321)*X321)</f>
        <v/>
      </c>
      <c r="Z321" s="123">
        <f>IF(B321="",0,N(J321)*X321)</f>
        <v/>
      </c>
      <c r="AA321" s="123">
        <f>IF(B321="",0,N(K321)*X321)</f>
        <v/>
      </c>
      <c r="AB321" s="123">
        <f>IF(B321="",0,N(L321)*X321)</f>
        <v/>
      </c>
      <c r="AC321" s="123">
        <f>IF(B321="",0,N(N321)*X321)</f>
        <v/>
      </c>
    </row>
    <row r="322" ht="15" customHeight="1" s="83">
      <c r="A322" s="120" t="n"/>
      <c r="B322" s="116" t="n"/>
      <c r="C322" s="116" t="n"/>
      <c r="D322" s="116" t="n"/>
      <c r="E322" s="116" t="n"/>
      <c r="F322" s="116" t="n"/>
      <c r="G322" s="116" t="n"/>
      <c r="H322" s="121">
        <f>IF(G322="","",IF(ISNUMBER(SEARCH("CAPITA",UPPER(G322))),651110,IF(ISNUMBER(SEARCH("REFUERZO",UPPER(G322))),651110,IF(ISNUMBER(SEARCH("VACUNACION",UPPER(G322))),651110,IF(ISNUMBER(SEARCH("ENFERMERIA",UPPER(G322))),651110,IF(ISNUMBER(SEARCH("APORTES",UPPER(G322))),651110,IF(ISNUMBER(SEARCH("HONORARIOS",UPPER(G322))),702010,IF(ISNUMBER(SEARCH("ADMINISTRACION",UPPER(G322))),702010,IF(ISNUMBER(SEARCH("GERENCIAMIENTO",UPPER(G322))),702010,IF(ISNUMBER(SEARCH("ALQUILER",UPPER(G322))),702010,IF(ISNUMBER(SEARCH("AUDITORIA",UPPER(G322))),702010,IF(ISNUMBER(SEARCH("PRESTACIONAL",UPPER(G322))),702010,702010))))))))))))</f>
        <v/>
      </c>
      <c r="I322" s="122" t="n"/>
      <c r="J322" s="122" t="n"/>
      <c r="K322" s="123">
        <f>IF(N(I322)&gt;0,ROUND(N(I322)*IVA_general,2),0)</f>
        <v/>
      </c>
      <c r="L322" s="122" t="n">
        <v>0</v>
      </c>
      <c r="M322" s="122" t="n"/>
      <c r="N322" s="123">
        <f>IF(SUM(I322:M322)=0,"",SUM(I322:M322))</f>
        <v/>
      </c>
      <c r="O322" s="124">
        <f>IF(A322="","",TEXT(A322,"yyyy-mm"))</f>
        <v/>
      </c>
      <c r="P322" s="121">
        <f>IF(A322="","",YEAR(A322))</f>
        <v/>
      </c>
      <c r="Q322" s="121">
        <f>IF(A322="","",MONTH(A322))</f>
        <v/>
      </c>
      <c r="R322" s="116" t="n"/>
      <c r="S322" s="116" t="n"/>
      <c r="T322" s="120" t="n"/>
      <c r="U322" s="122" t="n">
        <v>0</v>
      </c>
      <c r="V322" s="123">
        <f>IF(B322="","",N322-U322)</f>
        <v/>
      </c>
      <c r="W322" s="116" t="n"/>
      <c r="X322" s="125">
        <f>IF(B322="","",IF(LEFT(B322,2)="NC",-1,1))</f>
        <v/>
      </c>
      <c r="Y322" s="123">
        <f>IF(B322="",0,N(I322)*X322)</f>
        <v/>
      </c>
      <c r="Z322" s="123">
        <f>IF(B322="",0,N(J322)*X322)</f>
        <v/>
      </c>
      <c r="AA322" s="123">
        <f>IF(B322="",0,N(K322)*X322)</f>
        <v/>
      </c>
      <c r="AB322" s="123">
        <f>IF(B322="",0,N(L322)*X322)</f>
        <v/>
      </c>
      <c r="AC322" s="123">
        <f>IF(B322="",0,N(N322)*X322)</f>
        <v/>
      </c>
    </row>
    <row r="323" ht="15" customHeight="1" s="83">
      <c r="A323" s="120" t="n"/>
      <c r="B323" s="116" t="n"/>
      <c r="C323" s="116" t="n"/>
      <c r="D323" s="116" t="n"/>
      <c r="E323" s="116" t="n"/>
      <c r="F323" s="116" t="n"/>
      <c r="G323" s="116" t="n"/>
      <c r="H323" s="121">
        <f>IF(G323="","",IF(ISNUMBER(SEARCH("CAPITA",UPPER(G323))),651110,IF(ISNUMBER(SEARCH("REFUERZO",UPPER(G323))),651110,IF(ISNUMBER(SEARCH("VACUNACION",UPPER(G323))),651110,IF(ISNUMBER(SEARCH("ENFERMERIA",UPPER(G323))),651110,IF(ISNUMBER(SEARCH("APORTES",UPPER(G323))),651110,IF(ISNUMBER(SEARCH("HONORARIOS",UPPER(G323))),702010,IF(ISNUMBER(SEARCH("ADMINISTRACION",UPPER(G323))),702010,IF(ISNUMBER(SEARCH("GERENCIAMIENTO",UPPER(G323))),702010,IF(ISNUMBER(SEARCH("ALQUILER",UPPER(G323))),702010,IF(ISNUMBER(SEARCH("AUDITORIA",UPPER(G323))),702010,IF(ISNUMBER(SEARCH("PRESTACIONAL",UPPER(G323))),702010,702010))))))))))))</f>
        <v/>
      </c>
      <c r="I323" s="122" t="n"/>
      <c r="J323" s="122" t="n"/>
      <c r="K323" s="123">
        <f>IF(N(I323)&gt;0,ROUND(N(I323)*IVA_general,2),0)</f>
        <v/>
      </c>
      <c r="L323" s="122" t="n">
        <v>0</v>
      </c>
      <c r="M323" s="122" t="n"/>
      <c r="N323" s="123">
        <f>IF(SUM(I323:M323)=0,"",SUM(I323:M323))</f>
        <v/>
      </c>
      <c r="O323" s="124">
        <f>IF(A323="","",TEXT(A323,"yyyy-mm"))</f>
        <v/>
      </c>
      <c r="P323" s="121">
        <f>IF(A323="","",YEAR(A323))</f>
        <v/>
      </c>
      <c r="Q323" s="121">
        <f>IF(A323="","",MONTH(A323))</f>
        <v/>
      </c>
      <c r="R323" s="116" t="n"/>
      <c r="S323" s="116" t="n"/>
      <c r="T323" s="120" t="n"/>
      <c r="U323" s="122" t="n">
        <v>0</v>
      </c>
      <c r="V323" s="123">
        <f>IF(B323="","",N323-U323)</f>
        <v/>
      </c>
      <c r="W323" s="116" t="n"/>
      <c r="X323" s="125">
        <f>IF(B323="","",IF(LEFT(B323,2)="NC",-1,1))</f>
        <v/>
      </c>
      <c r="Y323" s="123">
        <f>IF(B323="",0,N(I323)*X323)</f>
        <v/>
      </c>
      <c r="Z323" s="123">
        <f>IF(B323="",0,N(J323)*X323)</f>
        <v/>
      </c>
      <c r="AA323" s="123">
        <f>IF(B323="",0,N(K323)*X323)</f>
        <v/>
      </c>
      <c r="AB323" s="123">
        <f>IF(B323="",0,N(L323)*X323)</f>
        <v/>
      </c>
      <c r="AC323" s="123">
        <f>IF(B323="",0,N(N323)*X323)</f>
        <v/>
      </c>
    </row>
    <row r="324" ht="15" customHeight="1" s="83">
      <c r="A324" s="120" t="n"/>
      <c r="B324" s="116" t="n"/>
      <c r="C324" s="116" t="n"/>
      <c r="D324" s="116" t="n"/>
      <c r="E324" s="116" t="n"/>
      <c r="F324" s="116" t="n"/>
      <c r="G324" s="116" t="n"/>
      <c r="H324" s="121">
        <f>IF(G324="","",IF(ISNUMBER(SEARCH("CAPITA",UPPER(G324))),651110,IF(ISNUMBER(SEARCH("REFUERZO",UPPER(G324))),651110,IF(ISNUMBER(SEARCH("VACUNACION",UPPER(G324))),651110,IF(ISNUMBER(SEARCH("ENFERMERIA",UPPER(G324))),651110,IF(ISNUMBER(SEARCH("APORTES",UPPER(G324))),651110,IF(ISNUMBER(SEARCH("HONORARIOS",UPPER(G324))),702010,IF(ISNUMBER(SEARCH("ADMINISTRACION",UPPER(G324))),702010,IF(ISNUMBER(SEARCH("GERENCIAMIENTO",UPPER(G324))),702010,IF(ISNUMBER(SEARCH("ALQUILER",UPPER(G324))),702010,IF(ISNUMBER(SEARCH("AUDITORIA",UPPER(G324))),702010,IF(ISNUMBER(SEARCH("PRESTACIONAL",UPPER(G324))),702010,702010))))))))))))</f>
        <v/>
      </c>
      <c r="I324" s="122" t="n"/>
      <c r="J324" s="122" t="n"/>
      <c r="K324" s="123">
        <f>IF(N(I324)&gt;0,ROUND(N(I324)*IVA_general,2),0)</f>
        <v/>
      </c>
      <c r="L324" s="122" t="n">
        <v>0</v>
      </c>
      <c r="M324" s="122" t="n"/>
      <c r="N324" s="123">
        <f>IF(SUM(I324:M324)=0,"",SUM(I324:M324))</f>
        <v/>
      </c>
      <c r="O324" s="124">
        <f>IF(A324="","",TEXT(A324,"yyyy-mm"))</f>
        <v/>
      </c>
      <c r="P324" s="121">
        <f>IF(A324="","",YEAR(A324))</f>
        <v/>
      </c>
      <c r="Q324" s="121">
        <f>IF(A324="","",MONTH(A324))</f>
        <v/>
      </c>
      <c r="R324" s="116" t="n"/>
      <c r="S324" s="116" t="n"/>
      <c r="T324" s="120" t="n"/>
      <c r="U324" s="122" t="n">
        <v>0</v>
      </c>
      <c r="V324" s="123">
        <f>IF(B324="","",N324-U324)</f>
        <v/>
      </c>
      <c r="W324" s="116" t="n"/>
      <c r="X324" s="125">
        <f>IF(B324="","",IF(LEFT(B324,2)="NC",-1,1))</f>
        <v/>
      </c>
      <c r="Y324" s="123">
        <f>IF(B324="",0,N(I324)*X324)</f>
        <v/>
      </c>
      <c r="Z324" s="123">
        <f>IF(B324="",0,N(J324)*X324)</f>
        <v/>
      </c>
      <c r="AA324" s="123">
        <f>IF(B324="",0,N(K324)*X324)</f>
        <v/>
      </c>
      <c r="AB324" s="123">
        <f>IF(B324="",0,N(L324)*X324)</f>
        <v/>
      </c>
      <c r="AC324" s="123">
        <f>IF(B324="",0,N(N324)*X324)</f>
        <v/>
      </c>
    </row>
    <row r="325" ht="15" customHeight="1" s="83">
      <c r="A325" s="120" t="n"/>
      <c r="B325" s="116" t="n"/>
      <c r="C325" s="116" t="n"/>
      <c r="D325" s="116" t="n"/>
      <c r="E325" s="116" t="n"/>
      <c r="F325" s="116" t="n"/>
      <c r="G325" s="116" t="n"/>
      <c r="H325" s="121">
        <f>IF(G325="","",IF(ISNUMBER(SEARCH("CAPITA",UPPER(G325))),651110,IF(ISNUMBER(SEARCH("REFUERZO",UPPER(G325))),651110,IF(ISNUMBER(SEARCH("VACUNACION",UPPER(G325))),651110,IF(ISNUMBER(SEARCH("ENFERMERIA",UPPER(G325))),651110,IF(ISNUMBER(SEARCH("APORTES",UPPER(G325))),651110,IF(ISNUMBER(SEARCH("HONORARIOS",UPPER(G325))),702010,IF(ISNUMBER(SEARCH("ADMINISTRACION",UPPER(G325))),702010,IF(ISNUMBER(SEARCH("GERENCIAMIENTO",UPPER(G325))),702010,IF(ISNUMBER(SEARCH("ALQUILER",UPPER(G325))),702010,IF(ISNUMBER(SEARCH("AUDITORIA",UPPER(G325))),702010,IF(ISNUMBER(SEARCH("PRESTACIONAL",UPPER(G325))),702010,702010))))))))))))</f>
        <v/>
      </c>
      <c r="I325" s="122" t="n"/>
      <c r="J325" s="122" t="n"/>
      <c r="K325" s="123">
        <f>IF(N(I325)&gt;0,ROUND(N(I325)*IVA_general,2),0)</f>
        <v/>
      </c>
      <c r="L325" s="122" t="n">
        <v>0</v>
      </c>
      <c r="M325" s="122" t="n"/>
      <c r="N325" s="123">
        <f>IF(SUM(I325:M325)=0,"",SUM(I325:M325))</f>
        <v/>
      </c>
      <c r="O325" s="124">
        <f>IF(A325="","",TEXT(A325,"yyyy-mm"))</f>
        <v/>
      </c>
      <c r="P325" s="121">
        <f>IF(A325="","",YEAR(A325))</f>
        <v/>
      </c>
      <c r="Q325" s="121">
        <f>IF(A325="","",MONTH(A325))</f>
        <v/>
      </c>
      <c r="R325" s="116" t="n"/>
      <c r="S325" s="116" t="n"/>
      <c r="T325" s="120" t="n"/>
      <c r="U325" s="122" t="n">
        <v>0</v>
      </c>
      <c r="V325" s="123">
        <f>IF(B325="","",N325-U325)</f>
        <v/>
      </c>
      <c r="W325" s="116" t="n"/>
      <c r="X325" s="125">
        <f>IF(B325="","",IF(LEFT(B325,2)="NC",-1,1))</f>
        <v/>
      </c>
      <c r="Y325" s="123">
        <f>IF(B325="",0,N(I325)*X325)</f>
        <v/>
      </c>
      <c r="Z325" s="123">
        <f>IF(B325="",0,N(J325)*X325)</f>
        <v/>
      </c>
      <c r="AA325" s="123">
        <f>IF(B325="",0,N(K325)*X325)</f>
        <v/>
      </c>
      <c r="AB325" s="123">
        <f>IF(B325="",0,N(L325)*X325)</f>
        <v/>
      </c>
      <c r="AC325" s="123">
        <f>IF(B325="",0,N(N325)*X325)</f>
        <v/>
      </c>
    </row>
    <row r="326" ht="15" customHeight="1" s="83">
      <c r="A326" s="120" t="n"/>
      <c r="B326" s="116" t="n"/>
      <c r="C326" s="116" t="n"/>
      <c r="D326" s="116" t="n"/>
      <c r="E326" s="116" t="n"/>
      <c r="F326" s="116" t="n"/>
      <c r="G326" s="116" t="n"/>
      <c r="H326" s="121">
        <f>IF(G326="","",IF(ISNUMBER(SEARCH("CAPITA",UPPER(G326))),651110,IF(ISNUMBER(SEARCH("REFUERZO",UPPER(G326))),651110,IF(ISNUMBER(SEARCH("VACUNACION",UPPER(G326))),651110,IF(ISNUMBER(SEARCH("ENFERMERIA",UPPER(G326))),651110,IF(ISNUMBER(SEARCH("APORTES",UPPER(G326))),651110,IF(ISNUMBER(SEARCH("HONORARIOS",UPPER(G326))),702010,IF(ISNUMBER(SEARCH("ADMINISTRACION",UPPER(G326))),702010,IF(ISNUMBER(SEARCH("GERENCIAMIENTO",UPPER(G326))),702010,IF(ISNUMBER(SEARCH("ALQUILER",UPPER(G326))),702010,IF(ISNUMBER(SEARCH("AUDITORIA",UPPER(G326))),702010,IF(ISNUMBER(SEARCH("PRESTACIONAL",UPPER(G326))),702010,702010))))))))))))</f>
        <v/>
      </c>
      <c r="I326" s="122" t="n"/>
      <c r="J326" s="122" t="n"/>
      <c r="K326" s="123">
        <f>IF(N(I326)&gt;0,ROUND(N(I326)*IVA_general,2),0)</f>
        <v/>
      </c>
      <c r="L326" s="122" t="n">
        <v>0</v>
      </c>
      <c r="M326" s="122" t="n"/>
      <c r="N326" s="123">
        <f>IF(SUM(I326:M326)=0,"",SUM(I326:M326))</f>
        <v/>
      </c>
      <c r="O326" s="124">
        <f>IF(A326="","",TEXT(A326,"yyyy-mm"))</f>
        <v/>
      </c>
      <c r="P326" s="121">
        <f>IF(A326="","",YEAR(A326))</f>
        <v/>
      </c>
      <c r="Q326" s="121">
        <f>IF(A326="","",MONTH(A326))</f>
        <v/>
      </c>
      <c r="R326" s="116" t="n"/>
      <c r="S326" s="116" t="n"/>
      <c r="T326" s="120" t="n"/>
      <c r="U326" s="122" t="n">
        <v>0</v>
      </c>
      <c r="V326" s="123">
        <f>IF(B326="","",N326-U326)</f>
        <v/>
      </c>
      <c r="W326" s="116" t="n"/>
      <c r="X326" s="125">
        <f>IF(B326="","",IF(LEFT(B326,2)="NC",-1,1))</f>
        <v/>
      </c>
      <c r="Y326" s="123">
        <f>IF(B326="",0,N(I326)*X326)</f>
        <v/>
      </c>
      <c r="Z326" s="123">
        <f>IF(B326="",0,N(J326)*X326)</f>
        <v/>
      </c>
      <c r="AA326" s="123">
        <f>IF(B326="",0,N(K326)*X326)</f>
        <v/>
      </c>
      <c r="AB326" s="123">
        <f>IF(B326="",0,N(L326)*X326)</f>
        <v/>
      </c>
      <c r="AC326" s="123">
        <f>IF(B326="",0,N(N326)*X326)</f>
        <v/>
      </c>
    </row>
    <row r="327" ht="15" customHeight="1" s="83">
      <c r="A327" s="120" t="n"/>
      <c r="B327" s="116" t="n"/>
      <c r="C327" s="116" t="n"/>
      <c r="D327" s="116" t="n"/>
      <c r="E327" s="116" t="n"/>
      <c r="F327" s="116" t="n"/>
      <c r="G327" s="116" t="n"/>
      <c r="H327" s="121">
        <f>IF(G327="","",IF(ISNUMBER(SEARCH("CAPITA",UPPER(G327))),651110,IF(ISNUMBER(SEARCH("REFUERZO",UPPER(G327))),651110,IF(ISNUMBER(SEARCH("VACUNACION",UPPER(G327))),651110,IF(ISNUMBER(SEARCH("ENFERMERIA",UPPER(G327))),651110,IF(ISNUMBER(SEARCH("APORTES",UPPER(G327))),651110,IF(ISNUMBER(SEARCH("HONORARIOS",UPPER(G327))),702010,IF(ISNUMBER(SEARCH("ADMINISTRACION",UPPER(G327))),702010,IF(ISNUMBER(SEARCH("GERENCIAMIENTO",UPPER(G327))),702010,IF(ISNUMBER(SEARCH("ALQUILER",UPPER(G327))),702010,IF(ISNUMBER(SEARCH("AUDITORIA",UPPER(G327))),702010,IF(ISNUMBER(SEARCH("PRESTACIONAL",UPPER(G327))),702010,702010))))))))))))</f>
        <v/>
      </c>
      <c r="I327" s="122" t="n"/>
      <c r="J327" s="122" t="n"/>
      <c r="K327" s="123">
        <f>IF(N(I327)&gt;0,ROUND(N(I327)*IVA_general,2),0)</f>
        <v/>
      </c>
      <c r="L327" s="122" t="n">
        <v>0</v>
      </c>
      <c r="M327" s="122" t="n"/>
      <c r="N327" s="123">
        <f>IF(SUM(I327:M327)=0,"",SUM(I327:M327))</f>
        <v/>
      </c>
      <c r="O327" s="124">
        <f>IF(A327="","",TEXT(A327,"yyyy-mm"))</f>
        <v/>
      </c>
      <c r="P327" s="121">
        <f>IF(A327="","",YEAR(A327))</f>
        <v/>
      </c>
      <c r="Q327" s="121">
        <f>IF(A327="","",MONTH(A327))</f>
        <v/>
      </c>
      <c r="R327" s="116" t="n"/>
      <c r="S327" s="116" t="n"/>
      <c r="T327" s="120" t="n"/>
      <c r="U327" s="122" t="n">
        <v>0</v>
      </c>
      <c r="V327" s="123">
        <f>IF(B327="","",N327-U327)</f>
        <v/>
      </c>
      <c r="W327" s="116" t="n"/>
      <c r="X327" s="125">
        <f>IF(B327="","",IF(LEFT(B327,2)="NC",-1,1))</f>
        <v/>
      </c>
      <c r="Y327" s="123">
        <f>IF(B327="",0,N(I327)*X327)</f>
        <v/>
      </c>
      <c r="Z327" s="123">
        <f>IF(B327="",0,N(J327)*X327)</f>
        <v/>
      </c>
      <c r="AA327" s="123">
        <f>IF(B327="",0,N(K327)*X327)</f>
        <v/>
      </c>
      <c r="AB327" s="123">
        <f>IF(B327="",0,N(L327)*X327)</f>
        <v/>
      </c>
      <c r="AC327" s="123">
        <f>IF(B327="",0,N(N327)*X327)</f>
        <v/>
      </c>
    </row>
    <row r="328" ht="15" customHeight="1" s="83">
      <c r="A328" s="120" t="n"/>
      <c r="B328" s="116" t="n"/>
      <c r="C328" s="116" t="n"/>
      <c r="D328" s="116" t="n"/>
      <c r="E328" s="116" t="n"/>
      <c r="F328" s="116" t="n"/>
      <c r="G328" s="116" t="n"/>
      <c r="H328" s="121">
        <f>IF(G328="","",IF(ISNUMBER(SEARCH("CAPITA",UPPER(G328))),651110,IF(ISNUMBER(SEARCH("REFUERZO",UPPER(G328))),651110,IF(ISNUMBER(SEARCH("VACUNACION",UPPER(G328))),651110,IF(ISNUMBER(SEARCH("ENFERMERIA",UPPER(G328))),651110,IF(ISNUMBER(SEARCH("APORTES",UPPER(G328))),651110,IF(ISNUMBER(SEARCH("HONORARIOS",UPPER(G328))),702010,IF(ISNUMBER(SEARCH("ADMINISTRACION",UPPER(G328))),702010,IF(ISNUMBER(SEARCH("GERENCIAMIENTO",UPPER(G328))),702010,IF(ISNUMBER(SEARCH("ALQUILER",UPPER(G328))),702010,IF(ISNUMBER(SEARCH("AUDITORIA",UPPER(G328))),702010,IF(ISNUMBER(SEARCH("PRESTACIONAL",UPPER(G328))),702010,702010))))))))))))</f>
        <v/>
      </c>
      <c r="I328" s="122" t="n"/>
      <c r="J328" s="122" t="n"/>
      <c r="K328" s="123">
        <f>IF(N(I328)&gt;0,ROUND(N(I328)*IVA_general,2),0)</f>
        <v/>
      </c>
      <c r="L328" s="122" t="n">
        <v>0</v>
      </c>
      <c r="M328" s="122" t="n"/>
      <c r="N328" s="123">
        <f>IF(SUM(I328:M328)=0,"",SUM(I328:M328))</f>
        <v/>
      </c>
      <c r="O328" s="124">
        <f>IF(A328="","",TEXT(A328,"yyyy-mm"))</f>
        <v/>
      </c>
      <c r="P328" s="121">
        <f>IF(A328="","",YEAR(A328))</f>
        <v/>
      </c>
      <c r="Q328" s="121">
        <f>IF(A328="","",MONTH(A328))</f>
        <v/>
      </c>
      <c r="R328" s="116" t="n"/>
      <c r="S328" s="116" t="n"/>
      <c r="T328" s="120" t="n"/>
      <c r="U328" s="122" t="n">
        <v>0</v>
      </c>
      <c r="V328" s="123">
        <f>IF(B328="","",N328-U328)</f>
        <v/>
      </c>
      <c r="W328" s="116" t="n"/>
      <c r="X328" s="125">
        <f>IF(B328="","",IF(LEFT(B328,2)="NC",-1,1))</f>
        <v/>
      </c>
      <c r="Y328" s="123">
        <f>IF(B328="",0,N(I328)*X328)</f>
        <v/>
      </c>
      <c r="Z328" s="123">
        <f>IF(B328="",0,N(J328)*X328)</f>
        <v/>
      </c>
      <c r="AA328" s="123">
        <f>IF(B328="",0,N(K328)*X328)</f>
        <v/>
      </c>
      <c r="AB328" s="123">
        <f>IF(B328="",0,N(L328)*X328)</f>
        <v/>
      </c>
      <c r="AC328" s="123">
        <f>IF(B328="",0,N(N328)*X328)</f>
        <v/>
      </c>
    </row>
    <row r="329" ht="15" customHeight="1" s="83">
      <c r="A329" s="120" t="n"/>
      <c r="B329" s="116" t="n"/>
      <c r="C329" s="116" t="n"/>
      <c r="D329" s="116" t="n"/>
      <c r="E329" s="116" t="n"/>
      <c r="F329" s="116" t="n"/>
      <c r="G329" s="116" t="n"/>
      <c r="H329" s="121">
        <f>IF(G329="","",IF(ISNUMBER(SEARCH("CAPITA",UPPER(G329))),651110,IF(ISNUMBER(SEARCH("REFUERZO",UPPER(G329))),651110,IF(ISNUMBER(SEARCH("VACUNACION",UPPER(G329))),651110,IF(ISNUMBER(SEARCH("ENFERMERIA",UPPER(G329))),651110,IF(ISNUMBER(SEARCH("APORTES",UPPER(G329))),651110,IF(ISNUMBER(SEARCH("HONORARIOS",UPPER(G329))),702010,IF(ISNUMBER(SEARCH("ADMINISTRACION",UPPER(G329))),702010,IF(ISNUMBER(SEARCH("GERENCIAMIENTO",UPPER(G329))),702010,IF(ISNUMBER(SEARCH("ALQUILER",UPPER(G329))),702010,IF(ISNUMBER(SEARCH("AUDITORIA",UPPER(G329))),702010,IF(ISNUMBER(SEARCH("PRESTACIONAL",UPPER(G329))),702010,702010))))))))))))</f>
        <v/>
      </c>
      <c r="I329" s="122" t="n"/>
      <c r="J329" s="122" t="n"/>
      <c r="K329" s="123">
        <f>IF(N(I329)&gt;0,ROUND(N(I329)*IVA_general,2),0)</f>
        <v/>
      </c>
      <c r="L329" s="122" t="n">
        <v>0</v>
      </c>
      <c r="M329" s="122" t="n"/>
      <c r="N329" s="123">
        <f>IF(SUM(I329:M329)=0,"",SUM(I329:M329))</f>
        <v/>
      </c>
      <c r="O329" s="124">
        <f>IF(A329="","",TEXT(A329,"yyyy-mm"))</f>
        <v/>
      </c>
      <c r="P329" s="121">
        <f>IF(A329="","",YEAR(A329))</f>
        <v/>
      </c>
      <c r="Q329" s="121">
        <f>IF(A329="","",MONTH(A329))</f>
        <v/>
      </c>
      <c r="R329" s="116" t="n"/>
      <c r="S329" s="116" t="n"/>
      <c r="T329" s="120" t="n"/>
      <c r="U329" s="122" t="n">
        <v>0</v>
      </c>
      <c r="V329" s="123">
        <f>IF(B329="","",N329-U329)</f>
        <v/>
      </c>
      <c r="W329" s="116" t="n"/>
      <c r="X329" s="125">
        <f>IF(B329="","",IF(LEFT(B329,2)="NC",-1,1))</f>
        <v/>
      </c>
      <c r="Y329" s="123">
        <f>IF(B329="",0,N(I329)*X329)</f>
        <v/>
      </c>
      <c r="Z329" s="123">
        <f>IF(B329="",0,N(J329)*X329)</f>
        <v/>
      </c>
      <c r="AA329" s="123">
        <f>IF(B329="",0,N(K329)*X329)</f>
        <v/>
      </c>
      <c r="AB329" s="123">
        <f>IF(B329="",0,N(L329)*X329)</f>
        <v/>
      </c>
      <c r="AC329" s="123">
        <f>IF(B329="",0,N(N329)*X329)</f>
        <v/>
      </c>
    </row>
    <row r="330" ht="15" customHeight="1" s="83">
      <c r="A330" s="120" t="n"/>
      <c r="B330" s="116" t="n"/>
      <c r="C330" s="116" t="n"/>
      <c r="D330" s="116" t="n"/>
      <c r="E330" s="116" t="n"/>
      <c r="F330" s="116" t="n"/>
      <c r="G330" s="116" t="n"/>
      <c r="H330" s="121">
        <f>IF(G330="","",IF(ISNUMBER(SEARCH("CAPITA",UPPER(G330))),651110,IF(ISNUMBER(SEARCH("REFUERZO",UPPER(G330))),651110,IF(ISNUMBER(SEARCH("VACUNACION",UPPER(G330))),651110,IF(ISNUMBER(SEARCH("ENFERMERIA",UPPER(G330))),651110,IF(ISNUMBER(SEARCH("APORTES",UPPER(G330))),651110,IF(ISNUMBER(SEARCH("HONORARIOS",UPPER(G330))),702010,IF(ISNUMBER(SEARCH("ADMINISTRACION",UPPER(G330))),702010,IF(ISNUMBER(SEARCH("GERENCIAMIENTO",UPPER(G330))),702010,IF(ISNUMBER(SEARCH("ALQUILER",UPPER(G330))),702010,IF(ISNUMBER(SEARCH("AUDITORIA",UPPER(G330))),702010,IF(ISNUMBER(SEARCH("PRESTACIONAL",UPPER(G330))),702010,702010))))))))))))</f>
        <v/>
      </c>
      <c r="I330" s="122" t="n"/>
      <c r="J330" s="122" t="n"/>
      <c r="K330" s="123">
        <f>IF(N(I330)&gt;0,ROUND(N(I330)*IVA_general,2),0)</f>
        <v/>
      </c>
      <c r="L330" s="122" t="n">
        <v>0</v>
      </c>
      <c r="M330" s="122" t="n"/>
      <c r="N330" s="123">
        <f>IF(SUM(I330:M330)=0,"",SUM(I330:M330))</f>
        <v/>
      </c>
      <c r="O330" s="124">
        <f>IF(A330="","",TEXT(A330,"yyyy-mm"))</f>
        <v/>
      </c>
      <c r="P330" s="121">
        <f>IF(A330="","",YEAR(A330))</f>
        <v/>
      </c>
      <c r="Q330" s="121">
        <f>IF(A330="","",MONTH(A330))</f>
        <v/>
      </c>
      <c r="R330" s="116" t="n"/>
      <c r="S330" s="116" t="n"/>
      <c r="T330" s="120" t="n"/>
      <c r="U330" s="122" t="n">
        <v>0</v>
      </c>
      <c r="V330" s="123">
        <f>IF(B330="","",N330-U330)</f>
        <v/>
      </c>
      <c r="W330" s="116" t="n"/>
      <c r="X330" s="125">
        <f>IF(B330="","",IF(LEFT(B330,2)="NC",-1,1))</f>
        <v/>
      </c>
      <c r="Y330" s="123">
        <f>IF(B330="",0,N(I330)*X330)</f>
        <v/>
      </c>
      <c r="Z330" s="123">
        <f>IF(B330="",0,N(J330)*X330)</f>
        <v/>
      </c>
      <c r="AA330" s="123">
        <f>IF(B330="",0,N(K330)*X330)</f>
        <v/>
      </c>
      <c r="AB330" s="123">
        <f>IF(B330="",0,N(L330)*X330)</f>
        <v/>
      </c>
      <c r="AC330" s="123">
        <f>IF(B330="",0,N(N330)*X330)</f>
        <v/>
      </c>
    </row>
    <row r="331" ht="15" customHeight="1" s="83">
      <c r="A331" s="120" t="n"/>
      <c r="B331" s="116" t="n"/>
      <c r="C331" s="116" t="n"/>
      <c r="D331" s="116" t="n"/>
      <c r="E331" s="116" t="n"/>
      <c r="F331" s="116" t="n"/>
      <c r="G331" s="116" t="n"/>
      <c r="H331" s="121">
        <f>IF(G331="","",IF(ISNUMBER(SEARCH("CAPITA",UPPER(G331))),651110,IF(ISNUMBER(SEARCH("REFUERZO",UPPER(G331))),651110,IF(ISNUMBER(SEARCH("VACUNACION",UPPER(G331))),651110,IF(ISNUMBER(SEARCH("ENFERMERIA",UPPER(G331))),651110,IF(ISNUMBER(SEARCH("APORTES",UPPER(G331))),651110,IF(ISNUMBER(SEARCH("HONORARIOS",UPPER(G331))),702010,IF(ISNUMBER(SEARCH("ADMINISTRACION",UPPER(G331))),702010,IF(ISNUMBER(SEARCH("GERENCIAMIENTO",UPPER(G331))),702010,IF(ISNUMBER(SEARCH("ALQUILER",UPPER(G331))),702010,IF(ISNUMBER(SEARCH("AUDITORIA",UPPER(G331))),702010,IF(ISNUMBER(SEARCH("PRESTACIONAL",UPPER(G331))),702010,702010))))))))))))</f>
        <v/>
      </c>
      <c r="I331" s="122" t="n"/>
      <c r="J331" s="122" t="n"/>
      <c r="K331" s="123">
        <f>IF(N(I331)&gt;0,ROUND(N(I331)*IVA_general,2),0)</f>
        <v/>
      </c>
      <c r="L331" s="122" t="n">
        <v>0</v>
      </c>
      <c r="M331" s="122" t="n"/>
      <c r="N331" s="123">
        <f>IF(SUM(I331:M331)=0,"",SUM(I331:M331))</f>
        <v/>
      </c>
      <c r="O331" s="124">
        <f>IF(A331="","",TEXT(A331,"yyyy-mm"))</f>
        <v/>
      </c>
      <c r="P331" s="121">
        <f>IF(A331="","",YEAR(A331))</f>
        <v/>
      </c>
      <c r="Q331" s="121">
        <f>IF(A331="","",MONTH(A331))</f>
        <v/>
      </c>
      <c r="R331" s="116" t="n"/>
      <c r="S331" s="116" t="n"/>
      <c r="T331" s="120" t="n"/>
      <c r="U331" s="122" t="n">
        <v>0</v>
      </c>
      <c r="V331" s="123">
        <f>IF(B331="","",N331-U331)</f>
        <v/>
      </c>
      <c r="W331" s="116" t="n"/>
      <c r="X331" s="125">
        <f>IF(B331="","",IF(LEFT(B331,2)="NC",-1,1))</f>
        <v/>
      </c>
      <c r="Y331" s="123">
        <f>IF(B331="",0,N(I331)*X331)</f>
        <v/>
      </c>
      <c r="Z331" s="123">
        <f>IF(B331="",0,N(J331)*X331)</f>
        <v/>
      </c>
      <c r="AA331" s="123">
        <f>IF(B331="",0,N(K331)*X331)</f>
        <v/>
      </c>
      <c r="AB331" s="123">
        <f>IF(B331="",0,N(L331)*X331)</f>
        <v/>
      </c>
      <c r="AC331" s="123">
        <f>IF(B331="",0,N(N331)*X331)</f>
        <v/>
      </c>
    </row>
    <row r="332" ht="15" customHeight="1" s="83">
      <c r="A332" s="120" t="n"/>
      <c r="B332" s="116" t="n"/>
      <c r="C332" s="116" t="n"/>
      <c r="D332" s="116" t="n"/>
      <c r="E332" s="116" t="n"/>
      <c r="F332" s="116" t="n"/>
      <c r="G332" s="116" t="n"/>
      <c r="H332" s="121">
        <f>IF(G332="","",IF(ISNUMBER(SEARCH("CAPITA",UPPER(G332))),651110,IF(ISNUMBER(SEARCH("REFUERZO",UPPER(G332))),651110,IF(ISNUMBER(SEARCH("VACUNACION",UPPER(G332))),651110,IF(ISNUMBER(SEARCH("ENFERMERIA",UPPER(G332))),651110,IF(ISNUMBER(SEARCH("APORTES",UPPER(G332))),651110,IF(ISNUMBER(SEARCH("HONORARIOS",UPPER(G332))),702010,IF(ISNUMBER(SEARCH("ADMINISTRACION",UPPER(G332))),702010,IF(ISNUMBER(SEARCH("GERENCIAMIENTO",UPPER(G332))),702010,IF(ISNUMBER(SEARCH("ALQUILER",UPPER(G332))),702010,IF(ISNUMBER(SEARCH("AUDITORIA",UPPER(G332))),702010,IF(ISNUMBER(SEARCH("PRESTACIONAL",UPPER(G332))),702010,702010))))))))))))</f>
        <v/>
      </c>
      <c r="I332" s="122" t="n"/>
      <c r="J332" s="122" t="n"/>
      <c r="K332" s="123">
        <f>IF(N(I332)&gt;0,ROUND(N(I332)*IVA_general,2),0)</f>
        <v/>
      </c>
      <c r="L332" s="122" t="n">
        <v>0</v>
      </c>
      <c r="M332" s="122" t="n"/>
      <c r="N332" s="123">
        <f>IF(SUM(I332:M332)=0,"",SUM(I332:M332))</f>
        <v/>
      </c>
      <c r="O332" s="124">
        <f>IF(A332="","",TEXT(A332,"yyyy-mm"))</f>
        <v/>
      </c>
      <c r="P332" s="121">
        <f>IF(A332="","",YEAR(A332))</f>
        <v/>
      </c>
      <c r="Q332" s="121">
        <f>IF(A332="","",MONTH(A332))</f>
        <v/>
      </c>
      <c r="R332" s="116" t="n"/>
      <c r="S332" s="116" t="n"/>
      <c r="T332" s="120" t="n"/>
      <c r="U332" s="122" t="n">
        <v>0</v>
      </c>
      <c r="V332" s="123">
        <f>IF(B332="","",N332-U332)</f>
        <v/>
      </c>
      <c r="W332" s="116" t="n"/>
      <c r="X332" s="125">
        <f>IF(B332="","",IF(LEFT(B332,2)="NC",-1,1))</f>
        <v/>
      </c>
      <c r="Y332" s="123">
        <f>IF(B332="",0,N(I332)*X332)</f>
        <v/>
      </c>
      <c r="Z332" s="123">
        <f>IF(B332="",0,N(J332)*X332)</f>
        <v/>
      </c>
      <c r="AA332" s="123">
        <f>IF(B332="",0,N(K332)*X332)</f>
        <v/>
      </c>
      <c r="AB332" s="123">
        <f>IF(B332="",0,N(L332)*X332)</f>
        <v/>
      </c>
      <c r="AC332" s="123">
        <f>IF(B332="",0,N(N332)*X332)</f>
        <v/>
      </c>
    </row>
    <row r="333" ht="15" customHeight="1" s="83">
      <c r="A333" s="120" t="n"/>
      <c r="B333" s="116" t="n"/>
      <c r="C333" s="116" t="n"/>
      <c r="D333" s="116" t="n"/>
      <c r="E333" s="116" t="n"/>
      <c r="F333" s="116" t="n"/>
      <c r="G333" s="116" t="n"/>
      <c r="H333" s="121">
        <f>IF(G333="","",IF(ISNUMBER(SEARCH("CAPITA",UPPER(G333))),651110,IF(ISNUMBER(SEARCH("REFUERZO",UPPER(G333))),651110,IF(ISNUMBER(SEARCH("VACUNACION",UPPER(G333))),651110,IF(ISNUMBER(SEARCH("ENFERMERIA",UPPER(G333))),651110,IF(ISNUMBER(SEARCH("APORTES",UPPER(G333))),651110,IF(ISNUMBER(SEARCH("HONORARIOS",UPPER(G333))),702010,IF(ISNUMBER(SEARCH("ADMINISTRACION",UPPER(G333))),702010,IF(ISNUMBER(SEARCH("GERENCIAMIENTO",UPPER(G333))),702010,IF(ISNUMBER(SEARCH("ALQUILER",UPPER(G333))),702010,IF(ISNUMBER(SEARCH("AUDITORIA",UPPER(G333))),702010,IF(ISNUMBER(SEARCH("PRESTACIONAL",UPPER(G333))),702010,702010))))))))))))</f>
        <v/>
      </c>
      <c r="I333" s="122" t="n"/>
      <c r="J333" s="122" t="n"/>
      <c r="K333" s="123">
        <f>IF(N(I333)&gt;0,ROUND(N(I333)*IVA_general,2),0)</f>
        <v/>
      </c>
      <c r="L333" s="122" t="n">
        <v>0</v>
      </c>
      <c r="M333" s="122" t="n"/>
      <c r="N333" s="123">
        <f>IF(SUM(I333:M333)=0,"",SUM(I333:M333))</f>
        <v/>
      </c>
      <c r="O333" s="124">
        <f>IF(A333="","",TEXT(A333,"yyyy-mm"))</f>
        <v/>
      </c>
      <c r="P333" s="121">
        <f>IF(A333="","",YEAR(A333))</f>
        <v/>
      </c>
      <c r="Q333" s="121">
        <f>IF(A333="","",MONTH(A333))</f>
        <v/>
      </c>
      <c r="R333" s="116" t="n"/>
      <c r="S333" s="116" t="n"/>
      <c r="T333" s="120" t="n"/>
      <c r="U333" s="122" t="n">
        <v>0</v>
      </c>
      <c r="V333" s="123">
        <f>IF(B333="","",N333-U333)</f>
        <v/>
      </c>
      <c r="W333" s="116" t="n"/>
      <c r="X333" s="125">
        <f>IF(B333="","",IF(LEFT(B333,2)="NC",-1,1))</f>
        <v/>
      </c>
      <c r="Y333" s="123">
        <f>IF(B333="",0,N(I333)*X333)</f>
        <v/>
      </c>
      <c r="Z333" s="123">
        <f>IF(B333="",0,N(J333)*X333)</f>
        <v/>
      </c>
      <c r="AA333" s="123">
        <f>IF(B333="",0,N(K333)*X333)</f>
        <v/>
      </c>
      <c r="AB333" s="123">
        <f>IF(B333="",0,N(L333)*X333)</f>
        <v/>
      </c>
      <c r="AC333" s="123">
        <f>IF(B333="",0,N(N333)*X333)</f>
        <v/>
      </c>
    </row>
    <row r="334" ht="15" customHeight="1" s="83">
      <c r="A334" s="120" t="n"/>
      <c r="B334" s="116" t="n"/>
      <c r="C334" s="116" t="n"/>
      <c r="D334" s="116" t="n"/>
      <c r="E334" s="116" t="n"/>
      <c r="F334" s="116" t="n"/>
      <c r="G334" s="116" t="n"/>
      <c r="H334" s="121">
        <f>IF(G334="","",IF(ISNUMBER(SEARCH("CAPITA",UPPER(G334))),651110,IF(ISNUMBER(SEARCH("REFUERZO",UPPER(G334))),651110,IF(ISNUMBER(SEARCH("VACUNACION",UPPER(G334))),651110,IF(ISNUMBER(SEARCH("ENFERMERIA",UPPER(G334))),651110,IF(ISNUMBER(SEARCH("APORTES",UPPER(G334))),651110,IF(ISNUMBER(SEARCH("HONORARIOS",UPPER(G334))),702010,IF(ISNUMBER(SEARCH("ADMINISTRACION",UPPER(G334))),702010,IF(ISNUMBER(SEARCH("GERENCIAMIENTO",UPPER(G334))),702010,IF(ISNUMBER(SEARCH("ALQUILER",UPPER(G334))),702010,IF(ISNUMBER(SEARCH("AUDITORIA",UPPER(G334))),702010,IF(ISNUMBER(SEARCH("PRESTACIONAL",UPPER(G334))),702010,702010))))))))))))</f>
        <v/>
      </c>
      <c r="I334" s="122" t="n"/>
      <c r="J334" s="122" t="n"/>
      <c r="K334" s="123">
        <f>IF(N(I334)&gt;0,ROUND(N(I334)*IVA_general,2),0)</f>
        <v/>
      </c>
      <c r="L334" s="122" t="n">
        <v>0</v>
      </c>
      <c r="M334" s="122" t="n"/>
      <c r="N334" s="123">
        <f>IF(SUM(I334:M334)=0,"",SUM(I334:M334))</f>
        <v/>
      </c>
      <c r="O334" s="124">
        <f>IF(A334="","",TEXT(A334,"yyyy-mm"))</f>
        <v/>
      </c>
      <c r="P334" s="121">
        <f>IF(A334="","",YEAR(A334))</f>
        <v/>
      </c>
      <c r="Q334" s="121">
        <f>IF(A334="","",MONTH(A334))</f>
        <v/>
      </c>
      <c r="R334" s="116" t="n"/>
      <c r="S334" s="116" t="n"/>
      <c r="T334" s="120" t="n"/>
      <c r="U334" s="122" t="n">
        <v>0</v>
      </c>
      <c r="V334" s="123">
        <f>IF(B334="","",N334-U334)</f>
        <v/>
      </c>
      <c r="W334" s="116" t="n"/>
      <c r="X334" s="125">
        <f>IF(B334="","",IF(LEFT(B334,2)="NC",-1,1))</f>
        <v/>
      </c>
      <c r="Y334" s="123">
        <f>IF(B334="",0,N(I334)*X334)</f>
        <v/>
      </c>
      <c r="Z334" s="123">
        <f>IF(B334="",0,N(J334)*X334)</f>
        <v/>
      </c>
      <c r="AA334" s="123">
        <f>IF(B334="",0,N(K334)*X334)</f>
        <v/>
      </c>
      <c r="AB334" s="123">
        <f>IF(B334="",0,N(L334)*X334)</f>
        <v/>
      </c>
      <c r="AC334" s="123">
        <f>IF(B334="",0,N(N334)*X334)</f>
        <v/>
      </c>
    </row>
    <row r="335" ht="15" customHeight="1" s="83">
      <c r="A335" s="120" t="n"/>
      <c r="B335" s="116" t="n"/>
      <c r="C335" s="116" t="n"/>
      <c r="D335" s="116" t="n"/>
      <c r="E335" s="116" t="n"/>
      <c r="F335" s="116" t="n"/>
      <c r="G335" s="116" t="n"/>
      <c r="H335" s="121">
        <f>IF(G335="","",IF(ISNUMBER(SEARCH("CAPITA",UPPER(G335))),651110,IF(ISNUMBER(SEARCH("REFUERZO",UPPER(G335))),651110,IF(ISNUMBER(SEARCH("VACUNACION",UPPER(G335))),651110,IF(ISNUMBER(SEARCH("ENFERMERIA",UPPER(G335))),651110,IF(ISNUMBER(SEARCH("APORTES",UPPER(G335))),651110,IF(ISNUMBER(SEARCH("HONORARIOS",UPPER(G335))),702010,IF(ISNUMBER(SEARCH("ADMINISTRACION",UPPER(G335))),702010,IF(ISNUMBER(SEARCH("GERENCIAMIENTO",UPPER(G335))),702010,IF(ISNUMBER(SEARCH("ALQUILER",UPPER(G335))),702010,IF(ISNUMBER(SEARCH("AUDITORIA",UPPER(G335))),702010,IF(ISNUMBER(SEARCH("PRESTACIONAL",UPPER(G335))),702010,702010))))))))))))</f>
        <v/>
      </c>
      <c r="I335" s="122" t="n"/>
      <c r="J335" s="122" t="n"/>
      <c r="K335" s="123">
        <f>IF(N(I335)&gt;0,ROUND(N(I335)*IVA_general,2),0)</f>
        <v/>
      </c>
      <c r="L335" s="122" t="n">
        <v>0</v>
      </c>
      <c r="M335" s="122" t="n"/>
      <c r="N335" s="123">
        <f>IF(SUM(I335:M335)=0,"",SUM(I335:M335))</f>
        <v/>
      </c>
      <c r="O335" s="124">
        <f>IF(A335="","",TEXT(A335,"yyyy-mm"))</f>
        <v/>
      </c>
      <c r="P335" s="121">
        <f>IF(A335="","",YEAR(A335))</f>
        <v/>
      </c>
      <c r="Q335" s="121">
        <f>IF(A335="","",MONTH(A335))</f>
        <v/>
      </c>
      <c r="R335" s="116" t="n"/>
      <c r="S335" s="116" t="n"/>
      <c r="T335" s="120" t="n"/>
      <c r="U335" s="122" t="n">
        <v>0</v>
      </c>
      <c r="V335" s="123">
        <f>IF(B335="","",N335-U335)</f>
        <v/>
      </c>
      <c r="W335" s="116" t="n"/>
      <c r="X335" s="125">
        <f>IF(B335="","",IF(LEFT(B335,2)="NC",-1,1))</f>
        <v/>
      </c>
      <c r="Y335" s="123">
        <f>IF(B335="",0,N(I335)*X335)</f>
        <v/>
      </c>
      <c r="Z335" s="123">
        <f>IF(B335="",0,N(J335)*X335)</f>
        <v/>
      </c>
      <c r="AA335" s="123">
        <f>IF(B335="",0,N(K335)*X335)</f>
        <v/>
      </c>
      <c r="AB335" s="123">
        <f>IF(B335="",0,N(L335)*X335)</f>
        <v/>
      </c>
      <c r="AC335" s="123">
        <f>IF(B335="",0,N(N335)*X335)</f>
        <v/>
      </c>
    </row>
    <row r="336" ht="15" customHeight="1" s="83">
      <c r="A336" s="120" t="n"/>
      <c r="B336" s="116" t="n"/>
      <c r="C336" s="116" t="n"/>
      <c r="D336" s="116" t="n"/>
      <c r="E336" s="116" t="n"/>
      <c r="F336" s="116" t="n"/>
      <c r="G336" s="116" t="n"/>
      <c r="H336" s="121">
        <f>IF(G336="","",IF(ISNUMBER(SEARCH("CAPITA",UPPER(G336))),651110,IF(ISNUMBER(SEARCH("REFUERZO",UPPER(G336))),651110,IF(ISNUMBER(SEARCH("VACUNACION",UPPER(G336))),651110,IF(ISNUMBER(SEARCH("ENFERMERIA",UPPER(G336))),651110,IF(ISNUMBER(SEARCH("APORTES",UPPER(G336))),651110,IF(ISNUMBER(SEARCH("HONORARIOS",UPPER(G336))),702010,IF(ISNUMBER(SEARCH("ADMINISTRACION",UPPER(G336))),702010,IF(ISNUMBER(SEARCH("GERENCIAMIENTO",UPPER(G336))),702010,IF(ISNUMBER(SEARCH("ALQUILER",UPPER(G336))),702010,IF(ISNUMBER(SEARCH("AUDITORIA",UPPER(G336))),702010,IF(ISNUMBER(SEARCH("PRESTACIONAL",UPPER(G336))),702010,702010))))))))))))</f>
        <v/>
      </c>
      <c r="I336" s="122" t="n"/>
      <c r="J336" s="122" t="n"/>
      <c r="K336" s="123">
        <f>IF(N(I336)&gt;0,ROUND(N(I336)*IVA_general,2),0)</f>
        <v/>
      </c>
      <c r="L336" s="122" t="n">
        <v>0</v>
      </c>
      <c r="M336" s="122" t="n"/>
      <c r="N336" s="123">
        <f>IF(SUM(I336:M336)=0,"",SUM(I336:M336))</f>
        <v/>
      </c>
      <c r="O336" s="124">
        <f>IF(A336="","",TEXT(A336,"yyyy-mm"))</f>
        <v/>
      </c>
      <c r="P336" s="121">
        <f>IF(A336="","",YEAR(A336))</f>
        <v/>
      </c>
      <c r="Q336" s="121">
        <f>IF(A336="","",MONTH(A336))</f>
        <v/>
      </c>
      <c r="R336" s="116" t="n"/>
      <c r="S336" s="116" t="n"/>
      <c r="T336" s="120" t="n"/>
      <c r="U336" s="122" t="n">
        <v>0</v>
      </c>
      <c r="V336" s="123">
        <f>IF(B336="","",N336-U336)</f>
        <v/>
      </c>
      <c r="W336" s="116" t="n"/>
      <c r="X336" s="125">
        <f>IF(B336="","",IF(LEFT(B336,2)="NC",-1,1))</f>
        <v/>
      </c>
      <c r="Y336" s="123">
        <f>IF(B336="",0,N(I336)*X336)</f>
        <v/>
      </c>
      <c r="Z336" s="123">
        <f>IF(B336="",0,N(J336)*X336)</f>
        <v/>
      </c>
      <c r="AA336" s="123">
        <f>IF(B336="",0,N(K336)*X336)</f>
        <v/>
      </c>
      <c r="AB336" s="123">
        <f>IF(B336="",0,N(L336)*X336)</f>
        <v/>
      </c>
      <c r="AC336" s="123">
        <f>IF(B336="",0,N(N336)*X336)</f>
        <v/>
      </c>
    </row>
    <row r="337" ht="15" customHeight="1" s="83">
      <c r="A337" s="120" t="n"/>
      <c r="B337" s="116" t="n"/>
      <c r="C337" s="116" t="n"/>
      <c r="D337" s="116" t="n"/>
      <c r="E337" s="116" t="n"/>
      <c r="F337" s="116" t="n"/>
      <c r="G337" s="116" t="n"/>
      <c r="H337" s="121">
        <f>IF(G337="","",IF(ISNUMBER(SEARCH("CAPITA",UPPER(G337))),651110,IF(ISNUMBER(SEARCH("REFUERZO",UPPER(G337))),651110,IF(ISNUMBER(SEARCH("VACUNACION",UPPER(G337))),651110,IF(ISNUMBER(SEARCH("ENFERMERIA",UPPER(G337))),651110,IF(ISNUMBER(SEARCH("APORTES",UPPER(G337))),651110,IF(ISNUMBER(SEARCH("HONORARIOS",UPPER(G337))),702010,IF(ISNUMBER(SEARCH("ADMINISTRACION",UPPER(G337))),702010,IF(ISNUMBER(SEARCH("GERENCIAMIENTO",UPPER(G337))),702010,IF(ISNUMBER(SEARCH("ALQUILER",UPPER(G337))),702010,IF(ISNUMBER(SEARCH("AUDITORIA",UPPER(G337))),702010,IF(ISNUMBER(SEARCH("PRESTACIONAL",UPPER(G337))),702010,702010))))))))))))</f>
        <v/>
      </c>
      <c r="I337" s="122" t="n"/>
      <c r="J337" s="122" t="n"/>
      <c r="K337" s="123">
        <f>IF(N(I337)&gt;0,ROUND(N(I337)*IVA_general,2),0)</f>
        <v/>
      </c>
      <c r="L337" s="122" t="n">
        <v>0</v>
      </c>
      <c r="M337" s="122" t="n"/>
      <c r="N337" s="123">
        <f>IF(SUM(I337:M337)=0,"",SUM(I337:M337))</f>
        <v/>
      </c>
      <c r="O337" s="124">
        <f>IF(A337="","",TEXT(A337,"yyyy-mm"))</f>
        <v/>
      </c>
      <c r="P337" s="121">
        <f>IF(A337="","",YEAR(A337))</f>
        <v/>
      </c>
      <c r="Q337" s="121">
        <f>IF(A337="","",MONTH(A337))</f>
        <v/>
      </c>
      <c r="R337" s="116" t="n"/>
      <c r="S337" s="116" t="n"/>
      <c r="T337" s="120" t="n"/>
      <c r="U337" s="122" t="n">
        <v>0</v>
      </c>
      <c r="V337" s="123">
        <f>IF(B337="","",N337-U337)</f>
        <v/>
      </c>
      <c r="W337" s="116" t="n"/>
      <c r="X337" s="125">
        <f>IF(B337="","",IF(LEFT(B337,2)="NC",-1,1))</f>
        <v/>
      </c>
      <c r="Y337" s="123">
        <f>IF(B337="",0,N(I337)*X337)</f>
        <v/>
      </c>
      <c r="Z337" s="123">
        <f>IF(B337="",0,N(J337)*X337)</f>
        <v/>
      </c>
      <c r="AA337" s="123">
        <f>IF(B337="",0,N(K337)*X337)</f>
        <v/>
      </c>
      <c r="AB337" s="123">
        <f>IF(B337="",0,N(L337)*X337)</f>
        <v/>
      </c>
      <c r="AC337" s="123">
        <f>IF(B337="",0,N(N337)*X337)</f>
        <v/>
      </c>
    </row>
    <row r="338" ht="15" customHeight="1" s="83">
      <c r="A338" s="120" t="n"/>
      <c r="B338" s="116" t="n"/>
      <c r="C338" s="116" t="n"/>
      <c r="D338" s="116" t="n"/>
      <c r="E338" s="116" t="n"/>
      <c r="F338" s="116" t="n"/>
      <c r="G338" s="116" t="n"/>
      <c r="H338" s="121">
        <f>IF(G338="","",IF(ISNUMBER(SEARCH("CAPITA",UPPER(G338))),651110,IF(ISNUMBER(SEARCH("REFUERZO",UPPER(G338))),651110,IF(ISNUMBER(SEARCH("VACUNACION",UPPER(G338))),651110,IF(ISNUMBER(SEARCH("ENFERMERIA",UPPER(G338))),651110,IF(ISNUMBER(SEARCH("APORTES",UPPER(G338))),651110,IF(ISNUMBER(SEARCH("HONORARIOS",UPPER(G338))),702010,IF(ISNUMBER(SEARCH("ADMINISTRACION",UPPER(G338))),702010,IF(ISNUMBER(SEARCH("GERENCIAMIENTO",UPPER(G338))),702010,IF(ISNUMBER(SEARCH("ALQUILER",UPPER(G338))),702010,IF(ISNUMBER(SEARCH("AUDITORIA",UPPER(G338))),702010,IF(ISNUMBER(SEARCH("PRESTACIONAL",UPPER(G338))),702010,702010))))))))))))</f>
        <v/>
      </c>
      <c r="I338" s="122" t="n"/>
      <c r="J338" s="122" t="n"/>
      <c r="K338" s="123">
        <f>IF(N(I338)&gt;0,ROUND(N(I338)*IVA_general,2),0)</f>
        <v/>
      </c>
      <c r="L338" s="122" t="n">
        <v>0</v>
      </c>
      <c r="M338" s="122" t="n"/>
      <c r="N338" s="123">
        <f>IF(SUM(I338:M338)=0,"",SUM(I338:M338))</f>
        <v/>
      </c>
      <c r="O338" s="124">
        <f>IF(A338="","",TEXT(A338,"yyyy-mm"))</f>
        <v/>
      </c>
      <c r="P338" s="121">
        <f>IF(A338="","",YEAR(A338))</f>
        <v/>
      </c>
      <c r="Q338" s="121">
        <f>IF(A338="","",MONTH(A338))</f>
        <v/>
      </c>
      <c r="R338" s="116" t="n"/>
      <c r="S338" s="116" t="n"/>
      <c r="T338" s="120" t="n"/>
      <c r="U338" s="122" t="n">
        <v>0</v>
      </c>
      <c r="V338" s="123">
        <f>IF(B338="","",N338-U338)</f>
        <v/>
      </c>
      <c r="W338" s="116" t="n"/>
      <c r="X338" s="125">
        <f>IF(B338="","",IF(LEFT(B338,2)="NC",-1,1))</f>
        <v/>
      </c>
      <c r="Y338" s="123">
        <f>IF(B338="",0,N(I338)*X338)</f>
        <v/>
      </c>
      <c r="Z338" s="123">
        <f>IF(B338="",0,N(J338)*X338)</f>
        <v/>
      </c>
      <c r="AA338" s="123">
        <f>IF(B338="",0,N(K338)*X338)</f>
        <v/>
      </c>
      <c r="AB338" s="123">
        <f>IF(B338="",0,N(L338)*X338)</f>
        <v/>
      </c>
      <c r="AC338" s="123">
        <f>IF(B338="",0,N(N338)*X338)</f>
        <v/>
      </c>
    </row>
    <row r="339" ht="15" customHeight="1" s="83">
      <c r="A339" s="120" t="n"/>
      <c r="B339" s="116" t="n"/>
      <c r="C339" s="116" t="n"/>
      <c r="D339" s="116" t="n"/>
      <c r="E339" s="116" t="n"/>
      <c r="F339" s="116" t="n"/>
      <c r="G339" s="116" t="n"/>
      <c r="H339" s="121">
        <f>IF(G339="","",IF(ISNUMBER(SEARCH("CAPITA",UPPER(G339))),651110,IF(ISNUMBER(SEARCH("REFUERZO",UPPER(G339))),651110,IF(ISNUMBER(SEARCH("VACUNACION",UPPER(G339))),651110,IF(ISNUMBER(SEARCH("ENFERMERIA",UPPER(G339))),651110,IF(ISNUMBER(SEARCH("APORTES",UPPER(G339))),651110,IF(ISNUMBER(SEARCH("HONORARIOS",UPPER(G339))),702010,IF(ISNUMBER(SEARCH("ADMINISTRACION",UPPER(G339))),702010,IF(ISNUMBER(SEARCH("GERENCIAMIENTO",UPPER(G339))),702010,IF(ISNUMBER(SEARCH("ALQUILER",UPPER(G339))),702010,IF(ISNUMBER(SEARCH("AUDITORIA",UPPER(G339))),702010,IF(ISNUMBER(SEARCH("PRESTACIONAL",UPPER(G339))),702010,702010))))))))))))</f>
        <v/>
      </c>
      <c r="I339" s="122" t="n"/>
      <c r="J339" s="122" t="n"/>
      <c r="K339" s="123">
        <f>IF(N(I339)&gt;0,ROUND(N(I339)*IVA_general,2),0)</f>
        <v/>
      </c>
      <c r="L339" s="122" t="n">
        <v>0</v>
      </c>
      <c r="M339" s="122" t="n"/>
      <c r="N339" s="123">
        <f>IF(SUM(I339:M339)=0,"",SUM(I339:M339))</f>
        <v/>
      </c>
      <c r="O339" s="124">
        <f>IF(A339="","",TEXT(A339,"yyyy-mm"))</f>
        <v/>
      </c>
      <c r="P339" s="121">
        <f>IF(A339="","",YEAR(A339))</f>
        <v/>
      </c>
      <c r="Q339" s="121">
        <f>IF(A339="","",MONTH(A339))</f>
        <v/>
      </c>
      <c r="R339" s="116" t="n"/>
      <c r="S339" s="116" t="n"/>
      <c r="T339" s="120" t="n"/>
      <c r="U339" s="122" t="n">
        <v>0</v>
      </c>
      <c r="V339" s="123">
        <f>IF(B339="","",N339-U339)</f>
        <v/>
      </c>
      <c r="W339" s="116" t="n"/>
      <c r="X339" s="125">
        <f>IF(B339="","",IF(LEFT(B339,2)="NC",-1,1))</f>
        <v/>
      </c>
      <c r="Y339" s="123">
        <f>IF(B339="",0,N(I339)*X339)</f>
        <v/>
      </c>
      <c r="Z339" s="123">
        <f>IF(B339="",0,N(J339)*X339)</f>
        <v/>
      </c>
      <c r="AA339" s="123">
        <f>IF(B339="",0,N(K339)*X339)</f>
        <v/>
      </c>
      <c r="AB339" s="123">
        <f>IF(B339="",0,N(L339)*X339)</f>
        <v/>
      </c>
      <c r="AC339" s="123">
        <f>IF(B339="",0,N(N339)*X339)</f>
        <v/>
      </c>
    </row>
    <row r="340" ht="15" customHeight="1" s="83">
      <c r="A340" s="120" t="n"/>
      <c r="B340" s="116" t="n"/>
      <c r="C340" s="116" t="n"/>
      <c r="D340" s="116" t="n"/>
      <c r="E340" s="116" t="n"/>
      <c r="F340" s="116" t="n"/>
      <c r="G340" s="116" t="n"/>
      <c r="H340" s="121">
        <f>IF(G340="","",IF(ISNUMBER(SEARCH("CAPITA",UPPER(G340))),651110,IF(ISNUMBER(SEARCH("REFUERZO",UPPER(G340))),651110,IF(ISNUMBER(SEARCH("VACUNACION",UPPER(G340))),651110,IF(ISNUMBER(SEARCH("ENFERMERIA",UPPER(G340))),651110,IF(ISNUMBER(SEARCH("APORTES",UPPER(G340))),651110,IF(ISNUMBER(SEARCH("HONORARIOS",UPPER(G340))),702010,IF(ISNUMBER(SEARCH("ADMINISTRACION",UPPER(G340))),702010,IF(ISNUMBER(SEARCH("GERENCIAMIENTO",UPPER(G340))),702010,IF(ISNUMBER(SEARCH("ALQUILER",UPPER(G340))),702010,IF(ISNUMBER(SEARCH("AUDITORIA",UPPER(G340))),702010,IF(ISNUMBER(SEARCH("PRESTACIONAL",UPPER(G340))),702010,702010))))))))))))</f>
        <v/>
      </c>
      <c r="I340" s="122" t="n"/>
      <c r="J340" s="122" t="n"/>
      <c r="K340" s="123">
        <f>IF(N(I340)&gt;0,ROUND(N(I340)*IVA_general,2),0)</f>
        <v/>
      </c>
      <c r="L340" s="122" t="n">
        <v>0</v>
      </c>
      <c r="M340" s="122" t="n"/>
      <c r="N340" s="123">
        <f>IF(SUM(I340:M340)=0,"",SUM(I340:M340))</f>
        <v/>
      </c>
      <c r="O340" s="124">
        <f>IF(A340="","",TEXT(A340,"yyyy-mm"))</f>
        <v/>
      </c>
      <c r="P340" s="121">
        <f>IF(A340="","",YEAR(A340))</f>
        <v/>
      </c>
      <c r="Q340" s="121">
        <f>IF(A340="","",MONTH(A340))</f>
        <v/>
      </c>
      <c r="R340" s="116" t="n"/>
      <c r="S340" s="116" t="n"/>
      <c r="T340" s="120" t="n"/>
      <c r="U340" s="122" t="n">
        <v>0</v>
      </c>
      <c r="V340" s="123">
        <f>IF(B340="","",N340-U340)</f>
        <v/>
      </c>
      <c r="W340" s="116" t="n"/>
      <c r="X340" s="125">
        <f>IF(B340="","",IF(LEFT(B340,2)="NC",-1,1))</f>
        <v/>
      </c>
      <c r="Y340" s="123">
        <f>IF(B340="",0,N(I340)*X340)</f>
        <v/>
      </c>
      <c r="Z340" s="123">
        <f>IF(B340="",0,N(J340)*X340)</f>
        <v/>
      </c>
      <c r="AA340" s="123">
        <f>IF(B340="",0,N(K340)*X340)</f>
        <v/>
      </c>
      <c r="AB340" s="123">
        <f>IF(B340="",0,N(L340)*X340)</f>
        <v/>
      </c>
      <c r="AC340" s="123">
        <f>IF(B340="",0,N(N340)*X340)</f>
        <v/>
      </c>
    </row>
    <row r="341" ht="15" customHeight="1" s="83">
      <c r="A341" s="120" t="n"/>
      <c r="B341" s="116" t="n"/>
      <c r="C341" s="116" t="n"/>
      <c r="D341" s="116" t="n"/>
      <c r="E341" s="116" t="n"/>
      <c r="F341" s="116" t="n"/>
      <c r="G341" s="116" t="n"/>
      <c r="H341" s="121">
        <f>IF(G341="","",IF(ISNUMBER(SEARCH("CAPITA",UPPER(G341))),651110,IF(ISNUMBER(SEARCH("REFUERZO",UPPER(G341))),651110,IF(ISNUMBER(SEARCH("VACUNACION",UPPER(G341))),651110,IF(ISNUMBER(SEARCH("ENFERMERIA",UPPER(G341))),651110,IF(ISNUMBER(SEARCH("APORTES",UPPER(G341))),651110,IF(ISNUMBER(SEARCH("HONORARIOS",UPPER(G341))),702010,IF(ISNUMBER(SEARCH("ADMINISTRACION",UPPER(G341))),702010,IF(ISNUMBER(SEARCH("GERENCIAMIENTO",UPPER(G341))),702010,IF(ISNUMBER(SEARCH("ALQUILER",UPPER(G341))),702010,IF(ISNUMBER(SEARCH("AUDITORIA",UPPER(G341))),702010,IF(ISNUMBER(SEARCH("PRESTACIONAL",UPPER(G341))),702010,702010))))))))))))</f>
        <v/>
      </c>
      <c r="I341" s="122" t="n"/>
      <c r="J341" s="122" t="n"/>
      <c r="K341" s="123">
        <f>IF(N(I341)&gt;0,ROUND(N(I341)*IVA_general,2),0)</f>
        <v/>
      </c>
      <c r="L341" s="122" t="n">
        <v>0</v>
      </c>
      <c r="M341" s="122" t="n"/>
      <c r="N341" s="123">
        <f>IF(SUM(I341:M341)=0,"",SUM(I341:M341))</f>
        <v/>
      </c>
      <c r="O341" s="124">
        <f>IF(A341="","",TEXT(A341,"yyyy-mm"))</f>
        <v/>
      </c>
      <c r="P341" s="121">
        <f>IF(A341="","",YEAR(A341))</f>
        <v/>
      </c>
      <c r="Q341" s="121">
        <f>IF(A341="","",MONTH(A341))</f>
        <v/>
      </c>
      <c r="R341" s="116" t="n"/>
      <c r="S341" s="116" t="n"/>
      <c r="T341" s="120" t="n"/>
      <c r="U341" s="122" t="n">
        <v>0</v>
      </c>
      <c r="V341" s="123">
        <f>IF(B341="","",N341-U341)</f>
        <v/>
      </c>
      <c r="W341" s="116" t="n"/>
      <c r="X341" s="125">
        <f>IF(B341="","",IF(LEFT(B341,2)="NC",-1,1))</f>
        <v/>
      </c>
      <c r="Y341" s="123">
        <f>IF(B341="",0,N(I341)*X341)</f>
        <v/>
      </c>
      <c r="Z341" s="123">
        <f>IF(B341="",0,N(J341)*X341)</f>
        <v/>
      </c>
      <c r="AA341" s="123">
        <f>IF(B341="",0,N(K341)*X341)</f>
        <v/>
      </c>
      <c r="AB341" s="123">
        <f>IF(B341="",0,N(L341)*X341)</f>
        <v/>
      </c>
      <c r="AC341" s="123">
        <f>IF(B341="",0,N(N341)*X341)</f>
        <v/>
      </c>
    </row>
    <row r="342" ht="15" customHeight="1" s="83">
      <c r="A342" s="120" t="n"/>
      <c r="B342" s="116" t="n"/>
      <c r="C342" s="116" t="n"/>
      <c r="D342" s="116" t="n"/>
      <c r="E342" s="116" t="n"/>
      <c r="F342" s="116" t="n"/>
      <c r="G342" s="116" t="n"/>
      <c r="H342" s="121">
        <f>IF(G342="","",IF(ISNUMBER(SEARCH("CAPITA",UPPER(G342))),651110,IF(ISNUMBER(SEARCH("REFUERZO",UPPER(G342))),651110,IF(ISNUMBER(SEARCH("VACUNACION",UPPER(G342))),651110,IF(ISNUMBER(SEARCH("ENFERMERIA",UPPER(G342))),651110,IF(ISNUMBER(SEARCH("APORTES",UPPER(G342))),651110,IF(ISNUMBER(SEARCH("HONORARIOS",UPPER(G342))),702010,IF(ISNUMBER(SEARCH("ADMINISTRACION",UPPER(G342))),702010,IF(ISNUMBER(SEARCH("GERENCIAMIENTO",UPPER(G342))),702010,IF(ISNUMBER(SEARCH("ALQUILER",UPPER(G342))),702010,IF(ISNUMBER(SEARCH("AUDITORIA",UPPER(G342))),702010,IF(ISNUMBER(SEARCH("PRESTACIONAL",UPPER(G342))),702010,702010))))))))))))</f>
        <v/>
      </c>
      <c r="I342" s="122" t="n"/>
      <c r="J342" s="122" t="n"/>
      <c r="K342" s="123">
        <f>IF(N(I342)&gt;0,ROUND(N(I342)*IVA_general,2),0)</f>
        <v/>
      </c>
      <c r="L342" s="122" t="n">
        <v>0</v>
      </c>
      <c r="M342" s="122" t="n"/>
      <c r="N342" s="123">
        <f>IF(SUM(I342:M342)=0,"",SUM(I342:M342))</f>
        <v/>
      </c>
      <c r="O342" s="124">
        <f>IF(A342="","",TEXT(A342,"yyyy-mm"))</f>
        <v/>
      </c>
      <c r="P342" s="121">
        <f>IF(A342="","",YEAR(A342))</f>
        <v/>
      </c>
      <c r="Q342" s="121">
        <f>IF(A342="","",MONTH(A342))</f>
        <v/>
      </c>
      <c r="R342" s="116" t="n"/>
      <c r="S342" s="116" t="n"/>
      <c r="T342" s="120" t="n"/>
      <c r="U342" s="122" t="n">
        <v>0</v>
      </c>
      <c r="V342" s="123">
        <f>IF(B342="","",N342-U342)</f>
        <v/>
      </c>
      <c r="W342" s="116" t="n"/>
      <c r="X342" s="125">
        <f>IF(B342="","",IF(LEFT(B342,2)="NC",-1,1))</f>
        <v/>
      </c>
      <c r="Y342" s="123">
        <f>IF(B342="",0,N(I342)*X342)</f>
        <v/>
      </c>
      <c r="Z342" s="123">
        <f>IF(B342="",0,N(J342)*X342)</f>
        <v/>
      </c>
      <c r="AA342" s="123">
        <f>IF(B342="",0,N(K342)*X342)</f>
        <v/>
      </c>
      <c r="AB342" s="123">
        <f>IF(B342="",0,N(L342)*X342)</f>
        <v/>
      </c>
      <c r="AC342" s="123">
        <f>IF(B342="",0,N(N342)*X342)</f>
        <v/>
      </c>
    </row>
    <row r="343" ht="15" customHeight="1" s="83">
      <c r="A343" s="120" t="n"/>
      <c r="B343" s="116" t="n"/>
      <c r="C343" s="116" t="n"/>
      <c r="D343" s="116" t="n"/>
      <c r="E343" s="116" t="n"/>
      <c r="F343" s="116" t="n"/>
      <c r="G343" s="116" t="n"/>
      <c r="H343" s="121">
        <f>IF(G343="","",IF(ISNUMBER(SEARCH("CAPITA",UPPER(G343))),651110,IF(ISNUMBER(SEARCH("REFUERZO",UPPER(G343))),651110,IF(ISNUMBER(SEARCH("VACUNACION",UPPER(G343))),651110,IF(ISNUMBER(SEARCH("ENFERMERIA",UPPER(G343))),651110,IF(ISNUMBER(SEARCH("APORTES",UPPER(G343))),651110,IF(ISNUMBER(SEARCH("HONORARIOS",UPPER(G343))),702010,IF(ISNUMBER(SEARCH("ADMINISTRACION",UPPER(G343))),702010,IF(ISNUMBER(SEARCH("GERENCIAMIENTO",UPPER(G343))),702010,IF(ISNUMBER(SEARCH("ALQUILER",UPPER(G343))),702010,IF(ISNUMBER(SEARCH("AUDITORIA",UPPER(G343))),702010,IF(ISNUMBER(SEARCH("PRESTACIONAL",UPPER(G343))),702010,702010))))))))))))</f>
        <v/>
      </c>
      <c r="I343" s="122" t="n"/>
      <c r="J343" s="122" t="n"/>
      <c r="K343" s="123">
        <f>IF(N(I343)&gt;0,ROUND(N(I343)*IVA_general,2),0)</f>
        <v/>
      </c>
      <c r="L343" s="122" t="n">
        <v>0</v>
      </c>
      <c r="M343" s="122" t="n"/>
      <c r="N343" s="123">
        <f>IF(SUM(I343:M343)=0,"",SUM(I343:M343))</f>
        <v/>
      </c>
      <c r="O343" s="124">
        <f>IF(A343="","",TEXT(A343,"yyyy-mm"))</f>
        <v/>
      </c>
      <c r="P343" s="121">
        <f>IF(A343="","",YEAR(A343))</f>
        <v/>
      </c>
      <c r="Q343" s="121">
        <f>IF(A343="","",MONTH(A343))</f>
        <v/>
      </c>
      <c r="R343" s="116" t="n"/>
      <c r="S343" s="116" t="n"/>
      <c r="T343" s="120" t="n"/>
      <c r="U343" s="122" t="n">
        <v>0</v>
      </c>
      <c r="V343" s="123">
        <f>IF(B343="","",N343-U343)</f>
        <v/>
      </c>
      <c r="W343" s="116" t="n"/>
      <c r="X343" s="125">
        <f>IF(B343="","",IF(LEFT(B343,2)="NC",-1,1))</f>
        <v/>
      </c>
      <c r="Y343" s="123">
        <f>IF(B343="",0,N(I343)*X343)</f>
        <v/>
      </c>
      <c r="Z343" s="123">
        <f>IF(B343="",0,N(J343)*X343)</f>
        <v/>
      </c>
      <c r="AA343" s="123">
        <f>IF(B343="",0,N(K343)*X343)</f>
        <v/>
      </c>
      <c r="AB343" s="123">
        <f>IF(B343="",0,N(L343)*X343)</f>
        <v/>
      </c>
      <c r="AC343" s="123">
        <f>IF(B343="",0,N(N343)*X343)</f>
        <v/>
      </c>
    </row>
    <row r="344" ht="15" customHeight="1" s="83">
      <c r="A344" s="120" t="n"/>
      <c r="B344" s="116" t="n"/>
      <c r="C344" s="116" t="n"/>
      <c r="D344" s="116" t="n"/>
      <c r="E344" s="116" t="n"/>
      <c r="F344" s="116" t="n"/>
      <c r="G344" s="116" t="n"/>
      <c r="H344" s="121">
        <f>IF(G344="","",IF(ISNUMBER(SEARCH("CAPITA",UPPER(G344))),651110,IF(ISNUMBER(SEARCH("REFUERZO",UPPER(G344))),651110,IF(ISNUMBER(SEARCH("VACUNACION",UPPER(G344))),651110,IF(ISNUMBER(SEARCH("ENFERMERIA",UPPER(G344))),651110,IF(ISNUMBER(SEARCH("APORTES",UPPER(G344))),651110,IF(ISNUMBER(SEARCH("HONORARIOS",UPPER(G344))),702010,IF(ISNUMBER(SEARCH("ADMINISTRACION",UPPER(G344))),702010,IF(ISNUMBER(SEARCH("GERENCIAMIENTO",UPPER(G344))),702010,IF(ISNUMBER(SEARCH("ALQUILER",UPPER(G344))),702010,IF(ISNUMBER(SEARCH("AUDITORIA",UPPER(G344))),702010,IF(ISNUMBER(SEARCH("PRESTACIONAL",UPPER(G344))),702010,702010))))))))))))</f>
        <v/>
      </c>
      <c r="I344" s="122" t="n"/>
      <c r="J344" s="122" t="n"/>
      <c r="K344" s="123">
        <f>IF(N(I344)&gt;0,ROUND(N(I344)*IVA_general,2),0)</f>
        <v/>
      </c>
      <c r="L344" s="122" t="n">
        <v>0</v>
      </c>
      <c r="M344" s="122" t="n"/>
      <c r="N344" s="123">
        <f>IF(SUM(I344:M344)=0,"",SUM(I344:M344))</f>
        <v/>
      </c>
      <c r="O344" s="124">
        <f>IF(A344="","",TEXT(A344,"yyyy-mm"))</f>
        <v/>
      </c>
      <c r="P344" s="121">
        <f>IF(A344="","",YEAR(A344))</f>
        <v/>
      </c>
      <c r="Q344" s="121">
        <f>IF(A344="","",MONTH(A344))</f>
        <v/>
      </c>
      <c r="R344" s="116" t="n"/>
      <c r="S344" s="116" t="n"/>
      <c r="T344" s="120" t="n"/>
      <c r="U344" s="122" t="n">
        <v>0</v>
      </c>
      <c r="V344" s="123">
        <f>IF(B344="","",N344-U344)</f>
        <v/>
      </c>
      <c r="W344" s="116" t="n"/>
      <c r="X344" s="125">
        <f>IF(B344="","",IF(LEFT(B344,2)="NC",-1,1))</f>
        <v/>
      </c>
      <c r="Y344" s="123">
        <f>IF(B344="",0,N(I344)*X344)</f>
        <v/>
      </c>
      <c r="Z344" s="123">
        <f>IF(B344="",0,N(J344)*X344)</f>
        <v/>
      </c>
      <c r="AA344" s="123">
        <f>IF(B344="",0,N(K344)*X344)</f>
        <v/>
      </c>
      <c r="AB344" s="123">
        <f>IF(B344="",0,N(L344)*X344)</f>
        <v/>
      </c>
      <c r="AC344" s="123">
        <f>IF(B344="",0,N(N344)*X344)</f>
        <v/>
      </c>
    </row>
    <row r="345" ht="15" customHeight="1" s="83">
      <c r="A345" s="120" t="n"/>
      <c r="B345" s="116" t="n"/>
      <c r="C345" s="116" t="n"/>
      <c r="D345" s="116" t="n"/>
      <c r="E345" s="116" t="n"/>
      <c r="F345" s="116" t="n"/>
      <c r="G345" s="116" t="n"/>
      <c r="H345" s="121">
        <f>IF(G345="","",IF(ISNUMBER(SEARCH("CAPITA",UPPER(G345))),651110,IF(ISNUMBER(SEARCH("REFUERZO",UPPER(G345))),651110,IF(ISNUMBER(SEARCH("VACUNACION",UPPER(G345))),651110,IF(ISNUMBER(SEARCH("ENFERMERIA",UPPER(G345))),651110,IF(ISNUMBER(SEARCH("APORTES",UPPER(G345))),651110,IF(ISNUMBER(SEARCH("HONORARIOS",UPPER(G345))),702010,IF(ISNUMBER(SEARCH("ADMINISTRACION",UPPER(G345))),702010,IF(ISNUMBER(SEARCH("GERENCIAMIENTO",UPPER(G345))),702010,IF(ISNUMBER(SEARCH("ALQUILER",UPPER(G345))),702010,IF(ISNUMBER(SEARCH("AUDITORIA",UPPER(G345))),702010,IF(ISNUMBER(SEARCH("PRESTACIONAL",UPPER(G345))),702010,702010))))))))))))</f>
        <v/>
      </c>
      <c r="I345" s="122" t="n"/>
      <c r="J345" s="122" t="n"/>
      <c r="K345" s="123">
        <f>IF(N(I345)&gt;0,ROUND(N(I345)*IVA_general,2),0)</f>
        <v/>
      </c>
      <c r="L345" s="122" t="n">
        <v>0</v>
      </c>
      <c r="M345" s="122" t="n"/>
      <c r="N345" s="123">
        <f>IF(SUM(I345:M345)=0,"",SUM(I345:M345))</f>
        <v/>
      </c>
      <c r="O345" s="124">
        <f>IF(A345="","",TEXT(A345,"yyyy-mm"))</f>
        <v/>
      </c>
      <c r="P345" s="121">
        <f>IF(A345="","",YEAR(A345))</f>
        <v/>
      </c>
      <c r="Q345" s="121">
        <f>IF(A345="","",MONTH(A345))</f>
        <v/>
      </c>
      <c r="R345" s="116" t="n"/>
      <c r="S345" s="116" t="n"/>
      <c r="T345" s="120" t="n"/>
      <c r="U345" s="122" t="n">
        <v>0</v>
      </c>
      <c r="V345" s="123">
        <f>IF(B345="","",N345-U345)</f>
        <v/>
      </c>
      <c r="W345" s="116" t="n"/>
      <c r="X345" s="125">
        <f>IF(B345="","",IF(LEFT(B345,2)="NC",-1,1))</f>
        <v/>
      </c>
      <c r="Y345" s="123">
        <f>IF(B345="",0,N(I345)*X345)</f>
        <v/>
      </c>
      <c r="Z345" s="123">
        <f>IF(B345="",0,N(J345)*X345)</f>
        <v/>
      </c>
      <c r="AA345" s="123">
        <f>IF(B345="",0,N(K345)*X345)</f>
        <v/>
      </c>
      <c r="AB345" s="123">
        <f>IF(B345="",0,N(L345)*X345)</f>
        <v/>
      </c>
      <c r="AC345" s="123">
        <f>IF(B345="",0,N(N345)*X345)</f>
        <v/>
      </c>
    </row>
    <row r="346" ht="15" customHeight="1" s="83">
      <c r="A346" s="120" t="n"/>
      <c r="B346" s="116" t="n"/>
      <c r="C346" s="116" t="n"/>
      <c r="D346" s="116" t="n"/>
      <c r="E346" s="116" t="n"/>
      <c r="F346" s="116" t="n"/>
      <c r="G346" s="116" t="n"/>
      <c r="H346" s="121">
        <f>IF(G346="","",IF(ISNUMBER(SEARCH("CAPITA",UPPER(G346))),651110,IF(ISNUMBER(SEARCH("REFUERZO",UPPER(G346))),651110,IF(ISNUMBER(SEARCH("VACUNACION",UPPER(G346))),651110,IF(ISNUMBER(SEARCH("ENFERMERIA",UPPER(G346))),651110,IF(ISNUMBER(SEARCH("APORTES",UPPER(G346))),651110,IF(ISNUMBER(SEARCH("HONORARIOS",UPPER(G346))),702010,IF(ISNUMBER(SEARCH("ADMINISTRACION",UPPER(G346))),702010,IF(ISNUMBER(SEARCH("GERENCIAMIENTO",UPPER(G346))),702010,IF(ISNUMBER(SEARCH("ALQUILER",UPPER(G346))),702010,IF(ISNUMBER(SEARCH("AUDITORIA",UPPER(G346))),702010,IF(ISNUMBER(SEARCH("PRESTACIONAL",UPPER(G346))),702010,702010))))))))))))</f>
        <v/>
      </c>
      <c r="I346" s="122" t="n"/>
      <c r="J346" s="122" t="n"/>
      <c r="K346" s="123">
        <f>IF(N(I346)&gt;0,ROUND(N(I346)*IVA_general,2),0)</f>
        <v/>
      </c>
      <c r="L346" s="122" t="n">
        <v>0</v>
      </c>
      <c r="M346" s="122" t="n"/>
      <c r="N346" s="123">
        <f>IF(SUM(I346:M346)=0,"",SUM(I346:M346))</f>
        <v/>
      </c>
      <c r="O346" s="124">
        <f>IF(A346="","",TEXT(A346,"yyyy-mm"))</f>
        <v/>
      </c>
      <c r="P346" s="121">
        <f>IF(A346="","",YEAR(A346))</f>
        <v/>
      </c>
      <c r="Q346" s="121">
        <f>IF(A346="","",MONTH(A346))</f>
        <v/>
      </c>
      <c r="R346" s="116" t="n"/>
      <c r="S346" s="116" t="n"/>
      <c r="T346" s="120" t="n"/>
      <c r="U346" s="122" t="n">
        <v>0</v>
      </c>
      <c r="V346" s="123">
        <f>IF(B346="","",N346-U346)</f>
        <v/>
      </c>
      <c r="W346" s="116" t="n"/>
      <c r="X346" s="125">
        <f>IF(B346="","",IF(LEFT(B346,2)="NC",-1,1))</f>
        <v/>
      </c>
      <c r="Y346" s="123">
        <f>IF(B346="",0,N(I346)*X346)</f>
        <v/>
      </c>
      <c r="Z346" s="123">
        <f>IF(B346="",0,N(J346)*X346)</f>
        <v/>
      </c>
      <c r="AA346" s="123">
        <f>IF(B346="",0,N(K346)*X346)</f>
        <v/>
      </c>
      <c r="AB346" s="123">
        <f>IF(B346="",0,N(L346)*X346)</f>
        <v/>
      </c>
      <c r="AC346" s="123">
        <f>IF(B346="",0,N(N346)*X346)</f>
        <v/>
      </c>
    </row>
    <row r="347" ht="15" customHeight="1" s="83">
      <c r="A347" s="120" t="n"/>
      <c r="B347" s="116" t="n"/>
      <c r="C347" s="116" t="n"/>
      <c r="D347" s="116" t="n"/>
      <c r="E347" s="116" t="n"/>
      <c r="F347" s="116" t="n"/>
      <c r="G347" s="116" t="n"/>
      <c r="H347" s="121">
        <f>IF(G347="","",IF(ISNUMBER(SEARCH("CAPITA",UPPER(G347))),651110,IF(ISNUMBER(SEARCH("REFUERZO",UPPER(G347))),651110,IF(ISNUMBER(SEARCH("VACUNACION",UPPER(G347))),651110,IF(ISNUMBER(SEARCH("ENFERMERIA",UPPER(G347))),651110,IF(ISNUMBER(SEARCH("APORTES",UPPER(G347))),651110,IF(ISNUMBER(SEARCH("HONORARIOS",UPPER(G347))),702010,IF(ISNUMBER(SEARCH("ADMINISTRACION",UPPER(G347))),702010,IF(ISNUMBER(SEARCH("GERENCIAMIENTO",UPPER(G347))),702010,IF(ISNUMBER(SEARCH("ALQUILER",UPPER(G347))),702010,IF(ISNUMBER(SEARCH("AUDITORIA",UPPER(G347))),702010,IF(ISNUMBER(SEARCH("PRESTACIONAL",UPPER(G347))),702010,702010))))))))))))</f>
        <v/>
      </c>
      <c r="I347" s="122" t="n"/>
      <c r="J347" s="122" t="n"/>
      <c r="K347" s="123">
        <f>IF(N(I347)&gt;0,ROUND(N(I347)*IVA_general,2),0)</f>
        <v/>
      </c>
      <c r="L347" s="122" t="n">
        <v>0</v>
      </c>
      <c r="M347" s="122" t="n"/>
      <c r="N347" s="123">
        <f>IF(SUM(I347:M347)=0,"",SUM(I347:M347))</f>
        <v/>
      </c>
      <c r="O347" s="124">
        <f>IF(A347="","",TEXT(A347,"yyyy-mm"))</f>
        <v/>
      </c>
      <c r="P347" s="121">
        <f>IF(A347="","",YEAR(A347))</f>
        <v/>
      </c>
      <c r="Q347" s="121">
        <f>IF(A347="","",MONTH(A347))</f>
        <v/>
      </c>
      <c r="R347" s="116" t="n"/>
      <c r="S347" s="116" t="n"/>
      <c r="T347" s="120" t="n"/>
      <c r="U347" s="122" t="n">
        <v>0</v>
      </c>
      <c r="V347" s="123">
        <f>IF(B347="","",N347-U347)</f>
        <v/>
      </c>
      <c r="W347" s="116" t="n"/>
      <c r="X347" s="125">
        <f>IF(B347="","",IF(LEFT(B347,2)="NC",-1,1))</f>
        <v/>
      </c>
      <c r="Y347" s="123">
        <f>IF(B347="",0,N(I347)*X347)</f>
        <v/>
      </c>
      <c r="Z347" s="123">
        <f>IF(B347="",0,N(J347)*X347)</f>
        <v/>
      </c>
      <c r="AA347" s="123">
        <f>IF(B347="",0,N(K347)*X347)</f>
        <v/>
      </c>
      <c r="AB347" s="123">
        <f>IF(B347="",0,N(L347)*X347)</f>
        <v/>
      </c>
      <c r="AC347" s="123">
        <f>IF(B347="",0,N(N347)*X347)</f>
        <v/>
      </c>
    </row>
    <row r="348" ht="15" customHeight="1" s="83">
      <c r="A348" s="120" t="n"/>
      <c r="B348" s="116" t="n"/>
      <c r="C348" s="116" t="n"/>
      <c r="D348" s="116" t="n"/>
      <c r="E348" s="116" t="n"/>
      <c r="F348" s="116" t="n"/>
      <c r="G348" s="116" t="n"/>
      <c r="H348" s="121">
        <f>IF(G348="","",IF(ISNUMBER(SEARCH("CAPITA",UPPER(G348))),651110,IF(ISNUMBER(SEARCH("REFUERZO",UPPER(G348))),651110,IF(ISNUMBER(SEARCH("VACUNACION",UPPER(G348))),651110,IF(ISNUMBER(SEARCH("ENFERMERIA",UPPER(G348))),651110,IF(ISNUMBER(SEARCH("APORTES",UPPER(G348))),651110,IF(ISNUMBER(SEARCH("HONORARIOS",UPPER(G348))),702010,IF(ISNUMBER(SEARCH("ADMINISTRACION",UPPER(G348))),702010,IF(ISNUMBER(SEARCH("GERENCIAMIENTO",UPPER(G348))),702010,IF(ISNUMBER(SEARCH("ALQUILER",UPPER(G348))),702010,IF(ISNUMBER(SEARCH("AUDITORIA",UPPER(G348))),702010,IF(ISNUMBER(SEARCH("PRESTACIONAL",UPPER(G348))),702010,702010))))))))))))</f>
        <v/>
      </c>
      <c r="I348" s="122" t="n"/>
      <c r="J348" s="122" t="n"/>
      <c r="K348" s="123">
        <f>IF(N(I348)&gt;0,ROUND(N(I348)*IVA_general,2),0)</f>
        <v/>
      </c>
      <c r="L348" s="122" t="n">
        <v>0</v>
      </c>
      <c r="M348" s="122" t="n"/>
      <c r="N348" s="123">
        <f>IF(SUM(I348:M348)=0,"",SUM(I348:M348))</f>
        <v/>
      </c>
      <c r="O348" s="124">
        <f>IF(A348="","",TEXT(A348,"yyyy-mm"))</f>
        <v/>
      </c>
      <c r="P348" s="121">
        <f>IF(A348="","",YEAR(A348))</f>
        <v/>
      </c>
      <c r="Q348" s="121">
        <f>IF(A348="","",MONTH(A348))</f>
        <v/>
      </c>
      <c r="R348" s="116" t="n"/>
      <c r="S348" s="116" t="n"/>
      <c r="T348" s="120" t="n"/>
      <c r="U348" s="122" t="n">
        <v>0</v>
      </c>
      <c r="V348" s="123">
        <f>IF(B348="","",N348-U348)</f>
        <v/>
      </c>
      <c r="W348" s="116" t="n"/>
      <c r="X348" s="125">
        <f>IF(B348="","",IF(LEFT(B348,2)="NC",-1,1))</f>
        <v/>
      </c>
      <c r="Y348" s="123">
        <f>IF(B348="",0,N(I348)*X348)</f>
        <v/>
      </c>
      <c r="Z348" s="123">
        <f>IF(B348="",0,N(J348)*X348)</f>
        <v/>
      </c>
      <c r="AA348" s="123">
        <f>IF(B348="",0,N(K348)*X348)</f>
        <v/>
      </c>
      <c r="AB348" s="123">
        <f>IF(B348="",0,N(L348)*X348)</f>
        <v/>
      </c>
      <c r="AC348" s="123">
        <f>IF(B348="",0,N(N348)*X348)</f>
        <v/>
      </c>
    </row>
    <row r="349" ht="15" customHeight="1" s="83">
      <c r="A349" s="120" t="n"/>
      <c r="B349" s="116" t="n"/>
      <c r="C349" s="116" t="n"/>
      <c r="D349" s="116" t="n"/>
      <c r="E349" s="116" t="n"/>
      <c r="F349" s="116" t="n"/>
      <c r="G349" s="116" t="n"/>
      <c r="H349" s="121">
        <f>IF(G349="","",IF(ISNUMBER(SEARCH("CAPITA",UPPER(G349))),651110,IF(ISNUMBER(SEARCH("REFUERZO",UPPER(G349))),651110,IF(ISNUMBER(SEARCH("VACUNACION",UPPER(G349))),651110,IF(ISNUMBER(SEARCH("ENFERMERIA",UPPER(G349))),651110,IF(ISNUMBER(SEARCH("APORTES",UPPER(G349))),651110,IF(ISNUMBER(SEARCH("HONORARIOS",UPPER(G349))),702010,IF(ISNUMBER(SEARCH("ADMINISTRACION",UPPER(G349))),702010,IF(ISNUMBER(SEARCH("GERENCIAMIENTO",UPPER(G349))),702010,IF(ISNUMBER(SEARCH("ALQUILER",UPPER(G349))),702010,IF(ISNUMBER(SEARCH("AUDITORIA",UPPER(G349))),702010,IF(ISNUMBER(SEARCH("PRESTACIONAL",UPPER(G349))),702010,702010))))))))))))</f>
        <v/>
      </c>
      <c r="I349" s="122" t="n"/>
      <c r="J349" s="122" t="n"/>
      <c r="K349" s="123">
        <f>IF(N(I349)&gt;0,ROUND(N(I349)*IVA_general,2),0)</f>
        <v/>
      </c>
      <c r="L349" s="122" t="n">
        <v>0</v>
      </c>
      <c r="M349" s="122" t="n"/>
      <c r="N349" s="123">
        <f>IF(SUM(I349:M349)=0,"",SUM(I349:M349))</f>
        <v/>
      </c>
      <c r="O349" s="124">
        <f>IF(A349="","",TEXT(A349,"yyyy-mm"))</f>
        <v/>
      </c>
      <c r="P349" s="121">
        <f>IF(A349="","",YEAR(A349))</f>
        <v/>
      </c>
      <c r="Q349" s="121">
        <f>IF(A349="","",MONTH(A349))</f>
        <v/>
      </c>
      <c r="R349" s="116" t="n"/>
      <c r="S349" s="116" t="n"/>
      <c r="T349" s="120" t="n"/>
      <c r="U349" s="122" t="n">
        <v>0</v>
      </c>
      <c r="V349" s="123">
        <f>IF(B349="","",N349-U349)</f>
        <v/>
      </c>
      <c r="W349" s="116" t="n"/>
      <c r="X349" s="125">
        <f>IF(B349="","",IF(LEFT(B349,2)="NC",-1,1))</f>
        <v/>
      </c>
      <c r="Y349" s="123">
        <f>IF(B349="",0,N(I349)*X349)</f>
        <v/>
      </c>
      <c r="Z349" s="123">
        <f>IF(B349="",0,N(J349)*X349)</f>
        <v/>
      </c>
      <c r="AA349" s="123">
        <f>IF(B349="",0,N(K349)*X349)</f>
        <v/>
      </c>
      <c r="AB349" s="123">
        <f>IF(B349="",0,N(L349)*X349)</f>
        <v/>
      </c>
      <c r="AC349" s="123">
        <f>IF(B349="",0,N(N349)*X349)</f>
        <v/>
      </c>
    </row>
    <row r="350" ht="15" customHeight="1" s="83">
      <c r="A350" s="120" t="n"/>
      <c r="B350" s="116" t="n"/>
      <c r="C350" s="116" t="n"/>
      <c r="D350" s="116" t="n"/>
      <c r="E350" s="116" t="n"/>
      <c r="F350" s="116" t="n"/>
      <c r="G350" s="116" t="n"/>
      <c r="H350" s="121">
        <f>IF(G350="","",IF(ISNUMBER(SEARCH("CAPITA",UPPER(G350))),651110,IF(ISNUMBER(SEARCH("REFUERZO",UPPER(G350))),651110,IF(ISNUMBER(SEARCH("VACUNACION",UPPER(G350))),651110,IF(ISNUMBER(SEARCH("ENFERMERIA",UPPER(G350))),651110,IF(ISNUMBER(SEARCH("APORTES",UPPER(G350))),651110,IF(ISNUMBER(SEARCH("HONORARIOS",UPPER(G350))),702010,IF(ISNUMBER(SEARCH("ADMINISTRACION",UPPER(G350))),702010,IF(ISNUMBER(SEARCH("GERENCIAMIENTO",UPPER(G350))),702010,IF(ISNUMBER(SEARCH("ALQUILER",UPPER(G350))),702010,IF(ISNUMBER(SEARCH("AUDITORIA",UPPER(G350))),702010,IF(ISNUMBER(SEARCH("PRESTACIONAL",UPPER(G350))),702010,702010))))))))))))</f>
        <v/>
      </c>
      <c r="I350" s="122" t="n"/>
      <c r="J350" s="122" t="n"/>
      <c r="K350" s="123">
        <f>IF(N(I350)&gt;0,ROUND(N(I350)*IVA_general,2),0)</f>
        <v/>
      </c>
      <c r="L350" s="122" t="n">
        <v>0</v>
      </c>
      <c r="M350" s="122" t="n"/>
      <c r="N350" s="123">
        <f>IF(SUM(I350:M350)=0,"",SUM(I350:M350))</f>
        <v/>
      </c>
      <c r="O350" s="124">
        <f>IF(A350="","",TEXT(A350,"yyyy-mm"))</f>
        <v/>
      </c>
      <c r="P350" s="121">
        <f>IF(A350="","",YEAR(A350))</f>
        <v/>
      </c>
      <c r="Q350" s="121">
        <f>IF(A350="","",MONTH(A350))</f>
        <v/>
      </c>
      <c r="R350" s="116" t="n"/>
      <c r="S350" s="116" t="n"/>
      <c r="T350" s="120" t="n"/>
      <c r="U350" s="122" t="n">
        <v>0</v>
      </c>
      <c r="V350" s="123">
        <f>IF(B350="","",N350-U350)</f>
        <v/>
      </c>
      <c r="W350" s="116" t="n"/>
      <c r="X350" s="125">
        <f>IF(B350="","",IF(LEFT(B350,2)="NC",-1,1))</f>
        <v/>
      </c>
      <c r="Y350" s="123">
        <f>IF(B350="",0,N(I350)*X350)</f>
        <v/>
      </c>
      <c r="Z350" s="123">
        <f>IF(B350="",0,N(J350)*X350)</f>
        <v/>
      </c>
      <c r="AA350" s="123">
        <f>IF(B350="",0,N(K350)*X350)</f>
        <v/>
      </c>
      <c r="AB350" s="123">
        <f>IF(B350="",0,N(L350)*X350)</f>
        <v/>
      </c>
      <c r="AC350" s="123">
        <f>IF(B350="",0,N(N350)*X350)</f>
        <v/>
      </c>
    </row>
    <row r="351" ht="15" customHeight="1" s="83">
      <c r="A351" s="120" t="n"/>
      <c r="B351" s="116" t="n"/>
      <c r="C351" s="116" t="n"/>
      <c r="D351" s="116" t="n"/>
      <c r="E351" s="116" t="n"/>
      <c r="F351" s="116" t="n"/>
      <c r="G351" s="116" t="n"/>
      <c r="H351" s="121">
        <f>IF(G351="","",IF(ISNUMBER(SEARCH("CAPITA",UPPER(G351))),651110,IF(ISNUMBER(SEARCH("REFUERZO",UPPER(G351))),651110,IF(ISNUMBER(SEARCH("VACUNACION",UPPER(G351))),651110,IF(ISNUMBER(SEARCH("ENFERMERIA",UPPER(G351))),651110,IF(ISNUMBER(SEARCH("APORTES",UPPER(G351))),651110,IF(ISNUMBER(SEARCH("HONORARIOS",UPPER(G351))),702010,IF(ISNUMBER(SEARCH("ADMINISTRACION",UPPER(G351))),702010,IF(ISNUMBER(SEARCH("GERENCIAMIENTO",UPPER(G351))),702010,IF(ISNUMBER(SEARCH("ALQUILER",UPPER(G351))),702010,IF(ISNUMBER(SEARCH("AUDITORIA",UPPER(G351))),702010,IF(ISNUMBER(SEARCH("PRESTACIONAL",UPPER(G351))),702010,702010))))))))))))</f>
        <v/>
      </c>
      <c r="I351" s="122" t="n"/>
      <c r="J351" s="122" t="n"/>
      <c r="K351" s="123">
        <f>IF(N(I351)&gt;0,ROUND(N(I351)*IVA_general,2),0)</f>
        <v/>
      </c>
      <c r="L351" s="122" t="n">
        <v>0</v>
      </c>
      <c r="M351" s="122" t="n"/>
      <c r="N351" s="123">
        <f>IF(SUM(I351:M351)=0,"",SUM(I351:M351))</f>
        <v/>
      </c>
      <c r="O351" s="124">
        <f>IF(A351="","",TEXT(A351,"yyyy-mm"))</f>
        <v/>
      </c>
      <c r="P351" s="121">
        <f>IF(A351="","",YEAR(A351))</f>
        <v/>
      </c>
      <c r="Q351" s="121">
        <f>IF(A351="","",MONTH(A351))</f>
        <v/>
      </c>
      <c r="R351" s="116" t="n"/>
      <c r="S351" s="116" t="n"/>
      <c r="T351" s="120" t="n"/>
      <c r="U351" s="122" t="n">
        <v>0</v>
      </c>
      <c r="V351" s="123">
        <f>IF(B351="","",N351-U351)</f>
        <v/>
      </c>
      <c r="W351" s="116" t="n"/>
      <c r="X351" s="125">
        <f>IF(B351="","",IF(LEFT(B351,2)="NC",-1,1))</f>
        <v/>
      </c>
      <c r="Y351" s="123">
        <f>IF(B351="",0,N(I351)*X351)</f>
        <v/>
      </c>
      <c r="Z351" s="123">
        <f>IF(B351="",0,N(J351)*X351)</f>
        <v/>
      </c>
      <c r="AA351" s="123">
        <f>IF(B351="",0,N(K351)*X351)</f>
        <v/>
      </c>
      <c r="AB351" s="123">
        <f>IF(B351="",0,N(L351)*X351)</f>
        <v/>
      </c>
      <c r="AC351" s="123">
        <f>IF(B351="",0,N(N351)*X351)</f>
        <v/>
      </c>
    </row>
    <row r="352" ht="15" customHeight="1" s="83">
      <c r="A352" s="120" t="n"/>
      <c r="B352" s="116" t="n"/>
      <c r="C352" s="116" t="n"/>
      <c r="D352" s="116" t="n"/>
      <c r="E352" s="116" t="n"/>
      <c r="F352" s="116" t="n"/>
      <c r="G352" s="116" t="n"/>
      <c r="H352" s="121">
        <f>IF(G352="","",IF(ISNUMBER(SEARCH("CAPITA",UPPER(G352))),651110,IF(ISNUMBER(SEARCH("REFUERZO",UPPER(G352))),651110,IF(ISNUMBER(SEARCH("VACUNACION",UPPER(G352))),651110,IF(ISNUMBER(SEARCH("ENFERMERIA",UPPER(G352))),651110,IF(ISNUMBER(SEARCH("APORTES",UPPER(G352))),651110,IF(ISNUMBER(SEARCH("HONORARIOS",UPPER(G352))),702010,IF(ISNUMBER(SEARCH("ADMINISTRACION",UPPER(G352))),702010,IF(ISNUMBER(SEARCH("GERENCIAMIENTO",UPPER(G352))),702010,IF(ISNUMBER(SEARCH("ALQUILER",UPPER(G352))),702010,IF(ISNUMBER(SEARCH("AUDITORIA",UPPER(G352))),702010,IF(ISNUMBER(SEARCH("PRESTACIONAL",UPPER(G352))),702010,702010))))))))))))</f>
        <v/>
      </c>
      <c r="I352" s="122" t="n"/>
      <c r="J352" s="122" t="n"/>
      <c r="K352" s="123">
        <f>IF(N(I352)&gt;0,ROUND(N(I352)*IVA_general,2),0)</f>
        <v/>
      </c>
      <c r="L352" s="122" t="n">
        <v>0</v>
      </c>
      <c r="M352" s="122" t="n"/>
      <c r="N352" s="123">
        <f>IF(SUM(I352:M352)=0,"",SUM(I352:M352))</f>
        <v/>
      </c>
      <c r="O352" s="124">
        <f>IF(A352="","",TEXT(A352,"yyyy-mm"))</f>
        <v/>
      </c>
      <c r="P352" s="121">
        <f>IF(A352="","",YEAR(A352))</f>
        <v/>
      </c>
      <c r="Q352" s="121">
        <f>IF(A352="","",MONTH(A352))</f>
        <v/>
      </c>
      <c r="R352" s="116" t="n"/>
      <c r="S352" s="116" t="n"/>
      <c r="T352" s="120" t="n"/>
      <c r="U352" s="122" t="n">
        <v>0</v>
      </c>
      <c r="V352" s="123">
        <f>IF(B352="","",N352-U352)</f>
        <v/>
      </c>
      <c r="W352" s="116" t="n"/>
      <c r="X352" s="125">
        <f>IF(B352="","",IF(LEFT(B352,2)="NC",-1,1))</f>
        <v/>
      </c>
      <c r="Y352" s="123">
        <f>IF(B352="",0,N(I352)*X352)</f>
        <v/>
      </c>
      <c r="Z352" s="123">
        <f>IF(B352="",0,N(J352)*X352)</f>
        <v/>
      </c>
      <c r="AA352" s="123">
        <f>IF(B352="",0,N(K352)*X352)</f>
        <v/>
      </c>
      <c r="AB352" s="123">
        <f>IF(B352="",0,N(L352)*X352)</f>
        <v/>
      </c>
      <c r="AC352" s="123">
        <f>IF(B352="",0,N(N352)*X352)</f>
        <v/>
      </c>
    </row>
    <row r="353" ht="15" customHeight="1" s="83">
      <c r="A353" s="120" t="n"/>
      <c r="B353" s="116" t="n"/>
      <c r="C353" s="116" t="n"/>
      <c r="D353" s="116" t="n"/>
      <c r="E353" s="116" t="n"/>
      <c r="F353" s="116" t="n"/>
      <c r="G353" s="116" t="n"/>
      <c r="H353" s="121">
        <f>IF(G353="","",IF(ISNUMBER(SEARCH("CAPITA",UPPER(G353))),651110,IF(ISNUMBER(SEARCH("REFUERZO",UPPER(G353))),651110,IF(ISNUMBER(SEARCH("VACUNACION",UPPER(G353))),651110,IF(ISNUMBER(SEARCH("ENFERMERIA",UPPER(G353))),651110,IF(ISNUMBER(SEARCH("APORTES",UPPER(G353))),651110,IF(ISNUMBER(SEARCH("HONORARIOS",UPPER(G353))),702010,IF(ISNUMBER(SEARCH("ADMINISTRACION",UPPER(G353))),702010,IF(ISNUMBER(SEARCH("GERENCIAMIENTO",UPPER(G353))),702010,IF(ISNUMBER(SEARCH("ALQUILER",UPPER(G353))),702010,IF(ISNUMBER(SEARCH("AUDITORIA",UPPER(G353))),702010,IF(ISNUMBER(SEARCH("PRESTACIONAL",UPPER(G353))),702010,702010))))))))))))</f>
        <v/>
      </c>
      <c r="I353" s="122" t="n"/>
      <c r="J353" s="122" t="n"/>
      <c r="K353" s="123">
        <f>IF(N(I353)&gt;0,ROUND(N(I353)*IVA_general,2),0)</f>
        <v/>
      </c>
      <c r="L353" s="122" t="n">
        <v>0</v>
      </c>
      <c r="M353" s="122" t="n"/>
      <c r="N353" s="123">
        <f>IF(SUM(I353:M353)=0,"",SUM(I353:M353))</f>
        <v/>
      </c>
      <c r="O353" s="124">
        <f>IF(A353="","",TEXT(A353,"yyyy-mm"))</f>
        <v/>
      </c>
      <c r="P353" s="121">
        <f>IF(A353="","",YEAR(A353))</f>
        <v/>
      </c>
      <c r="Q353" s="121">
        <f>IF(A353="","",MONTH(A353))</f>
        <v/>
      </c>
      <c r="R353" s="116" t="n"/>
      <c r="S353" s="116" t="n"/>
      <c r="T353" s="120" t="n"/>
      <c r="U353" s="122" t="n">
        <v>0</v>
      </c>
      <c r="V353" s="123">
        <f>IF(B353="","",N353-U353)</f>
        <v/>
      </c>
      <c r="W353" s="116" t="n"/>
      <c r="X353" s="125">
        <f>IF(B353="","",IF(LEFT(B353,2)="NC",-1,1))</f>
        <v/>
      </c>
      <c r="Y353" s="123">
        <f>IF(B353="",0,N(I353)*X353)</f>
        <v/>
      </c>
      <c r="Z353" s="123">
        <f>IF(B353="",0,N(J353)*X353)</f>
        <v/>
      </c>
      <c r="AA353" s="123">
        <f>IF(B353="",0,N(K353)*X353)</f>
        <v/>
      </c>
      <c r="AB353" s="123">
        <f>IF(B353="",0,N(L353)*X353)</f>
        <v/>
      </c>
      <c r="AC353" s="123">
        <f>IF(B353="",0,N(N353)*X353)</f>
        <v/>
      </c>
    </row>
    <row r="354" ht="15" customHeight="1" s="83">
      <c r="A354" s="120" t="n"/>
      <c r="B354" s="116" t="n"/>
      <c r="C354" s="116" t="n"/>
      <c r="D354" s="116" t="n"/>
      <c r="E354" s="116" t="n"/>
      <c r="F354" s="116" t="n"/>
      <c r="G354" s="116" t="n"/>
      <c r="H354" s="121">
        <f>IF(G354="","",IF(ISNUMBER(SEARCH("CAPITA",UPPER(G354))),651110,IF(ISNUMBER(SEARCH("REFUERZO",UPPER(G354))),651110,IF(ISNUMBER(SEARCH("VACUNACION",UPPER(G354))),651110,IF(ISNUMBER(SEARCH("ENFERMERIA",UPPER(G354))),651110,IF(ISNUMBER(SEARCH("APORTES",UPPER(G354))),651110,IF(ISNUMBER(SEARCH("HONORARIOS",UPPER(G354))),702010,IF(ISNUMBER(SEARCH("ADMINISTRACION",UPPER(G354))),702010,IF(ISNUMBER(SEARCH("GERENCIAMIENTO",UPPER(G354))),702010,IF(ISNUMBER(SEARCH("ALQUILER",UPPER(G354))),702010,IF(ISNUMBER(SEARCH("AUDITORIA",UPPER(G354))),702010,IF(ISNUMBER(SEARCH("PRESTACIONAL",UPPER(G354))),702010,702010))))))))))))</f>
        <v/>
      </c>
      <c r="I354" s="122" t="n"/>
      <c r="J354" s="122" t="n"/>
      <c r="K354" s="123">
        <f>IF(N(I354)&gt;0,ROUND(N(I354)*IVA_general,2),0)</f>
        <v/>
      </c>
      <c r="L354" s="122" t="n">
        <v>0</v>
      </c>
      <c r="M354" s="122" t="n"/>
      <c r="N354" s="123">
        <f>IF(SUM(I354:M354)=0,"",SUM(I354:M354))</f>
        <v/>
      </c>
      <c r="O354" s="124">
        <f>IF(A354="","",TEXT(A354,"yyyy-mm"))</f>
        <v/>
      </c>
      <c r="P354" s="121">
        <f>IF(A354="","",YEAR(A354))</f>
        <v/>
      </c>
      <c r="Q354" s="121">
        <f>IF(A354="","",MONTH(A354))</f>
        <v/>
      </c>
      <c r="R354" s="116" t="n"/>
      <c r="S354" s="116" t="n"/>
      <c r="T354" s="120" t="n"/>
      <c r="U354" s="122" t="n">
        <v>0</v>
      </c>
      <c r="V354" s="123">
        <f>IF(B354="","",N354-U354)</f>
        <v/>
      </c>
      <c r="W354" s="116" t="n"/>
      <c r="X354" s="125">
        <f>IF(B354="","",IF(LEFT(B354,2)="NC",-1,1))</f>
        <v/>
      </c>
      <c r="Y354" s="123">
        <f>IF(B354="",0,N(I354)*X354)</f>
        <v/>
      </c>
      <c r="Z354" s="123">
        <f>IF(B354="",0,N(J354)*X354)</f>
        <v/>
      </c>
      <c r="AA354" s="123">
        <f>IF(B354="",0,N(K354)*X354)</f>
        <v/>
      </c>
      <c r="AB354" s="123">
        <f>IF(B354="",0,N(L354)*X354)</f>
        <v/>
      </c>
      <c r="AC354" s="123">
        <f>IF(B354="",0,N(N354)*X354)</f>
        <v/>
      </c>
    </row>
    <row r="355" ht="15" customHeight="1" s="83">
      <c r="A355" s="120" t="n"/>
      <c r="B355" s="116" t="n"/>
      <c r="C355" s="116" t="n"/>
      <c r="D355" s="116" t="n"/>
      <c r="E355" s="116" t="n"/>
      <c r="F355" s="116" t="n"/>
      <c r="G355" s="116" t="n"/>
      <c r="H355" s="121">
        <f>IF(G355="","",IF(ISNUMBER(SEARCH("CAPITA",UPPER(G355))),651110,IF(ISNUMBER(SEARCH("REFUERZO",UPPER(G355))),651110,IF(ISNUMBER(SEARCH("VACUNACION",UPPER(G355))),651110,IF(ISNUMBER(SEARCH("ENFERMERIA",UPPER(G355))),651110,IF(ISNUMBER(SEARCH("APORTES",UPPER(G355))),651110,IF(ISNUMBER(SEARCH("HONORARIOS",UPPER(G355))),702010,IF(ISNUMBER(SEARCH("ADMINISTRACION",UPPER(G355))),702010,IF(ISNUMBER(SEARCH("GERENCIAMIENTO",UPPER(G355))),702010,IF(ISNUMBER(SEARCH("ALQUILER",UPPER(G355))),702010,IF(ISNUMBER(SEARCH("AUDITORIA",UPPER(G355))),702010,IF(ISNUMBER(SEARCH("PRESTACIONAL",UPPER(G355))),702010,702010))))))))))))</f>
        <v/>
      </c>
      <c r="I355" s="122" t="n"/>
      <c r="J355" s="122" t="n"/>
      <c r="K355" s="123">
        <f>IF(N(I355)&gt;0,ROUND(N(I355)*IVA_general,2),0)</f>
        <v/>
      </c>
      <c r="L355" s="122" t="n">
        <v>0</v>
      </c>
      <c r="M355" s="122" t="n"/>
      <c r="N355" s="123">
        <f>IF(SUM(I355:M355)=0,"",SUM(I355:M355))</f>
        <v/>
      </c>
      <c r="O355" s="124">
        <f>IF(A355="","",TEXT(A355,"yyyy-mm"))</f>
        <v/>
      </c>
      <c r="P355" s="121">
        <f>IF(A355="","",YEAR(A355))</f>
        <v/>
      </c>
      <c r="Q355" s="121">
        <f>IF(A355="","",MONTH(A355))</f>
        <v/>
      </c>
      <c r="R355" s="116" t="n"/>
      <c r="S355" s="116" t="n"/>
      <c r="T355" s="120" t="n"/>
      <c r="U355" s="122" t="n">
        <v>0</v>
      </c>
      <c r="V355" s="123">
        <f>IF(B355="","",N355-U355)</f>
        <v/>
      </c>
      <c r="W355" s="116" t="n"/>
      <c r="X355" s="125">
        <f>IF(B355="","",IF(LEFT(B355,2)="NC",-1,1))</f>
        <v/>
      </c>
      <c r="Y355" s="123">
        <f>IF(B355="",0,N(I355)*X355)</f>
        <v/>
      </c>
      <c r="Z355" s="123">
        <f>IF(B355="",0,N(J355)*X355)</f>
        <v/>
      </c>
      <c r="AA355" s="123">
        <f>IF(B355="",0,N(K355)*X355)</f>
        <v/>
      </c>
      <c r="AB355" s="123">
        <f>IF(B355="",0,N(L355)*X355)</f>
        <v/>
      </c>
      <c r="AC355" s="123">
        <f>IF(B355="",0,N(N355)*X355)</f>
        <v/>
      </c>
    </row>
    <row r="356" ht="15" customHeight="1" s="83">
      <c r="A356" s="120" t="n"/>
      <c r="B356" s="116" t="n"/>
      <c r="C356" s="116" t="n"/>
      <c r="D356" s="116" t="n"/>
      <c r="E356" s="116" t="n"/>
      <c r="F356" s="116" t="n"/>
      <c r="G356" s="116" t="n"/>
      <c r="H356" s="121">
        <f>IF(G356="","",IF(ISNUMBER(SEARCH("CAPITA",UPPER(G356))),651110,IF(ISNUMBER(SEARCH("REFUERZO",UPPER(G356))),651110,IF(ISNUMBER(SEARCH("VACUNACION",UPPER(G356))),651110,IF(ISNUMBER(SEARCH("ENFERMERIA",UPPER(G356))),651110,IF(ISNUMBER(SEARCH("APORTES",UPPER(G356))),651110,IF(ISNUMBER(SEARCH("HONORARIOS",UPPER(G356))),702010,IF(ISNUMBER(SEARCH("ADMINISTRACION",UPPER(G356))),702010,IF(ISNUMBER(SEARCH("GERENCIAMIENTO",UPPER(G356))),702010,IF(ISNUMBER(SEARCH("ALQUILER",UPPER(G356))),702010,IF(ISNUMBER(SEARCH("AUDITORIA",UPPER(G356))),702010,IF(ISNUMBER(SEARCH("PRESTACIONAL",UPPER(G356))),702010,702010))))))))))))</f>
        <v/>
      </c>
      <c r="I356" s="122" t="n"/>
      <c r="J356" s="122" t="n"/>
      <c r="K356" s="123">
        <f>IF(N(I356)&gt;0,ROUND(N(I356)*IVA_general,2),0)</f>
        <v/>
      </c>
      <c r="L356" s="122" t="n">
        <v>0</v>
      </c>
      <c r="M356" s="122" t="n"/>
      <c r="N356" s="123">
        <f>IF(SUM(I356:M356)=0,"",SUM(I356:M356))</f>
        <v/>
      </c>
      <c r="O356" s="124">
        <f>IF(A356="","",TEXT(A356,"yyyy-mm"))</f>
        <v/>
      </c>
      <c r="P356" s="121">
        <f>IF(A356="","",YEAR(A356))</f>
        <v/>
      </c>
      <c r="Q356" s="121">
        <f>IF(A356="","",MONTH(A356))</f>
        <v/>
      </c>
      <c r="R356" s="116" t="n"/>
      <c r="S356" s="116" t="n"/>
      <c r="T356" s="120" t="n"/>
      <c r="U356" s="122" t="n">
        <v>0</v>
      </c>
      <c r="V356" s="123">
        <f>IF(B356="","",N356-U356)</f>
        <v/>
      </c>
      <c r="W356" s="116" t="n"/>
      <c r="X356" s="125">
        <f>IF(B356="","",IF(LEFT(B356,2)="NC",-1,1))</f>
        <v/>
      </c>
      <c r="Y356" s="123">
        <f>IF(B356="",0,N(I356)*X356)</f>
        <v/>
      </c>
      <c r="Z356" s="123">
        <f>IF(B356="",0,N(J356)*X356)</f>
        <v/>
      </c>
      <c r="AA356" s="123">
        <f>IF(B356="",0,N(K356)*X356)</f>
        <v/>
      </c>
      <c r="AB356" s="123">
        <f>IF(B356="",0,N(L356)*X356)</f>
        <v/>
      </c>
      <c r="AC356" s="123">
        <f>IF(B356="",0,N(N356)*X356)</f>
        <v/>
      </c>
    </row>
    <row r="357" ht="15" customHeight="1" s="83">
      <c r="A357" s="120" t="n"/>
      <c r="B357" s="116" t="n"/>
      <c r="C357" s="116" t="n"/>
      <c r="D357" s="116" t="n"/>
      <c r="E357" s="116" t="n"/>
      <c r="F357" s="116" t="n"/>
      <c r="G357" s="116" t="n"/>
      <c r="H357" s="121">
        <f>IF(G357="","",IF(ISNUMBER(SEARCH("CAPITA",UPPER(G357))),651110,IF(ISNUMBER(SEARCH("REFUERZO",UPPER(G357))),651110,IF(ISNUMBER(SEARCH("VACUNACION",UPPER(G357))),651110,IF(ISNUMBER(SEARCH("ENFERMERIA",UPPER(G357))),651110,IF(ISNUMBER(SEARCH("APORTES",UPPER(G357))),651110,IF(ISNUMBER(SEARCH("HONORARIOS",UPPER(G357))),702010,IF(ISNUMBER(SEARCH("ADMINISTRACION",UPPER(G357))),702010,IF(ISNUMBER(SEARCH("GERENCIAMIENTO",UPPER(G357))),702010,IF(ISNUMBER(SEARCH("ALQUILER",UPPER(G357))),702010,IF(ISNUMBER(SEARCH("AUDITORIA",UPPER(G357))),702010,IF(ISNUMBER(SEARCH("PRESTACIONAL",UPPER(G357))),702010,702010))))))))))))</f>
        <v/>
      </c>
      <c r="I357" s="122" t="n"/>
      <c r="J357" s="122" t="n"/>
      <c r="K357" s="123">
        <f>IF(N(I357)&gt;0,ROUND(N(I357)*IVA_general,2),0)</f>
        <v/>
      </c>
      <c r="L357" s="122" t="n">
        <v>0</v>
      </c>
      <c r="M357" s="122" t="n"/>
      <c r="N357" s="123">
        <f>IF(SUM(I357:M357)=0,"",SUM(I357:M357))</f>
        <v/>
      </c>
      <c r="O357" s="124">
        <f>IF(A357="","",TEXT(A357,"yyyy-mm"))</f>
        <v/>
      </c>
      <c r="P357" s="121">
        <f>IF(A357="","",YEAR(A357))</f>
        <v/>
      </c>
      <c r="Q357" s="121">
        <f>IF(A357="","",MONTH(A357))</f>
        <v/>
      </c>
      <c r="R357" s="116" t="n"/>
      <c r="S357" s="116" t="n"/>
      <c r="T357" s="120" t="n"/>
      <c r="U357" s="122" t="n">
        <v>0</v>
      </c>
      <c r="V357" s="123">
        <f>IF(B357="","",N357-U357)</f>
        <v/>
      </c>
      <c r="W357" s="116" t="n"/>
      <c r="X357" s="125">
        <f>IF(B357="","",IF(LEFT(B357,2)="NC",-1,1))</f>
        <v/>
      </c>
      <c r="Y357" s="123">
        <f>IF(B357="",0,N(I357)*X357)</f>
        <v/>
      </c>
      <c r="Z357" s="123">
        <f>IF(B357="",0,N(J357)*X357)</f>
        <v/>
      </c>
      <c r="AA357" s="123">
        <f>IF(B357="",0,N(K357)*X357)</f>
        <v/>
      </c>
      <c r="AB357" s="123">
        <f>IF(B357="",0,N(L357)*X357)</f>
        <v/>
      </c>
      <c r="AC357" s="123">
        <f>IF(B357="",0,N(N357)*X357)</f>
        <v/>
      </c>
    </row>
    <row r="358" ht="15" customHeight="1" s="83">
      <c r="A358" s="120" t="n"/>
      <c r="B358" s="116" t="n"/>
      <c r="C358" s="116" t="n"/>
      <c r="D358" s="116" t="n"/>
      <c r="E358" s="116" t="n"/>
      <c r="F358" s="116" t="n"/>
      <c r="G358" s="116" t="n"/>
      <c r="H358" s="121">
        <f>IF(G358="","",IF(ISNUMBER(SEARCH("CAPITA",UPPER(G358))),651110,IF(ISNUMBER(SEARCH("REFUERZO",UPPER(G358))),651110,IF(ISNUMBER(SEARCH("VACUNACION",UPPER(G358))),651110,IF(ISNUMBER(SEARCH("ENFERMERIA",UPPER(G358))),651110,IF(ISNUMBER(SEARCH("APORTES",UPPER(G358))),651110,IF(ISNUMBER(SEARCH("HONORARIOS",UPPER(G358))),702010,IF(ISNUMBER(SEARCH("ADMINISTRACION",UPPER(G358))),702010,IF(ISNUMBER(SEARCH("GERENCIAMIENTO",UPPER(G358))),702010,IF(ISNUMBER(SEARCH("ALQUILER",UPPER(G358))),702010,IF(ISNUMBER(SEARCH("AUDITORIA",UPPER(G358))),702010,IF(ISNUMBER(SEARCH("PRESTACIONAL",UPPER(G358))),702010,702010))))))))))))</f>
        <v/>
      </c>
      <c r="I358" s="122" t="n"/>
      <c r="J358" s="122" t="n"/>
      <c r="K358" s="123">
        <f>IF(N(I358)&gt;0,ROUND(N(I358)*IVA_general,2),0)</f>
        <v/>
      </c>
      <c r="L358" s="122" t="n">
        <v>0</v>
      </c>
      <c r="M358" s="122" t="n"/>
      <c r="N358" s="123">
        <f>IF(SUM(I358:M358)=0,"",SUM(I358:M358))</f>
        <v/>
      </c>
      <c r="O358" s="124">
        <f>IF(A358="","",TEXT(A358,"yyyy-mm"))</f>
        <v/>
      </c>
      <c r="P358" s="121">
        <f>IF(A358="","",YEAR(A358))</f>
        <v/>
      </c>
      <c r="Q358" s="121">
        <f>IF(A358="","",MONTH(A358))</f>
        <v/>
      </c>
      <c r="R358" s="116" t="n"/>
      <c r="S358" s="116" t="n"/>
      <c r="T358" s="120" t="n"/>
      <c r="U358" s="122" t="n">
        <v>0</v>
      </c>
      <c r="V358" s="123">
        <f>IF(B358="","",N358-U358)</f>
        <v/>
      </c>
      <c r="W358" s="116" t="n"/>
      <c r="X358" s="125">
        <f>IF(B358="","",IF(LEFT(B358,2)="NC",-1,1))</f>
        <v/>
      </c>
      <c r="Y358" s="123">
        <f>IF(B358="",0,N(I358)*X358)</f>
        <v/>
      </c>
      <c r="Z358" s="123">
        <f>IF(B358="",0,N(J358)*X358)</f>
        <v/>
      </c>
      <c r="AA358" s="123">
        <f>IF(B358="",0,N(K358)*X358)</f>
        <v/>
      </c>
      <c r="AB358" s="123">
        <f>IF(B358="",0,N(L358)*X358)</f>
        <v/>
      </c>
      <c r="AC358" s="123">
        <f>IF(B358="",0,N(N358)*X358)</f>
        <v/>
      </c>
    </row>
    <row r="359" ht="15" customHeight="1" s="83">
      <c r="A359" s="120" t="n"/>
      <c r="B359" s="116" t="n"/>
      <c r="C359" s="116" t="n"/>
      <c r="D359" s="116" t="n"/>
      <c r="E359" s="116" t="n"/>
      <c r="F359" s="116" t="n"/>
      <c r="G359" s="116" t="n"/>
      <c r="H359" s="121">
        <f>IF(G359="","",IF(ISNUMBER(SEARCH("CAPITA",UPPER(G359))),651110,IF(ISNUMBER(SEARCH("REFUERZO",UPPER(G359))),651110,IF(ISNUMBER(SEARCH("VACUNACION",UPPER(G359))),651110,IF(ISNUMBER(SEARCH("ENFERMERIA",UPPER(G359))),651110,IF(ISNUMBER(SEARCH("APORTES",UPPER(G359))),651110,IF(ISNUMBER(SEARCH("HONORARIOS",UPPER(G359))),702010,IF(ISNUMBER(SEARCH("ADMINISTRACION",UPPER(G359))),702010,IF(ISNUMBER(SEARCH("GERENCIAMIENTO",UPPER(G359))),702010,IF(ISNUMBER(SEARCH("ALQUILER",UPPER(G359))),702010,IF(ISNUMBER(SEARCH("AUDITORIA",UPPER(G359))),702010,IF(ISNUMBER(SEARCH("PRESTACIONAL",UPPER(G359))),702010,702010))))))))))))</f>
        <v/>
      </c>
      <c r="I359" s="122" t="n"/>
      <c r="J359" s="122" t="n"/>
      <c r="K359" s="123">
        <f>IF(N(I359)&gt;0,ROUND(N(I359)*IVA_general,2),0)</f>
        <v/>
      </c>
      <c r="L359" s="122" t="n">
        <v>0</v>
      </c>
      <c r="M359" s="122" t="n"/>
      <c r="N359" s="123">
        <f>IF(SUM(I359:M359)=0,"",SUM(I359:M359))</f>
        <v/>
      </c>
      <c r="O359" s="124">
        <f>IF(A359="","",TEXT(A359,"yyyy-mm"))</f>
        <v/>
      </c>
      <c r="P359" s="121">
        <f>IF(A359="","",YEAR(A359))</f>
        <v/>
      </c>
      <c r="Q359" s="121">
        <f>IF(A359="","",MONTH(A359))</f>
        <v/>
      </c>
      <c r="R359" s="116" t="n"/>
      <c r="S359" s="116" t="n"/>
      <c r="T359" s="120" t="n"/>
      <c r="U359" s="122" t="n">
        <v>0</v>
      </c>
      <c r="V359" s="123">
        <f>IF(B359="","",N359-U359)</f>
        <v/>
      </c>
      <c r="W359" s="116" t="n"/>
      <c r="X359" s="125">
        <f>IF(B359="","",IF(LEFT(B359,2)="NC",-1,1))</f>
        <v/>
      </c>
      <c r="Y359" s="123">
        <f>IF(B359="",0,N(I359)*X359)</f>
        <v/>
      </c>
      <c r="Z359" s="123">
        <f>IF(B359="",0,N(J359)*X359)</f>
        <v/>
      </c>
      <c r="AA359" s="123">
        <f>IF(B359="",0,N(K359)*X359)</f>
        <v/>
      </c>
      <c r="AB359" s="123">
        <f>IF(B359="",0,N(L359)*X359)</f>
        <v/>
      </c>
      <c r="AC359" s="123">
        <f>IF(B359="",0,N(N359)*X359)</f>
        <v/>
      </c>
    </row>
    <row r="360" ht="15" customHeight="1" s="83">
      <c r="A360" s="120" t="n"/>
      <c r="B360" s="116" t="n"/>
      <c r="C360" s="116" t="n"/>
      <c r="D360" s="116" t="n"/>
      <c r="E360" s="116" t="n"/>
      <c r="F360" s="116" t="n"/>
      <c r="G360" s="116" t="n"/>
      <c r="H360" s="121">
        <f>IF(G360="","",IF(ISNUMBER(SEARCH("CAPITA",UPPER(G360))),651110,IF(ISNUMBER(SEARCH("REFUERZO",UPPER(G360))),651110,IF(ISNUMBER(SEARCH("VACUNACION",UPPER(G360))),651110,IF(ISNUMBER(SEARCH("ENFERMERIA",UPPER(G360))),651110,IF(ISNUMBER(SEARCH("APORTES",UPPER(G360))),651110,IF(ISNUMBER(SEARCH("HONORARIOS",UPPER(G360))),702010,IF(ISNUMBER(SEARCH("ADMINISTRACION",UPPER(G360))),702010,IF(ISNUMBER(SEARCH("GERENCIAMIENTO",UPPER(G360))),702010,IF(ISNUMBER(SEARCH("ALQUILER",UPPER(G360))),702010,IF(ISNUMBER(SEARCH("AUDITORIA",UPPER(G360))),702010,IF(ISNUMBER(SEARCH("PRESTACIONAL",UPPER(G360))),702010,702010))))))))))))</f>
        <v/>
      </c>
      <c r="I360" s="122" t="n"/>
      <c r="J360" s="122" t="n"/>
      <c r="K360" s="123">
        <f>IF(N(I360)&gt;0,ROUND(N(I360)*IVA_general,2),0)</f>
        <v/>
      </c>
      <c r="L360" s="122" t="n">
        <v>0</v>
      </c>
      <c r="M360" s="122" t="n"/>
      <c r="N360" s="123">
        <f>IF(SUM(I360:M360)=0,"",SUM(I360:M360))</f>
        <v/>
      </c>
      <c r="O360" s="124">
        <f>IF(A360="","",TEXT(A360,"yyyy-mm"))</f>
        <v/>
      </c>
      <c r="P360" s="121">
        <f>IF(A360="","",YEAR(A360))</f>
        <v/>
      </c>
      <c r="Q360" s="121">
        <f>IF(A360="","",MONTH(A360))</f>
        <v/>
      </c>
      <c r="R360" s="116" t="n"/>
      <c r="S360" s="116" t="n"/>
      <c r="T360" s="120" t="n"/>
      <c r="U360" s="122" t="n">
        <v>0</v>
      </c>
      <c r="V360" s="123">
        <f>IF(B360="","",N360-U360)</f>
        <v/>
      </c>
      <c r="W360" s="116" t="n"/>
      <c r="X360" s="125">
        <f>IF(B360="","",IF(LEFT(B360,2)="NC",-1,1))</f>
        <v/>
      </c>
      <c r="Y360" s="123">
        <f>IF(B360="",0,N(I360)*X360)</f>
        <v/>
      </c>
      <c r="Z360" s="123">
        <f>IF(B360="",0,N(J360)*X360)</f>
        <v/>
      </c>
      <c r="AA360" s="123">
        <f>IF(B360="",0,N(K360)*X360)</f>
        <v/>
      </c>
      <c r="AB360" s="123">
        <f>IF(B360="",0,N(L360)*X360)</f>
        <v/>
      </c>
      <c r="AC360" s="123">
        <f>IF(B360="",0,N(N360)*X360)</f>
        <v/>
      </c>
    </row>
    <row r="361" ht="15" customHeight="1" s="83">
      <c r="A361" s="120" t="n"/>
      <c r="B361" s="116" t="n"/>
      <c r="C361" s="116" t="n"/>
      <c r="D361" s="116" t="n"/>
      <c r="E361" s="116" t="n"/>
      <c r="F361" s="116" t="n"/>
      <c r="G361" s="116" t="n"/>
      <c r="H361" s="121">
        <f>IF(G361="","",IF(ISNUMBER(SEARCH("CAPITA",UPPER(G361))),651110,IF(ISNUMBER(SEARCH("REFUERZO",UPPER(G361))),651110,IF(ISNUMBER(SEARCH("VACUNACION",UPPER(G361))),651110,IF(ISNUMBER(SEARCH("ENFERMERIA",UPPER(G361))),651110,IF(ISNUMBER(SEARCH("APORTES",UPPER(G361))),651110,IF(ISNUMBER(SEARCH("HONORARIOS",UPPER(G361))),702010,IF(ISNUMBER(SEARCH("ADMINISTRACION",UPPER(G361))),702010,IF(ISNUMBER(SEARCH("GERENCIAMIENTO",UPPER(G361))),702010,IF(ISNUMBER(SEARCH("ALQUILER",UPPER(G361))),702010,IF(ISNUMBER(SEARCH("AUDITORIA",UPPER(G361))),702010,IF(ISNUMBER(SEARCH("PRESTACIONAL",UPPER(G361))),702010,702010))))))))))))</f>
        <v/>
      </c>
      <c r="I361" s="122" t="n"/>
      <c r="J361" s="122" t="n"/>
      <c r="K361" s="123">
        <f>IF(N(I361)&gt;0,ROUND(N(I361)*IVA_general,2),0)</f>
        <v/>
      </c>
      <c r="L361" s="122" t="n">
        <v>0</v>
      </c>
      <c r="M361" s="122" t="n"/>
      <c r="N361" s="123">
        <f>IF(SUM(I361:M361)=0,"",SUM(I361:M361))</f>
        <v/>
      </c>
      <c r="O361" s="124">
        <f>IF(A361="","",TEXT(A361,"yyyy-mm"))</f>
        <v/>
      </c>
      <c r="P361" s="121">
        <f>IF(A361="","",YEAR(A361))</f>
        <v/>
      </c>
      <c r="Q361" s="121">
        <f>IF(A361="","",MONTH(A361))</f>
        <v/>
      </c>
      <c r="R361" s="116" t="n"/>
      <c r="S361" s="116" t="n"/>
      <c r="T361" s="120" t="n"/>
      <c r="U361" s="122" t="n">
        <v>0</v>
      </c>
      <c r="V361" s="123">
        <f>IF(B361="","",N361-U361)</f>
        <v/>
      </c>
      <c r="W361" s="116" t="n"/>
      <c r="X361" s="125">
        <f>IF(B361="","",IF(LEFT(B361,2)="NC",-1,1))</f>
        <v/>
      </c>
      <c r="Y361" s="123">
        <f>IF(B361="",0,N(I361)*X361)</f>
        <v/>
      </c>
      <c r="Z361" s="123">
        <f>IF(B361="",0,N(J361)*X361)</f>
        <v/>
      </c>
      <c r="AA361" s="123">
        <f>IF(B361="",0,N(K361)*X361)</f>
        <v/>
      </c>
      <c r="AB361" s="123">
        <f>IF(B361="",0,N(L361)*X361)</f>
        <v/>
      </c>
      <c r="AC361" s="123">
        <f>IF(B361="",0,N(N361)*X361)</f>
        <v/>
      </c>
    </row>
    <row r="362" ht="15" customHeight="1" s="83">
      <c r="A362" s="120" t="n"/>
      <c r="B362" s="116" t="n"/>
      <c r="C362" s="116" t="n"/>
      <c r="D362" s="116" t="n"/>
      <c r="E362" s="116" t="n"/>
      <c r="F362" s="116" t="n"/>
      <c r="G362" s="116" t="n"/>
      <c r="H362" s="121">
        <f>IF(G362="","",IF(ISNUMBER(SEARCH("CAPITA",UPPER(G362))),651110,IF(ISNUMBER(SEARCH("REFUERZO",UPPER(G362))),651110,IF(ISNUMBER(SEARCH("VACUNACION",UPPER(G362))),651110,IF(ISNUMBER(SEARCH("ENFERMERIA",UPPER(G362))),651110,IF(ISNUMBER(SEARCH("APORTES",UPPER(G362))),651110,IF(ISNUMBER(SEARCH("HONORARIOS",UPPER(G362))),702010,IF(ISNUMBER(SEARCH("ADMINISTRACION",UPPER(G362))),702010,IF(ISNUMBER(SEARCH("GERENCIAMIENTO",UPPER(G362))),702010,IF(ISNUMBER(SEARCH("ALQUILER",UPPER(G362))),702010,IF(ISNUMBER(SEARCH("AUDITORIA",UPPER(G362))),702010,IF(ISNUMBER(SEARCH("PRESTACIONAL",UPPER(G362))),702010,702010))))))))))))</f>
        <v/>
      </c>
      <c r="I362" s="122" t="n"/>
      <c r="J362" s="122" t="n"/>
      <c r="K362" s="123">
        <f>IF(N(I362)&gt;0,ROUND(N(I362)*IVA_general,2),0)</f>
        <v/>
      </c>
      <c r="L362" s="122" t="n">
        <v>0</v>
      </c>
      <c r="M362" s="122" t="n"/>
      <c r="N362" s="123">
        <f>IF(SUM(I362:M362)=0,"",SUM(I362:M362))</f>
        <v/>
      </c>
      <c r="O362" s="124">
        <f>IF(A362="","",TEXT(A362,"yyyy-mm"))</f>
        <v/>
      </c>
      <c r="P362" s="121">
        <f>IF(A362="","",YEAR(A362))</f>
        <v/>
      </c>
      <c r="Q362" s="121">
        <f>IF(A362="","",MONTH(A362))</f>
        <v/>
      </c>
      <c r="R362" s="116" t="n"/>
      <c r="S362" s="116" t="n"/>
      <c r="T362" s="120" t="n"/>
      <c r="U362" s="122" t="n">
        <v>0</v>
      </c>
      <c r="V362" s="123">
        <f>IF(B362="","",N362-U362)</f>
        <v/>
      </c>
      <c r="W362" s="116" t="n"/>
      <c r="X362" s="125">
        <f>IF(B362="","",IF(LEFT(B362,2)="NC",-1,1))</f>
        <v/>
      </c>
      <c r="Y362" s="123">
        <f>IF(B362="",0,N(I362)*X362)</f>
        <v/>
      </c>
      <c r="Z362" s="123">
        <f>IF(B362="",0,N(J362)*X362)</f>
        <v/>
      </c>
      <c r="AA362" s="123">
        <f>IF(B362="",0,N(K362)*X362)</f>
        <v/>
      </c>
      <c r="AB362" s="123">
        <f>IF(B362="",0,N(L362)*X362)</f>
        <v/>
      </c>
      <c r="AC362" s="123">
        <f>IF(B362="",0,N(N362)*X362)</f>
        <v/>
      </c>
    </row>
    <row r="363" ht="15" customHeight="1" s="83">
      <c r="A363" s="120" t="n"/>
      <c r="B363" s="116" t="n"/>
      <c r="C363" s="116" t="n"/>
      <c r="D363" s="116" t="n"/>
      <c r="E363" s="116" t="n"/>
      <c r="F363" s="116" t="n"/>
      <c r="G363" s="116" t="n"/>
      <c r="H363" s="121">
        <f>IF(G363="","",IF(ISNUMBER(SEARCH("CAPITA",UPPER(G363))),651110,IF(ISNUMBER(SEARCH("REFUERZO",UPPER(G363))),651110,IF(ISNUMBER(SEARCH("VACUNACION",UPPER(G363))),651110,IF(ISNUMBER(SEARCH("ENFERMERIA",UPPER(G363))),651110,IF(ISNUMBER(SEARCH("APORTES",UPPER(G363))),651110,IF(ISNUMBER(SEARCH("HONORARIOS",UPPER(G363))),702010,IF(ISNUMBER(SEARCH("ADMINISTRACION",UPPER(G363))),702010,IF(ISNUMBER(SEARCH("GERENCIAMIENTO",UPPER(G363))),702010,IF(ISNUMBER(SEARCH("ALQUILER",UPPER(G363))),702010,IF(ISNUMBER(SEARCH("AUDITORIA",UPPER(G363))),702010,IF(ISNUMBER(SEARCH("PRESTACIONAL",UPPER(G363))),702010,702010))))))))))))</f>
        <v/>
      </c>
      <c r="I363" s="122" t="n"/>
      <c r="J363" s="122" t="n"/>
      <c r="K363" s="123">
        <f>IF(N(I363)&gt;0,ROUND(N(I363)*IVA_general,2),0)</f>
        <v/>
      </c>
      <c r="L363" s="122" t="n">
        <v>0</v>
      </c>
      <c r="M363" s="122" t="n"/>
      <c r="N363" s="123">
        <f>IF(SUM(I363:M363)=0,"",SUM(I363:M363))</f>
        <v/>
      </c>
      <c r="O363" s="124">
        <f>IF(A363="","",TEXT(A363,"yyyy-mm"))</f>
        <v/>
      </c>
      <c r="P363" s="121">
        <f>IF(A363="","",YEAR(A363))</f>
        <v/>
      </c>
      <c r="Q363" s="121">
        <f>IF(A363="","",MONTH(A363))</f>
        <v/>
      </c>
      <c r="R363" s="116" t="n"/>
      <c r="S363" s="116" t="n"/>
      <c r="T363" s="120" t="n"/>
      <c r="U363" s="122" t="n">
        <v>0</v>
      </c>
      <c r="V363" s="123">
        <f>IF(B363="","",N363-U363)</f>
        <v/>
      </c>
      <c r="W363" s="116" t="n"/>
      <c r="X363" s="125">
        <f>IF(B363="","",IF(LEFT(B363,2)="NC",-1,1))</f>
        <v/>
      </c>
      <c r="Y363" s="123">
        <f>IF(B363="",0,N(I363)*X363)</f>
        <v/>
      </c>
      <c r="Z363" s="123">
        <f>IF(B363="",0,N(J363)*X363)</f>
        <v/>
      </c>
      <c r="AA363" s="123">
        <f>IF(B363="",0,N(K363)*X363)</f>
        <v/>
      </c>
      <c r="AB363" s="123">
        <f>IF(B363="",0,N(L363)*X363)</f>
        <v/>
      </c>
      <c r="AC363" s="123">
        <f>IF(B363="",0,N(N363)*X363)</f>
        <v/>
      </c>
    </row>
    <row r="364" ht="15" customHeight="1" s="83">
      <c r="A364" s="120" t="n"/>
      <c r="B364" s="116" t="n"/>
      <c r="C364" s="116" t="n"/>
      <c r="D364" s="116" t="n"/>
      <c r="E364" s="116" t="n"/>
      <c r="F364" s="116" t="n"/>
      <c r="G364" s="116" t="n"/>
      <c r="H364" s="121">
        <f>IF(G364="","",IF(ISNUMBER(SEARCH("CAPITA",UPPER(G364))),651110,IF(ISNUMBER(SEARCH("REFUERZO",UPPER(G364))),651110,IF(ISNUMBER(SEARCH("VACUNACION",UPPER(G364))),651110,IF(ISNUMBER(SEARCH("ENFERMERIA",UPPER(G364))),651110,IF(ISNUMBER(SEARCH("APORTES",UPPER(G364))),651110,IF(ISNUMBER(SEARCH("HONORARIOS",UPPER(G364))),702010,IF(ISNUMBER(SEARCH("ADMINISTRACION",UPPER(G364))),702010,IF(ISNUMBER(SEARCH("GERENCIAMIENTO",UPPER(G364))),702010,IF(ISNUMBER(SEARCH("ALQUILER",UPPER(G364))),702010,IF(ISNUMBER(SEARCH("AUDITORIA",UPPER(G364))),702010,IF(ISNUMBER(SEARCH("PRESTACIONAL",UPPER(G364))),702010,702010))))))))))))</f>
        <v/>
      </c>
      <c r="I364" s="122" t="n"/>
      <c r="J364" s="122" t="n"/>
      <c r="K364" s="123">
        <f>IF(N(I364)&gt;0,ROUND(N(I364)*IVA_general,2),0)</f>
        <v/>
      </c>
      <c r="L364" s="122" t="n">
        <v>0</v>
      </c>
      <c r="M364" s="122" t="n"/>
      <c r="N364" s="123">
        <f>IF(SUM(I364:M364)=0,"",SUM(I364:M364))</f>
        <v/>
      </c>
      <c r="O364" s="124">
        <f>IF(A364="","",TEXT(A364,"yyyy-mm"))</f>
        <v/>
      </c>
      <c r="P364" s="121">
        <f>IF(A364="","",YEAR(A364))</f>
        <v/>
      </c>
      <c r="Q364" s="121">
        <f>IF(A364="","",MONTH(A364))</f>
        <v/>
      </c>
      <c r="R364" s="116" t="n"/>
      <c r="S364" s="116" t="n"/>
      <c r="T364" s="120" t="n"/>
      <c r="U364" s="122" t="n">
        <v>0</v>
      </c>
      <c r="V364" s="123">
        <f>IF(B364="","",N364-U364)</f>
        <v/>
      </c>
      <c r="W364" s="116" t="n"/>
      <c r="X364" s="125">
        <f>IF(B364="","",IF(LEFT(B364,2)="NC",-1,1))</f>
        <v/>
      </c>
      <c r="Y364" s="123">
        <f>IF(B364="",0,N(I364)*X364)</f>
        <v/>
      </c>
      <c r="Z364" s="123">
        <f>IF(B364="",0,N(J364)*X364)</f>
        <v/>
      </c>
      <c r="AA364" s="123">
        <f>IF(B364="",0,N(K364)*X364)</f>
        <v/>
      </c>
      <c r="AB364" s="123">
        <f>IF(B364="",0,N(L364)*X364)</f>
        <v/>
      </c>
      <c r="AC364" s="123">
        <f>IF(B364="",0,N(N364)*X364)</f>
        <v/>
      </c>
    </row>
    <row r="365" ht="15" customHeight="1" s="83">
      <c r="A365" s="120" t="n"/>
      <c r="B365" s="116" t="n"/>
      <c r="C365" s="116" t="n"/>
      <c r="D365" s="116" t="n"/>
      <c r="E365" s="116" t="n"/>
      <c r="F365" s="116" t="n"/>
      <c r="G365" s="116" t="n"/>
      <c r="H365" s="121">
        <f>IF(G365="","",IF(ISNUMBER(SEARCH("CAPITA",UPPER(G365))),651110,IF(ISNUMBER(SEARCH("REFUERZO",UPPER(G365))),651110,IF(ISNUMBER(SEARCH("VACUNACION",UPPER(G365))),651110,IF(ISNUMBER(SEARCH("ENFERMERIA",UPPER(G365))),651110,IF(ISNUMBER(SEARCH("APORTES",UPPER(G365))),651110,IF(ISNUMBER(SEARCH("HONORARIOS",UPPER(G365))),702010,IF(ISNUMBER(SEARCH("ADMINISTRACION",UPPER(G365))),702010,IF(ISNUMBER(SEARCH("GERENCIAMIENTO",UPPER(G365))),702010,IF(ISNUMBER(SEARCH("ALQUILER",UPPER(G365))),702010,IF(ISNUMBER(SEARCH("AUDITORIA",UPPER(G365))),702010,IF(ISNUMBER(SEARCH("PRESTACIONAL",UPPER(G365))),702010,702010))))))))))))</f>
        <v/>
      </c>
      <c r="I365" s="122" t="n"/>
      <c r="J365" s="122" t="n"/>
      <c r="K365" s="123">
        <f>IF(N(I365)&gt;0,ROUND(N(I365)*IVA_general,2),0)</f>
        <v/>
      </c>
      <c r="L365" s="122" t="n">
        <v>0</v>
      </c>
      <c r="M365" s="122" t="n"/>
      <c r="N365" s="123">
        <f>IF(SUM(I365:M365)=0,"",SUM(I365:M365))</f>
        <v/>
      </c>
      <c r="O365" s="124">
        <f>IF(A365="","",TEXT(A365,"yyyy-mm"))</f>
        <v/>
      </c>
      <c r="P365" s="121">
        <f>IF(A365="","",YEAR(A365))</f>
        <v/>
      </c>
      <c r="Q365" s="121">
        <f>IF(A365="","",MONTH(A365))</f>
        <v/>
      </c>
      <c r="R365" s="116" t="n"/>
      <c r="S365" s="116" t="n"/>
      <c r="T365" s="120" t="n"/>
      <c r="U365" s="122" t="n">
        <v>0</v>
      </c>
      <c r="V365" s="123">
        <f>IF(B365="","",N365-U365)</f>
        <v/>
      </c>
      <c r="W365" s="116" t="n"/>
      <c r="X365" s="125">
        <f>IF(B365="","",IF(LEFT(B365,2)="NC",-1,1))</f>
        <v/>
      </c>
      <c r="Y365" s="123">
        <f>IF(B365="",0,N(I365)*X365)</f>
        <v/>
      </c>
      <c r="Z365" s="123">
        <f>IF(B365="",0,N(J365)*X365)</f>
        <v/>
      </c>
      <c r="AA365" s="123">
        <f>IF(B365="",0,N(K365)*X365)</f>
        <v/>
      </c>
      <c r="AB365" s="123">
        <f>IF(B365="",0,N(L365)*X365)</f>
        <v/>
      </c>
      <c r="AC365" s="123">
        <f>IF(B365="",0,N(N365)*X365)</f>
        <v/>
      </c>
    </row>
    <row r="366" ht="15" customHeight="1" s="83">
      <c r="A366" s="120" t="n"/>
      <c r="B366" s="116" t="n"/>
      <c r="C366" s="116" t="n"/>
      <c r="D366" s="116" t="n"/>
      <c r="E366" s="116" t="n"/>
      <c r="F366" s="116" t="n"/>
      <c r="G366" s="116" t="n"/>
      <c r="H366" s="121">
        <f>IF(G366="","",IF(ISNUMBER(SEARCH("CAPITA",UPPER(G366))),651110,IF(ISNUMBER(SEARCH("REFUERZO",UPPER(G366))),651110,IF(ISNUMBER(SEARCH("VACUNACION",UPPER(G366))),651110,IF(ISNUMBER(SEARCH("ENFERMERIA",UPPER(G366))),651110,IF(ISNUMBER(SEARCH("APORTES",UPPER(G366))),651110,IF(ISNUMBER(SEARCH("HONORARIOS",UPPER(G366))),702010,IF(ISNUMBER(SEARCH("ADMINISTRACION",UPPER(G366))),702010,IF(ISNUMBER(SEARCH("GERENCIAMIENTO",UPPER(G366))),702010,IF(ISNUMBER(SEARCH("ALQUILER",UPPER(G366))),702010,IF(ISNUMBER(SEARCH("AUDITORIA",UPPER(G366))),702010,IF(ISNUMBER(SEARCH("PRESTACIONAL",UPPER(G366))),702010,702010))))))))))))</f>
        <v/>
      </c>
      <c r="I366" s="122" t="n"/>
      <c r="J366" s="122" t="n"/>
      <c r="K366" s="123">
        <f>IF(N(I366)&gt;0,ROUND(N(I366)*IVA_general,2),0)</f>
        <v/>
      </c>
      <c r="L366" s="122" t="n">
        <v>0</v>
      </c>
      <c r="M366" s="122" t="n"/>
      <c r="N366" s="123">
        <f>IF(SUM(I366:M366)=0,"",SUM(I366:M366))</f>
        <v/>
      </c>
      <c r="O366" s="124">
        <f>IF(A366="","",TEXT(A366,"yyyy-mm"))</f>
        <v/>
      </c>
      <c r="P366" s="121">
        <f>IF(A366="","",YEAR(A366))</f>
        <v/>
      </c>
      <c r="Q366" s="121">
        <f>IF(A366="","",MONTH(A366))</f>
        <v/>
      </c>
      <c r="R366" s="116" t="n"/>
      <c r="S366" s="116" t="n"/>
      <c r="T366" s="120" t="n"/>
      <c r="U366" s="122" t="n">
        <v>0</v>
      </c>
      <c r="V366" s="123">
        <f>IF(B366="","",N366-U366)</f>
        <v/>
      </c>
      <c r="W366" s="116" t="n"/>
      <c r="X366" s="125">
        <f>IF(B366="","",IF(LEFT(B366,2)="NC",-1,1))</f>
        <v/>
      </c>
      <c r="Y366" s="123">
        <f>IF(B366="",0,N(I366)*X366)</f>
        <v/>
      </c>
      <c r="Z366" s="123">
        <f>IF(B366="",0,N(J366)*X366)</f>
        <v/>
      </c>
      <c r="AA366" s="123">
        <f>IF(B366="",0,N(K366)*X366)</f>
        <v/>
      </c>
      <c r="AB366" s="123">
        <f>IF(B366="",0,N(L366)*X366)</f>
        <v/>
      </c>
      <c r="AC366" s="123">
        <f>IF(B366="",0,N(N366)*X366)</f>
        <v/>
      </c>
    </row>
    <row r="367" ht="15" customHeight="1" s="83">
      <c r="A367" s="120" t="n"/>
      <c r="B367" s="116" t="n"/>
      <c r="C367" s="116" t="n"/>
      <c r="D367" s="116" t="n"/>
      <c r="E367" s="116" t="n"/>
      <c r="F367" s="116" t="n"/>
      <c r="G367" s="116" t="n"/>
      <c r="H367" s="121">
        <f>IF(G367="","",IF(ISNUMBER(SEARCH("CAPITA",UPPER(G367))),651110,IF(ISNUMBER(SEARCH("REFUERZO",UPPER(G367))),651110,IF(ISNUMBER(SEARCH("VACUNACION",UPPER(G367))),651110,IF(ISNUMBER(SEARCH("ENFERMERIA",UPPER(G367))),651110,IF(ISNUMBER(SEARCH("APORTES",UPPER(G367))),651110,IF(ISNUMBER(SEARCH("HONORARIOS",UPPER(G367))),702010,IF(ISNUMBER(SEARCH("ADMINISTRACION",UPPER(G367))),702010,IF(ISNUMBER(SEARCH("GERENCIAMIENTO",UPPER(G367))),702010,IF(ISNUMBER(SEARCH("ALQUILER",UPPER(G367))),702010,IF(ISNUMBER(SEARCH("AUDITORIA",UPPER(G367))),702010,IF(ISNUMBER(SEARCH("PRESTACIONAL",UPPER(G367))),702010,702010))))))))))))</f>
        <v/>
      </c>
      <c r="I367" s="122" t="n"/>
      <c r="J367" s="122" t="n"/>
      <c r="K367" s="123">
        <f>IF(N(I367)&gt;0,ROUND(N(I367)*IVA_general,2),0)</f>
        <v/>
      </c>
      <c r="L367" s="122" t="n">
        <v>0</v>
      </c>
      <c r="M367" s="122" t="n"/>
      <c r="N367" s="123">
        <f>IF(SUM(I367:M367)=0,"",SUM(I367:M367))</f>
        <v/>
      </c>
      <c r="O367" s="124">
        <f>IF(A367="","",TEXT(A367,"yyyy-mm"))</f>
        <v/>
      </c>
      <c r="P367" s="121">
        <f>IF(A367="","",YEAR(A367))</f>
        <v/>
      </c>
      <c r="Q367" s="121">
        <f>IF(A367="","",MONTH(A367))</f>
        <v/>
      </c>
      <c r="R367" s="116" t="n"/>
      <c r="S367" s="116" t="n"/>
      <c r="T367" s="120" t="n"/>
      <c r="U367" s="122" t="n">
        <v>0</v>
      </c>
      <c r="V367" s="123">
        <f>IF(B367="","",N367-U367)</f>
        <v/>
      </c>
      <c r="W367" s="116" t="n"/>
      <c r="X367" s="125">
        <f>IF(B367="","",IF(LEFT(B367,2)="NC",-1,1))</f>
        <v/>
      </c>
      <c r="Y367" s="123">
        <f>IF(B367="",0,N(I367)*X367)</f>
        <v/>
      </c>
      <c r="Z367" s="123">
        <f>IF(B367="",0,N(J367)*X367)</f>
        <v/>
      </c>
      <c r="AA367" s="123">
        <f>IF(B367="",0,N(K367)*X367)</f>
        <v/>
      </c>
      <c r="AB367" s="123">
        <f>IF(B367="",0,N(L367)*X367)</f>
        <v/>
      </c>
      <c r="AC367" s="123">
        <f>IF(B367="",0,N(N367)*X367)</f>
        <v/>
      </c>
    </row>
    <row r="368" ht="15" customHeight="1" s="83">
      <c r="A368" s="120" t="n"/>
      <c r="B368" s="116" t="n"/>
      <c r="C368" s="116" t="n"/>
      <c r="D368" s="116" t="n"/>
      <c r="E368" s="116" t="n"/>
      <c r="F368" s="116" t="n"/>
      <c r="G368" s="116" t="n"/>
      <c r="H368" s="121">
        <f>IF(G368="","",IF(ISNUMBER(SEARCH("CAPITA",UPPER(G368))),651110,IF(ISNUMBER(SEARCH("REFUERZO",UPPER(G368))),651110,IF(ISNUMBER(SEARCH("VACUNACION",UPPER(G368))),651110,IF(ISNUMBER(SEARCH("ENFERMERIA",UPPER(G368))),651110,IF(ISNUMBER(SEARCH("APORTES",UPPER(G368))),651110,IF(ISNUMBER(SEARCH("HONORARIOS",UPPER(G368))),702010,IF(ISNUMBER(SEARCH("ADMINISTRACION",UPPER(G368))),702010,IF(ISNUMBER(SEARCH("GERENCIAMIENTO",UPPER(G368))),702010,IF(ISNUMBER(SEARCH("ALQUILER",UPPER(G368))),702010,IF(ISNUMBER(SEARCH("AUDITORIA",UPPER(G368))),702010,IF(ISNUMBER(SEARCH("PRESTACIONAL",UPPER(G368))),702010,702010))))))))))))</f>
        <v/>
      </c>
      <c r="I368" s="122" t="n"/>
      <c r="J368" s="122" t="n"/>
      <c r="K368" s="123">
        <f>IF(N(I368)&gt;0,ROUND(N(I368)*IVA_general,2),0)</f>
        <v/>
      </c>
      <c r="L368" s="122" t="n">
        <v>0</v>
      </c>
      <c r="M368" s="122" t="n"/>
      <c r="N368" s="123">
        <f>IF(SUM(I368:M368)=0,"",SUM(I368:M368))</f>
        <v/>
      </c>
      <c r="O368" s="124">
        <f>IF(A368="","",TEXT(A368,"yyyy-mm"))</f>
        <v/>
      </c>
      <c r="P368" s="121">
        <f>IF(A368="","",YEAR(A368))</f>
        <v/>
      </c>
      <c r="Q368" s="121">
        <f>IF(A368="","",MONTH(A368))</f>
        <v/>
      </c>
      <c r="R368" s="116" t="n"/>
      <c r="S368" s="116" t="n"/>
      <c r="T368" s="120" t="n"/>
      <c r="U368" s="122" t="n">
        <v>0</v>
      </c>
      <c r="V368" s="123">
        <f>IF(B368="","",N368-U368)</f>
        <v/>
      </c>
      <c r="W368" s="116" t="n"/>
      <c r="X368" s="125">
        <f>IF(B368="","",IF(LEFT(B368,2)="NC",-1,1))</f>
        <v/>
      </c>
      <c r="Y368" s="123">
        <f>IF(B368="",0,N(I368)*X368)</f>
        <v/>
      </c>
      <c r="Z368" s="123">
        <f>IF(B368="",0,N(J368)*X368)</f>
        <v/>
      </c>
      <c r="AA368" s="123">
        <f>IF(B368="",0,N(K368)*X368)</f>
        <v/>
      </c>
      <c r="AB368" s="123">
        <f>IF(B368="",0,N(L368)*X368)</f>
        <v/>
      </c>
      <c r="AC368" s="123">
        <f>IF(B368="",0,N(N368)*X368)</f>
        <v/>
      </c>
    </row>
    <row r="369" ht="15" customHeight="1" s="83">
      <c r="A369" s="120" t="n"/>
      <c r="B369" s="116" t="n"/>
      <c r="C369" s="116" t="n"/>
      <c r="D369" s="116" t="n"/>
      <c r="E369" s="116" t="n"/>
      <c r="F369" s="116" t="n"/>
      <c r="G369" s="116" t="n"/>
      <c r="H369" s="121">
        <f>IF(G369="","",IF(ISNUMBER(SEARCH("CAPITA",UPPER(G369))),651110,IF(ISNUMBER(SEARCH("REFUERZO",UPPER(G369))),651110,IF(ISNUMBER(SEARCH("VACUNACION",UPPER(G369))),651110,IF(ISNUMBER(SEARCH("ENFERMERIA",UPPER(G369))),651110,IF(ISNUMBER(SEARCH("APORTES",UPPER(G369))),651110,IF(ISNUMBER(SEARCH("HONORARIOS",UPPER(G369))),702010,IF(ISNUMBER(SEARCH("ADMINISTRACION",UPPER(G369))),702010,IF(ISNUMBER(SEARCH("GERENCIAMIENTO",UPPER(G369))),702010,IF(ISNUMBER(SEARCH("ALQUILER",UPPER(G369))),702010,IF(ISNUMBER(SEARCH("AUDITORIA",UPPER(G369))),702010,IF(ISNUMBER(SEARCH("PRESTACIONAL",UPPER(G369))),702010,702010))))))))))))</f>
        <v/>
      </c>
      <c r="I369" s="122" t="n"/>
      <c r="J369" s="122" t="n"/>
      <c r="K369" s="123">
        <f>IF(N(I369)&gt;0,ROUND(N(I369)*IVA_general,2),0)</f>
        <v/>
      </c>
      <c r="L369" s="122" t="n">
        <v>0</v>
      </c>
      <c r="M369" s="122" t="n"/>
      <c r="N369" s="123">
        <f>IF(SUM(I369:M369)=0,"",SUM(I369:M369))</f>
        <v/>
      </c>
      <c r="O369" s="124">
        <f>IF(A369="","",TEXT(A369,"yyyy-mm"))</f>
        <v/>
      </c>
      <c r="P369" s="121">
        <f>IF(A369="","",YEAR(A369))</f>
        <v/>
      </c>
      <c r="Q369" s="121">
        <f>IF(A369="","",MONTH(A369))</f>
        <v/>
      </c>
      <c r="R369" s="116" t="n"/>
      <c r="S369" s="116" t="n"/>
      <c r="T369" s="120" t="n"/>
      <c r="U369" s="122" t="n">
        <v>0</v>
      </c>
      <c r="V369" s="123">
        <f>IF(B369="","",N369-U369)</f>
        <v/>
      </c>
      <c r="W369" s="116" t="n"/>
      <c r="X369" s="125">
        <f>IF(B369="","",IF(LEFT(B369,2)="NC",-1,1))</f>
        <v/>
      </c>
      <c r="Y369" s="123">
        <f>IF(B369="",0,N(I369)*X369)</f>
        <v/>
      </c>
      <c r="Z369" s="123">
        <f>IF(B369="",0,N(J369)*X369)</f>
        <v/>
      </c>
      <c r="AA369" s="123">
        <f>IF(B369="",0,N(K369)*X369)</f>
        <v/>
      </c>
      <c r="AB369" s="123">
        <f>IF(B369="",0,N(L369)*X369)</f>
        <v/>
      </c>
      <c r="AC369" s="123">
        <f>IF(B369="",0,N(N369)*X369)</f>
        <v/>
      </c>
    </row>
    <row r="370" ht="15" customHeight="1" s="83">
      <c r="A370" s="120" t="n"/>
      <c r="B370" s="116" t="n"/>
      <c r="C370" s="116" t="n"/>
      <c r="D370" s="116" t="n"/>
      <c r="E370" s="116" t="n"/>
      <c r="F370" s="116" t="n"/>
      <c r="G370" s="116" t="n"/>
      <c r="H370" s="121">
        <f>IF(G370="","",IF(ISNUMBER(SEARCH("CAPITA",UPPER(G370))),651110,IF(ISNUMBER(SEARCH("REFUERZO",UPPER(G370))),651110,IF(ISNUMBER(SEARCH("VACUNACION",UPPER(G370))),651110,IF(ISNUMBER(SEARCH("ENFERMERIA",UPPER(G370))),651110,IF(ISNUMBER(SEARCH("APORTES",UPPER(G370))),651110,IF(ISNUMBER(SEARCH("HONORARIOS",UPPER(G370))),702010,IF(ISNUMBER(SEARCH("ADMINISTRACION",UPPER(G370))),702010,IF(ISNUMBER(SEARCH("GERENCIAMIENTO",UPPER(G370))),702010,IF(ISNUMBER(SEARCH("ALQUILER",UPPER(G370))),702010,IF(ISNUMBER(SEARCH("AUDITORIA",UPPER(G370))),702010,IF(ISNUMBER(SEARCH("PRESTACIONAL",UPPER(G370))),702010,702010))))))))))))</f>
        <v/>
      </c>
      <c r="I370" s="122" t="n"/>
      <c r="J370" s="122" t="n"/>
      <c r="K370" s="123">
        <f>IF(N(I370)&gt;0,ROUND(N(I370)*IVA_general,2),0)</f>
        <v/>
      </c>
      <c r="L370" s="122" t="n">
        <v>0</v>
      </c>
      <c r="M370" s="122" t="n"/>
      <c r="N370" s="123">
        <f>IF(SUM(I370:M370)=0,"",SUM(I370:M370))</f>
        <v/>
      </c>
      <c r="O370" s="124">
        <f>IF(A370="","",TEXT(A370,"yyyy-mm"))</f>
        <v/>
      </c>
      <c r="P370" s="121">
        <f>IF(A370="","",YEAR(A370))</f>
        <v/>
      </c>
      <c r="Q370" s="121">
        <f>IF(A370="","",MONTH(A370))</f>
        <v/>
      </c>
      <c r="R370" s="116" t="n"/>
      <c r="S370" s="116" t="n"/>
      <c r="T370" s="120" t="n"/>
      <c r="U370" s="122" t="n">
        <v>0</v>
      </c>
      <c r="V370" s="123">
        <f>IF(B370="","",N370-U370)</f>
        <v/>
      </c>
      <c r="W370" s="116" t="n"/>
      <c r="X370" s="125">
        <f>IF(B370="","",IF(LEFT(B370,2)="NC",-1,1))</f>
        <v/>
      </c>
      <c r="Y370" s="123">
        <f>IF(B370="",0,N(I370)*X370)</f>
        <v/>
      </c>
      <c r="Z370" s="123">
        <f>IF(B370="",0,N(J370)*X370)</f>
        <v/>
      </c>
      <c r="AA370" s="123">
        <f>IF(B370="",0,N(K370)*X370)</f>
        <v/>
      </c>
      <c r="AB370" s="123">
        <f>IF(B370="",0,N(L370)*X370)</f>
        <v/>
      </c>
      <c r="AC370" s="123">
        <f>IF(B370="",0,N(N370)*X370)</f>
        <v/>
      </c>
    </row>
    <row r="371" ht="15" customHeight="1" s="83">
      <c r="A371" s="120" t="n"/>
      <c r="B371" s="116" t="n"/>
      <c r="C371" s="116" t="n"/>
      <c r="D371" s="116" t="n"/>
      <c r="E371" s="116" t="n"/>
      <c r="F371" s="116" t="n"/>
      <c r="G371" s="116" t="n"/>
      <c r="H371" s="121">
        <f>IF(G371="","",IF(ISNUMBER(SEARCH("CAPITA",UPPER(G371))),651110,IF(ISNUMBER(SEARCH("REFUERZO",UPPER(G371))),651110,IF(ISNUMBER(SEARCH("VACUNACION",UPPER(G371))),651110,IF(ISNUMBER(SEARCH("ENFERMERIA",UPPER(G371))),651110,IF(ISNUMBER(SEARCH("APORTES",UPPER(G371))),651110,IF(ISNUMBER(SEARCH("HONORARIOS",UPPER(G371))),702010,IF(ISNUMBER(SEARCH("ADMINISTRACION",UPPER(G371))),702010,IF(ISNUMBER(SEARCH("GERENCIAMIENTO",UPPER(G371))),702010,IF(ISNUMBER(SEARCH("ALQUILER",UPPER(G371))),702010,IF(ISNUMBER(SEARCH("AUDITORIA",UPPER(G371))),702010,IF(ISNUMBER(SEARCH("PRESTACIONAL",UPPER(G371))),702010,702010))))))))))))</f>
        <v/>
      </c>
      <c r="I371" s="122" t="n"/>
      <c r="J371" s="122" t="n"/>
      <c r="K371" s="123">
        <f>IF(N(I371)&gt;0,ROUND(N(I371)*IVA_general,2),0)</f>
        <v/>
      </c>
      <c r="L371" s="122" t="n">
        <v>0</v>
      </c>
      <c r="M371" s="122" t="n"/>
      <c r="N371" s="123">
        <f>IF(SUM(I371:M371)=0,"",SUM(I371:M371))</f>
        <v/>
      </c>
      <c r="O371" s="124">
        <f>IF(A371="","",TEXT(A371,"yyyy-mm"))</f>
        <v/>
      </c>
      <c r="P371" s="121">
        <f>IF(A371="","",YEAR(A371))</f>
        <v/>
      </c>
      <c r="Q371" s="121">
        <f>IF(A371="","",MONTH(A371))</f>
        <v/>
      </c>
      <c r="R371" s="116" t="n"/>
      <c r="S371" s="116" t="n"/>
      <c r="T371" s="120" t="n"/>
      <c r="U371" s="122" t="n">
        <v>0</v>
      </c>
      <c r="V371" s="123">
        <f>IF(B371="","",N371-U371)</f>
        <v/>
      </c>
      <c r="W371" s="116" t="n"/>
      <c r="X371" s="125">
        <f>IF(B371="","",IF(LEFT(B371,2)="NC",-1,1))</f>
        <v/>
      </c>
      <c r="Y371" s="123">
        <f>IF(B371="",0,N(I371)*X371)</f>
        <v/>
      </c>
      <c r="Z371" s="123">
        <f>IF(B371="",0,N(J371)*X371)</f>
        <v/>
      </c>
      <c r="AA371" s="123">
        <f>IF(B371="",0,N(K371)*X371)</f>
        <v/>
      </c>
      <c r="AB371" s="123">
        <f>IF(B371="",0,N(L371)*X371)</f>
        <v/>
      </c>
      <c r="AC371" s="123">
        <f>IF(B371="",0,N(N371)*X371)</f>
        <v/>
      </c>
    </row>
    <row r="372" ht="15" customHeight="1" s="83">
      <c r="A372" s="120" t="n"/>
      <c r="B372" s="116" t="n"/>
      <c r="C372" s="116" t="n"/>
      <c r="D372" s="116" t="n"/>
      <c r="E372" s="116" t="n"/>
      <c r="F372" s="116" t="n"/>
      <c r="G372" s="116" t="n"/>
      <c r="H372" s="121">
        <f>IF(G372="","",IF(ISNUMBER(SEARCH("CAPITA",UPPER(G372))),651110,IF(ISNUMBER(SEARCH("REFUERZO",UPPER(G372))),651110,IF(ISNUMBER(SEARCH("VACUNACION",UPPER(G372))),651110,IF(ISNUMBER(SEARCH("ENFERMERIA",UPPER(G372))),651110,IF(ISNUMBER(SEARCH("APORTES",UPPER(G372))),651110,IF(ISNUMBER(SEARCH("HONORARIOS",UPPER(G372))),702010,IF(ISNUMBER(SEARCH("ADMINISTRACION",UPPER(G372))),702010,IF(ISNUMBER(SEARCH("GERENCIAMIENTO",UPPER(G372))),702010,IF(ISNUMBER(SEARCH("ALQUILER",UPPER(G372))),702010,IF(ISNUMBER(SEARCH("AUDITORIA",UPPER(G372))),702010,IF(ISNUMBER(SEARCH("PRESTACIONAL",UPPER(G372))),702010,702010))))))))))))</f>
        <v/>
      </c>
      <c r="I372" s="122" t="n"/>
      <c r="J372" s="122" t="n"/>
      <c r="K372" s="123">
        <f>IF(N(I372)&gt;0,ROUND(N(I372)*IVA_general,2),0)</f>
        <v/>
      </c>
      <c r="L372" s="122" t="n">
        <v>0</v>
      </c>
      <c r="M372" s="122" t="n"/>
      <c r="N372" s="123">
        <f>IF(SUM(I372:M372)=0,"",SUM(I372:M372))</f>
        <v/>
      </c>
      <c r="O372" s="124">
        <f>IF(A372="","",TEXT(A372,"yyyy-mm"))</f>
        <v/>
      </c>
      <c r="P372" s="121">
        <f>IF(A372="","",YEAR(A372))</f>
        <v/>
      </c>
      <c r="Q372" s="121">
        <f>IF(A372="","",MONTH(A372))</f>
        <v/>
      </c>
      <c r="R372" s="116" t="n"/>
      <c r="S372" s="116" t="n"/>
      <c r="T372" s="120" t="n"/>
      <c r="U372" s="122" t="n">
        <v>0</v>
      </c>
      <c r="V372" s="123">
        <f>IF(B372="","",N372-U372)</f>
        <v/>
      </c>
      <c r="W372" s="116" t="n"/>
      <c r="X372" s="125">
        <f>IF(B372="","",IF(LEFT(B372,2)="NC",-1,1))</f>
        <v/>
      </c>
      <c r="Y372" s="123">
        <f>IF(B372="",0,N(I372)*X372)</f>
        <v/>
      </c>
      <c r="Z372" s="123">
        <f>IF(B372="",0,N(J372)*X372)</f>
        <v/>
      </c>
      <c r="AA372" s="123">
        <f>IF(B372="",0,N(K372)*X372)</f>
        <v/>
      </c>
      <c r="AB372" s="123">
        <f>IF(B372="",0,N(L372)*X372)</f>
        <v/>
      </c>
      <c r="AC372" s="123">
        <f>IF(B372="",0,N(N372)*X372)</f>
        <v/>
      </c>
    </row>
    <row r="373" ht="15" customHeight="1" s="83">
      <c r="A373" s="120" t="n"/>
      <c r="B373" s="116" t="n"/>
      <c r="C373" s="116" t="n"/>
      <c r="D373" s="116" t="n"/>
      <c r="E373" s="116" t="n"/>
      <c r="F373" s="116" t="n"/>
      <c r="G373" s="116" t="n"/>
      <c r="H373" s="121">
        <f>IF(G373="","",IF(ISNUMBER(SEARCH("CAPITA",UPPER(G373))),651110,IF(ISNUMBER(SEARCH("REFUERZO",UPPER(G373))),651110,IF(ISNUMBER(SEARCH("VACUNACION",UPPER(G373))),651110,IF(ISNUMBER(SEARCH("ENFERMERIA",UPPER(G373))),651110,IF(ISNUMBER(SEARCH("APORTES",UPPER(G373))),651110,IF(ISNUMBER(SEARCH("HONORARIOS",UPPER(G373))),702010,IF(ISNUMBER(SEARCH("ADMINISTRACION",UPPER(G373))),702010,IF(ISNUMBER(SEARCH("GERENCIAMIENTO",UPPER(G373))),702010,IF(ISNUMBER(SEARCH("ALQUILER",UPPER(G373))),702010,IF(ISNUMBER(SEARCH("AUDITORIA",UPPER(G373))),702010,IF(ISNUMBER(SEARCH("PRESTACIONAL",UPPER(G373))),702010,702010))))))))))))</f>
        <v/>
      </c>
      <c r="I373" s="122" t="n"/>
      <c r="J373" s="122" t="n"/>
      <c r="K373" s="123">
        <f>IF(N(I373)&gt;0,ROUND(N(I373)*IVA_general,2),0)</f>
        <v/>
      </c>
      <c r="L373" s="122" t="n">
        <v>0</v>
      </c>
      <c r="M373" s="122" t="n"/>
      <c r="N373" s="123">
        <f>IF(SUM(I373:M373)=0,"",SUM(I373:M373))</f>
        <v/>
      </c>
      <c r="O373" s="124">
        <f>IF(A373="","",TEXT(A373,"yyyy-mm"))</f>
        <v/>
      </c>
      <c r="P373" s="121">
        <f>IF(A373="","",YEAR(A373))</f>
        <v/>
      </c>
      <c r="Q373" s="121">
        <f>IF(A373="","",MONTH(A373))</f>
        <v/>
      </c>
      <c r="R373" s="116" t="n"/>
      <c r="S373" s="116" t="n"/>
      <c r="T373" s="120" t="n"/>
      <c r="U373" s="122" t="n">
        <v>0</v>
      </c>
      <c r="V373" s="123">
        <f>IF(B373="","",N373-U373)</f>
        <v/>
      </c>
      <c r="W373" s="116" t="n"/>
      <c r="X373" s="125">
        <f>IF(B373="","",IF(LEFT(B373,2)="NC",-1,1))</f>
        <v/>
      </c>
      <c r="Y373" s="123">
        <f>IF(B373="",0,N(I373)*X373)</f>
        <v/>
      </c>
      <c r="Z373" s="123">
        <f>IF(B373="",0,N(J373)*X373)</f>
        <v/>
      </c>
      <c r="AA373" s="123">
        <f>IF(B373="",0,N(K373)*X373)</f>
        <v/>
      </c>
      <c r="AB373" s="123">
        <f>IF(B373="",0,N(L373)*X373)</f>
        <v/>
      </c>
      <c r="AC373" s="123">
        <f>IF(B373="",0,N(N373)*X373)</f>
        <v/>
      </c>
    </row>
    <row r="374" ht="15" customHeight="1" s="83">
      <c r="A374" s="120" t="n"/>
      <c r="B374" s="116" t="n"/>
      <c r="C374" s="116" t="n"/>
      <c r="D374" s="116" t="n"/>
      <c r="E374" s="116" t="n"/>
      <c r="F374" s="116" t="n"/>
      <c r="G374" s="116" t="n"/>
      <c r="H374" s="121">
        <f>IF(G374="","",IF(ISNUMBER(SEARCH("CAPITA",UPPER(G374))),651110,IF(ISNUMBER(SEARCH("REFUERZO",UPPER(G374))),651110,IF(ISNUMBER(SEARCH("VACUNACION",UPPER(G374))),651110,IF(ISNUMBER(SEARCH("ENFERMERIA",UPPER(G374))),651110,IF(ISNUMBER(SEARCH("APORTES",UPPER(G374))),651110,IF(ISNUMBER(SEARCH("HONORARIOS",UPPER(G374))),702010,IF(ISNUMBER(SEARCH("ADMINISTRACION",UPPER(G374))),702010,IF(ISNUMBER(SEARCH("GERENCIAMIENTO",UPPER(G374))),702010,IF(ISNUMBER(SEARCH("ALQUILER",UPPER(G374))),702010,IF(ISNUMBER(SEARCH("AUDITORIA",UPPER(G374))),702010,IF(ISNUMBER(SEARCH("PRESTACIONAL",UPPER(G374))),702010,702010))))))))))))</f>
        <v/>
      </c>
      <c r="I374" s="122" t="n"/>
      <c r="J374" s="122" t="n"/>
      <c r="K374" s="123">
        <f>IF(N(I374)&gt;0,ROUND(N(I374)*IVA_general,2),0)</f>
        <v/>
      </c>
      <c r="L374" s="122" t="n">
        <v>0</v>
      </c>
      <c r="M374" s="122" t="n"/>
      <c r="N374" s="123">
        <f>IF(SUM(I374:M374)=0,"",SUM(I374:M374))</f>
        <v/>
      </c>
      <c r="O374" s="124">
        <f>IF(A374="","",TEXT(A374,"yyyy-mm"))</f>
        <v/>
      </c>
      <c r="P374" s="121">
        <f>IF(A374="","",YEAR(A374))</f>
        <v/>
      </c>
      <c r="Q374" s="121">
        <f>IF(A374="","",MONTH(A374))</f>
        <v/>
      </c>
      <c r="R374" s="116" t="n"/>
      <c r="S374" s="116" t="n"/>
      <c r="T374" s="120" t="n"/>
      <c r="U374" s="122" t="n">
        <v>0</v>
      </c>
      <c r="V374" s="123">
        <f>IF(B374="","",N374-U374)</f>
        <v/>
      </c>
      <c r="W374" s="116" t="n"/>
      <c r="X374" s="125">
        <f>IF(B374="","",IF(LEFT(B374,2)="NC",-1,1))</f>
        <v/>
      </c>
      <c r="Y374" s="123">
        <f>IF(B374="",0,N(I374)*X374)</f>
        <v/>
      </c>
      <c r="Z374" s="123">
        <f>IF(B374="",0,N(J374)*X374)</f>
        <v/>
      </c>
      <c r="AA374" s="123">
        <f>IF(B374="",0,N(K374)*X374)</f>
        <v/>
      </c>
      <c r="AB374" s="123">
        <f>IF(B374="",0,N(L374)*X374)</f>
        <v/>
      </c>
      <c r="AC374" s="123">
        <f>IF(B374="",0,N(N374)*X374)</f>
        <v/>
      </c>
    </row>
    <row r="375" ht="15" customHeight="1" s="83">
      <c r="A375" s="120" t="n"/>
      <c r="B375" s="116" t="n"/>
      <c r="C375" s="116" t="n"/>
      <c r="D375" s="116" t="n"/>
      <c r="E375" s="116" t="n"/>
      <c r="F375" s="116" t="n"/>
      <c r="G375" s="116" t="n"/>
      <c r="H375" s="121">
        <f>IF(G375="","",IF(ISNUMBER(SEARCH("CAPITA",UPPER(G375))),651110,IF(ISNUMBER(SEARCH("REFUERZO",UPPER(G375))),651110,IF(ISNUMBER(SEARCH("VACUNACION",UPPER(G375))),651110,IF(ISNUMBER(SEARCH("ENFERMERIA",UPPER(G375))),651110,IF(ISNUMBER(SEARCH("APORTES",UPPER(G375))),651110,IF(ISNUMBER(SEARCH("HONORARIOS",UPPER(G375))),702010,IF(ISNUMBER(SEARCH("ADMINISTRACION",UPPER(G375))),702010,IF(ISNUMBER(SEARCH("GERENCIAMIENTO",UPPER(G375))),702010,IF(ISNUMBER(SEARCH("ALQUILER",UPPER(G375))),702010,IF(ISNUMBER(SEARCH("AUDITORIA",UPPER(G375))),702010,IF(ISNUMBER(SEARCH("PRESTACIONAL",UPPER(G375))),702010,702010))))))))))))</f>
        <v/>
      </c>
      <c r="I375" s="122" t="n"/>
      <c r="J375" s="122" t="n"/>
      <c r="K375" s="123">
        <f>IF(N(I375)&gt;0,ROUND(N(I375)*IVA_general,2),0)</f>
        <v/>
      </c>
      <c r="L375" s="122" t="n">
        <v>0</v>
      </c>
      <c r="M375" s="122" t="n"/>
      <c r="N375" s="123">
        <f>IF(SUM(I375:M375)=0,"",SUM(I375:M375))</f>
        <v/>
      </c>
      <c r="O375" s="124">
        <f>IF(A375="","",TEXT(A375,"yyyy-mm"))</f>
        <v/>
      </c>
      <c r="P375" s="121">
        <f>IF(A375="","",YEAR(A375))</f>
        <v/>
      </c>
      <c r="Q375" s="121">
        <f>IF(A375="","",MONTH(A375))</f>
        <v/>
      </c>
      <c r="R375" s="116" t="n"/>
      <c r="S375" s="116" t="n"/>
      <c r="T375" s="120" t="n"/>
      <c r="U375" s="122" t="n">
        <v>0</v>
      </c>
      <c r="V375" s="123">
        <f>IF(B375="","",N375-U375)</f>
        <v/>
      </c>
      <c r="W375" s="116" t="n"/>
      <c r="X375" s="125">
        <f>IF(B375="","",IF(LEFT(B375,2)="NC",-1,1))</f>
        <v/>
      </c>
      <c r="Y375" s="123">
        <f>IF(B375="",0,N(I375)*X375)</f>
        <v/>
      </c>
      <c r="Z375" s="123">
        <f>IF(B375="",0,N(J375)*X375)</f>
        <v/>
      </c>
      <c r="AA375" s="123">
        <f>IF(B375="",0,N(K375)*X375)</f>
        <v/>
      </c>
      <c r="AB375" s="123">
        <f>IF(B375="",0,N(L375)*X375)</f>
        <v/>
      </c>
      <c r="AC375" s="123">
        <f>IF(B375="",0,N(N375)*X375)</f>
        <v/>
      </c>
    </row>
    <row r="376" ht="15" customHeight="1" s="83">
      <c r="A376" s="120" t="n"/>
      <c r="B376" s="116" t="n"/>
      <c r="C376" s="116" t="n"/>
      <c r="D376" s="116" t="n"/>
      <c r="E376" s="116" t="n"/>
      <c r="F376" s="116" t="n"/>
      <c r="G376" s="116" t="n"/>
      <c r="H376" s="121">
        <f>IF(G376="","",IF(ISNUMBER(SEARCH("CAPITA",UPPER(G376))),651110,IF(ISNUMBER(SEARCH("REFUERZO",UPPER(G376))),651110,IF(ISNUMBER(SEARCH("VACUNACION",UPPER(G376))),651110,IF(ISNUMBER(SEARCH("ENFERMERIA",UPPER(G376))),651110,IF(ISNUMBER(SEARCH("APORTES",UPPER(G376))),651110,IF(ISNUMBER(SEARCH("HONORARIOS",UPPER(G376))),702010,IF(ISNUMBER(SEARCH("ADMINISTRACION",UPPER(G376))),702010,IF(ISNUMBER(SEARCH("GERENCIAMIENTO",UPPER(G376))),702010,IF(ISNUMBER(SEARCH("ALQUILER",UPPER(G376))),702010,IF(ISNUMBER(SEARCH("AUDITORIA",UPPER(G376))),702010,IF(ISNUMBER(SEARCH("PRESTACIONAL",UPPER(G376))),702010,702010))))))))))))</f>
        <v/>
      </c>
      <c r="I376" s="122" t="n"/>
      <c r="J376" s="122" t="n"/>
      <c r="K376" s="123">
        <f>IF(N(I376)&gt;0,ROUND(N(I376)*IVA_general,2),0)</f>
        <v/>
      </c>
      <c r="L376" s="122" t="n">
        <v>0</v>
      </c>
      <c r="M376" s="122" t="n"/>
      <c r="N376" s="123">
        <f>IF(SUM(I376:M376)=0,"",SUM(I376:M376))</f>
        <v/>
      </c>
      <c r="O376" s="124">
        <f>IF(A376="","",TEXT(A376,"yyyy-mm"))</f>
        <v/>
      </c>
      <c r="P376" s="121">
        <f>IF(A376="","",YEAR(A376))</f>
        <v/>
      </c>
      <c r="Q376" s="121">
        <f>IF(A376="","",MONTH(A376))</f>
        <v/>
      </c>
      <c r="R376" s="116" t="n"/>
      <c r="S376" s="116" t="n"/>
      <c r="T376" s="120" t="n"/>
      <c r="U376" s="122" t="n">
        <v>0</v>
      </c>
      <c r="V376" s="123">
        <f>IF(B376="","",N376-U376)</f>
        <v/>
      </c>
      <c r="W376" s="116" t="n"/>
      <c r="X376" s="125">
        <f>IF(B376="","",IF(LEFT(B376,2)="NC",-1,1))</f>
        <v/>
      </c>
      <c r="Y376" s="123">
        <f>IF(B376="",0,N(I376)*X376)</f>
        <v/>
      </c>
      <c r="Z376" s="123">
        <f>IF(B376="",0,N(J376)*X376)</f>
        <v/>
      </c>
      <c r="AA376" s="123">
        <f>IF(B376="",0,N(K376)*X376)</f>
        <v/>
      </c>
      <c r="AB376" s="123">
        <f>IF(B376="",0,N(L376)*X376)</f>
        <v/>
      </c>
      <c r="AC376" s="123">
        <f>IF(B376="",0,N(N376)*X376)</f>
        <v/>
      </c>
    </row>
    <row r="377" ht="15" customHeight="1" s="83">
      <c r="A377" s="120" t="n"/>
      <c r="B377" s="116" t="n"/>
      <c r="C377" s="116" t="n"/>
      <c r="D377" s="116" t="n"/>
      <c r="E377" s="116" t="n"/>
      <c r="F377" s="116" t="n"/>
      <c r="G377" s="116" t="n"/>
      <c r="H377" s="121">
        <f>IF(G377="","",IF(ISNUMBER(SEARCH("CAPITA",UPPER(G377))),651110,IF(ISNUMBER(SEARCH("REFUERZO",UPPER(G377))),651110,IF(ISNUMBER(SEARCH("VACUNACION",UPPER(G377))),651110,IF(ISNUMBER(SEARCH("ENFERMERIA",UPPER(G377))),651110,IF(ISNUMBER(SEARCH("APORTES",UPPER(G377))),651110,IF(ISNUMBER(SEARCH("HONORARIOS",UPPER(G377))),702010,IF(ISNUMBER(SEARCH("ADMINISTRACION",UPPER(G377))),702010,IF(ISNUMBER(SEARCH("GERENCIAMIENTO",UPPER(G377))),702010,IF(ISNUMBER(SEARCH("ALQUILER",UPPER(G377))),702010,IF(ISNUMBER(SEARCH("AUDITORIA",UPPER(G377))),702010,IF(ISNUMBER(SEARCH("PRESTACIONAL",UPPER(G377))),702010,702010))))))))))))</f>
        <v/>
      </c>
      <c r="I377" s="122" t="n"/>
      <c r="J377" s="122" t="n"/>
      <c r="K377" s="123">
        <f>IF(N(I377)&gt;0,ROUND(N(I377)*IVA_general,2),0)</f>
        <v/>
      </c>
      <c r="L377" s="122" t="n">
        <v>0</v>
      </c>
      <c r="M377" s="122" t="n"/>
      <c r="N377" s="123">
        <f>IF(SUM(I377:M377)=0,"",SUM(I377:M377))</f>
        <v/>
      </c>
      <c r="O377" s="124">
        <f>IF(A377="","",TEXT(A377,"yyyy-mm"))</f>
        <v/>
      </c>
      <c r="P377" s="121">
        <f>IF(A377="","",YEAR(A377))</f>
        <v/>
      </c>
      <c r="Q377" s="121">
        <f>IF(A377="","",MONTH(A377))</f>
        <v/>
      </c>
      <c r="R377" s="116" t="n"/>
      <c r="S377" s="116" t="n"/>
      <c r="T377" s="120" t="n"/>
      <c r="U377" s="122" t="n">
        <v>0</v>
      </c>
      <c r="V377" s="123">
        <f>IF(B377="","",N377-U377)</f>
        <v/>
      </c>
      <c r="W377" s="116" t="n"/>
      <c r="X377" s="125">
        <f>IF(B377="","",IF(LEFT(B377,2)="NC",-1,1))</f>
        <v/>
      </c>
      <c r="Y377" s="123">
        <f>IF(B377="",0,N(I377)*X377)</f>
        <v/>
      </c>
      <c r="Z377" s="123">
        <f>IF(B377="",0,N(J377)*X377)</f>
        <v/>
      </c>
      <c r="AA377" s="123">
        <f>IF(B377="",0,N(K377)*X377)</f>
        <v/>
      </c>
      <c r="AB377" s="123">
        <f>IF(B377="",0,N(L377)*X377)</f>
        <v/>
      </c>
      <c r="AC377" s="123">
        <f>IF(B377="",0,N(N377)*X377)</f>
        <v/>
      </c>
    </row>
    <row r="378" ht="15" customHeight="1" s="83">
      <c r="A378" s="120" t="n"/>
      <c r="B378" s="116" t="n"/>
      <c r="C378" s="116" t="n"/>
      <c r="D378" s="116" t="n"/>
      <c r="E378" s="116" t="n"/>
      <c r="F378" s="116" t="n"/>
      <c r="G378" s="116" t="n"/>
      <c r="H378" s="121">
        <f>IF(G378="","",IF(ISNUMBER(SEARCH("CAPITA",UPPER(G378))),651110,IF(ISNUMBER(SEARCH("REFUERZO",UPPER(G378))),651110,IF(ISNUMBER(SEARCH("VACUNACION",UPPER(G378))),651110,IF(ISNUMBER(SEARCH("ENFERMERIA",UPPER(G378))),651110,IF(ISNUMBER(SEARCH("APORTES",UPPER(G378))),651110,IF(ISNUMBER(SEARCH("HONORARIOS",UPPER(G378))),702010,IF(ISNUMBER(SEARCH("ADMINISTRACION",UPPER(G378))),702010,IF(ISNUMBER(SEARCH("GERENCIAMIENTO",UPPER(G378))),702010,IF(ISNUMBER(SEARCH("ALQUILER",UPPER(G378))),702010,IF(ISNUMBER(SEARCH("AUDITORIA",UPPER(G378))),702010,IF(ISNUMBER(SEARCH("PRESTACIONAL",UPPER(G378))),702010,702010))))))))))))</f>
        <v/>
      </c>
      <c r="I378" s="122" t="n"/>
      <c r="J378" s="122" t="n"/>
      <c r="K378" s="123">
        <f>IF(N(I378)&gt;0,ROUND(N(I378)*IVA_general,2),0)</f>
        <v/>
      </c>
      <c r="L378" s="122" t="n">
        <v>0</v>
      </c>
      <c r="M378" s="122" t="n"/>
      <c r="N378" s="123">
        <f>IF(SUM(I378:M378)=0,"",SUM(I378:M378))</f>
        <v/>
      </c>
      <c r="O378" s="124">
        <f>IF(A378="","",TEXT(A378,"yyyy-mm"))</f>
        <v/>
      </c>
      <c r="P378" s="121">
        <f>IF(A378="","",YEAR(A378))</f>
        <v/>
      </c>
      <c r="Q378" s="121">
        <f>IF(A378="","",MONTH(A378))</f>
        <v/>
      </c>
      <c r="R378" s="116" t="n"/>
      <c r="S378" s="116" t="n"/>
      <c r="T378" s="120" t="n"/>
      <c r="U378" s="122" t="n">
        <v>0</v>
      </c>
      <c r="V378" s="123">
        <f>IF(B378="","",N378-U378)</f>
        <v/>
      </c>
      <c r="W378" s="116" t="n"/>
      <c r="X378" s="125">
        <f>IF(B378="","",IF(LEFT(B378,2)="NC",-1,1))</f>
        <v/>
      </c>
      <c r="Y378" s="123">
        <f>IF(B378="",0,N(I378)*X378)</f>
        <v/>
      </c>
      <c r="Z378" s="123">
        <f>IF(B378="",0,N(J378)*X378)</f>
        <v/>
      </c>
      <c r="AA378" s="123">
        <f>IF(B378="",0,N(K378)*X378)</f>
        <v/>
      </c>
      <c r="AB378" s="123">
        <f>IF(B378="",0,N(L378)*X378)</f>
        <v/>
      </c>
      <c r="AC378" s="123">
        <f>IF(B378="",0,N(N378)*X378)</f>
        <v/>
      </c>
    </row>
    <row r="379" ht="15" customHeight="1" s="83">
      <c r="A379" s="120" t="n"/>
      <c r="B379" s="116" t="n"/>
      <c r="C379" s="116" t="n"/>
      <c r="D379" s="116" t="n"/>
      <c r="E379" s="116" t="n"/>
      <c r="F379" s="116" t="n"/>
      <c r="G379" s="116" t="n"/>
      <c r="H379" s="121">
        <f>IF(G379="","",IF(ISNUMBER(SEARCH("CAPITA",UPPER(G379))),651110,IF(ISNUMBER(SEARCH("REFUERZO",UPPER(G379))),651110,IF(ISNUMBER(SEARCH("VACUNACION",UPPER(G379))),651110,IF(ISNUMBER(SEARCH("ENFERMERIA",UPPER(G379))),651110,IF(ISNUMBER(SEARCH("APORTES",UPPER(G379))),651110,IF(ISNUMBER(SEARCH("HONORARIOS",UPPER(G379))),702010,IF(ISNUMBER(SEARCH("ADMINISTRACION",UPPER(G379))),702010,IF(ISNUMBER(SEARCH("GERENCIAMIENTO",UPPER(G379))),702010,IF(ISNUMBER(SEARCH("ALQUILER",UPPER(G379))),702010,IF(ISNUMBER(SEARCH("AUDITORIA",UPPER(G379))),702010,IF(ISNUMBER(SEARCH("PRESTACIONAL",UPPER(G379))),702010,702010))))))))))))</f>
        <v/>
      </c>
      <c r="I379" s="122" t="n"/>
      <c r="J379" s="122" t="n"/>
      <c r="K379" s="123">
        <f>IF(N(I379)&gt;0,ROUND(N(I379)*IVA_general,2),0)</f>
        <v/>
      </c>
      <c r="L379" s="122" t="n">
        <v>0</v>
      </c>
      <c r="M379" s="122" t="n"/>
      <c r="N379" s="123">
        <f>IF(SUM(I379:M379)=0,"",SUM(I379:M379))</f>
        <v/>
      </c>
      <c r="O379" s="124">
        <f>IF(A379="","",TEXT(A379,"yyyy-mm"))</f>
        <v/>
      </c>
      <c r="P379" s="121">
        <f>IF(A379="","",YEAR(A379))</f>
        <v/>
      </c>
      <c r="Q379" s="121">
        <f>IF(A379="","",MONTH(A379))</f>
        <v/>
      </c>
      <c r="R379" s="116" t="n"/>
      <c r="S379" s="116" t="n"/>
      <c r="T379" s="120" t="n"/>
      <c r="U379" s="122" t="n">
        <v>0</v>
      </c>
      <c r="V379" s="123">
        <f>IF(B379="","",N379-U379)</f>
        <v/>
      </c>
      <c r="W379" s="116" t="n"/>
      <c r="X379" s="125">
        <f>IF(B379="","",IF(LEFT(B379,2)="NC",-1,1))</f>
        <v/>
      </c>
      <c r="Y379" s="123">
        <f>IF(B379="",0,N(I379)*X379)</f>
        <v/>
      </c>
      <c r="Z379" s="123">
        <f>IF(B379="",0,N(J379)*X379)</f>
        <v/>
      </c>
      <c r="AA379" s="123">
        <f>IF(B379="",0,N(K379)*X379)</f>
        <v/>
      </c>
      <c r="AB379" s="123">
        <f>IF(B379="",0,N(L379)*X379)</f>
        <v/>
      </c>
      <c r="AC379" s="123">
        <f>IF(B379="",0,N(N379)*X379)</f>
        <v/>
      </c>
    </row>
    <row r="380" ht="15" customHeight="1" s="83">
      <c r="A380" s="120" t="n"/>
      <c r="B380" s="116" t="n"/>
      <c r="C380" s="116" t="n"/>
      <c r="D380" s="116" t="n"/>
      <c r="E380" s="116" t="n"/>
      <c r="F380" s="116" t="n"/>
      <c r="G380" s="116" t="n"/>
      <c r="H380" s="121">
        <f>IF(G380="","",IF(ISNUMBER(SEARCH("CAPITA",UPPER(G380))),651110,IF(ISNUMBER(SEARCH("REFUERZO",UPPER(G380))),651110,IF(ISNUMBER(SEARCH("VACUNACION",UPPER(G380))),651110,IF(ISNUMBER(SEARCH("ENFERMERIA",UPPER(G380))),651110,IF(ISNUMBER(SEARCH("APORTES",UPPER(G380))),651110,IF(ISNUMBER(SEARCH("HONORARIOS",UPPER(G380))),702010,IF(ISNUMBER(SEARCH("ADMINISTRACION",UPPER(G380))),702010,IF(ISNUMBER(SEARCH("GERENCIAMIENTO",UPPER(G380))),702010,IF(ISNUMBER(SEARCH("ALQUILER",UPPER(G380))),702010,IF(ISNUMBER(SEARCH("AUDITORIA",UPPER(G380))),702010,IF(ISNUMBER(SEARCH("PRESTACIONAL",UPPER(G380))),702010,702010))))))))))))</f>
        <v/>
      </c>
      <c r="I380" s="122" t="n"/>
      <c r="J380" s="122" t="n"/>
      <c r="K380" s="123">
        <f>IF(N(I380)&gt;0,ROUND(N(I380)*IVA_general,2),0)</f>
        <v/>
      </c>
      <c r="L380" s="122" t="n">
        <v>0</v>
      </c>
      <c r="M380" s="122" t="n"/>
      <c r="N380" s="123">
        <f>IF(SUM(I380:M380)=0,"",SUM(I380:M380))</f>
        <v/>
      </c>
      <c r="O380" s="124">
        <f>IF(A380="","",TEXT(A380,"yyyy-mm"))</f>
        <v/>
      </c>
      <c r="P380" s="121">
        <f>IF(A380="","",YEAR(A380))</f>
        <v/>
      </c>
      <c r="Q380" s="121">
        <f>IF(A380="","",MONTH(A380))</f>
        <v/>
      </c>
      <c r="R380" s="116" t="n"/>
      <c r="S380" s="116" t="n"/>
      <c r="T380" s="120" t="n"/>
      <c r="U380" s="122" t="n">
        <v>0</v>
      </c>
      <c r="V380" s="123">
        <f>IF(B380="","",N380-U380)</f>
        <v/>
      </c>
      <c r="W380" s="116" t="n"/>
      <c r="X380" s="125">
        <f>IF(B380="","",IF(LEFT(B380,2)="NC",-1,1))</f>
        <v/>
      </c>
      <c r="Y380" s="123">
        <f>IF(B380="",0,N(I380)*X380)</f>
        <v/>
      </c>
      <c r="Z380" s="123">
        <f>IF(B380="",0,N(J380)*X380)</f>
        <v/>
      </c>
      <c r="AA380" s="123">
        <f>IF(B380="",0,N(K380)*X380)</f>
        <v/>
      </c>
      <c r="AB380" s="123">
        <f>IF(B380="",0,N(L380)*X380)</f>
        <v/>
      </c>
      <c r="AC380" s="123">
        <f>IF(B380="",0,N(N380)*X380)</f>
        <v/>
      </c>
    </row>
    <row r="381" ht="15" customHeight="1" s="83">
      <c r="A381" s="120" t="n"/>
      <c r="B381" s="116" t="n"/>
      <c r="C381" s="116" t="n"/>
      <c r="D381" s="116" t="n"/>
      <c r="E381" s="116" t="n"/>
      <c r="F381" s="116" t="n"/>
      <c r="G381" s="116" t="n"/>
      <c r="H381" s="121">
        <f>IF(G381="","",IF(ISNUMBER(SEARCH("CAPITA",UPPER(G381))),651110,IF(ISNUMBER(SEARCH("REFUERZO",UPPER(G381))),651110,IF(ISNUMBER(SEARCH("VACUNACION",UPPER(G381))),651110,IF(ISNUMBER(SEARCH("ENFERMERIA",UPPER(G381))),651110,IF(ISNUMBER(SEARCH("APORTES",UPPER(G381))),651110,IF(ISNUMBER(SEARCH("HONORARIOS",UPPER(G381))),702010,IF(ISNUMBER(SEARCH("ADMINISTRACION",UPPER(G381))),702010,IF(ISNUMBER(SEARCH("GERENCIAMIENTO",UPPER(G381))),702010,IF(ISNUMBER(SEARCH("ALQUILER",UPPER(G381))),702010,IF(ISNUMBER(SEARCH("AUDITORIA",UPPER(G381))),702010,IF(ISNUMBER(SEARCH("PRESTACIONAL",UPPER(G381))),702010,702010))))))))))))</f>
        <v/>
      </c>
      <c r="I381" s="122" t="n"/>
      <c r="J381" s="122" t="n"/>
      <c r="K381" s="123">
        <f>IF(N(I381)&gt;0,ROUND(N(I381)*IVA_general,2),0)</f>
        <v/>
      </c>
      <c r="L381" s="122" t="n">
        <v>0</v>
      </c>
      <c r="M381" s="122" t="n"/>
      <c r="N381" s="123">
        <f>IF(SUM(I381:M381)=0,"",SUM(I381:M381))</f>
        <v/>
      </c>
      <c r="O381" s="124">
        <f>IF(A381="","",TEXT(A381,"yyyy-mm"))</f>
        <v/>
      </c>
      <c r="P381" s="121">
        <f>IF(A381="","",YEAR(A381))</f>
        <v/>
      </c>
      <c r="Q381" s="121">
        <f>IF(A381="","",MONTH(A381))</f>
        <v/>
      </c>
      <c r="R381" s="116" t="n"/>
      <c r="S381" s="116" t="n"/>
      <c r="T381" s="120" t="n"/>
      <c r="U381" s="122" t="n">
        <v>0</v>
      </c>
      <c r="V381" s="123">
        <f>IF(B381="","",N381-U381)</f>
        <v/>
      </c>
      <c r="W381" s="116" t="n"/>
      <c r="X381" s="125">
        <f>IF(B381="","",IF(LEFT(B381,2)="NC",-1,1))</f>
        <v/>
      </c>
      <c r="Y381" s="123">
        <f>IF(B381="",0,N(I381)*X381)</f>
        <v/>
      </c>
      <c r="Z381" s="123">
        <f>IF(B381="",0,N(J381)*X381)</f>
        <v/>
      </c>
      <c r="AA381" s="123">
        <f>IF(B381="",0,N(K381)*X381)</f>
        <v/>
      </c>
      <c r="AB381" s="123">
        <f>IF(B381="",0,N(L381)*X381)</f>
        <v/>
      </c>
      <c r="AC381" s="123">
        <f>IF(B381="",0,N(N381)*X381)</f>
        <v/>
      </c>
    </row>
    <row r="382" ht="15" customHeight="1" s="83">
      <c r="A382" s="120" t="n"/>
      <c r="B382" s="116" t="n"/>
      <c r="C382" s="116" t="n"/>
      <c r="D382" s="116" t="n"/>
      <c r="E382" s="116" t="n"/>
      <c r="F382" s="116" t="n"/>
      <c r="G382" s="116" t="n"/>
      <c r="H382" s="121">
        <f>IF(G382="","",IF(ISNUMBER(SEARCH("CAPITA",UPPER(G382))),651110,IF(ISNUMBER(SEARCH("REFUERZO",UPPER(G382))),651110,IF(ISNUMBER(SEARCH("VACUNACION",UPPER(G382))),651110,IF(ISNUMBER(SEARCH("ENFERMERIA",UPPER(G382))),651110,IF(ISNUMBER(SEARCH("APORTES",UPPER(G382))),651110,IF(ISNUMBER(SEARCH("HONORARIOS",UPPER(G382))),702010,IF(ISNUMBER(SEARCH("ADMINISTRACION",UPPER(G382))),702010,IF(ISNUMBER(SEARCH("GERENCIAMIENTO",UPPER(G382))),702010,IF(ISNUMBER(SEARCH("ALQUILER",UPPER(G382))),702010,IF(ISNUMBER(SEARCH("AUDITORIA",UPPER(G382))),702010,IF(ISNUMBER(SEARCH("PRESTACIONAL",UPPER(G382))),702010,702010))))))))))))</f>
        <v/>
      </c>
      <c r="I382" s="122" t="n"/>
      <c r="J382" s="122" t="n"/>
      <c r="K382" s="123">
        <f>IF(N(I382)&gt;0,ROUND(N(I382)*IVA_general,2),0)</f>
        <v/>
      </c>
      <c r="L382" s="122" t="n">
        <v>0</v>
      </c>
      <c r="M382" s="122" t="n"/>
      <c r="N382" s="123">
        <f>IF(SUM(I382:M382)=0,"",SUM(I382:M382))</f>
        <v/>
      </c>
      <c r="O382" s="124">
        <f>IF(A382="","",TEXT(A382,"yyyy-mm"))</f>
        <v/>
      </c>
      <c r="P382" s="121">
        <f>IF(A382="","",YEAR(A382))</f>
        <v/>
      </c>
      <c r="Q382" s="121">
        <f>IF(A382="","",MONTH(A382))</f>
        <v/>
      </c>
      <c r="R382" s="116" t="n"/>
      <c r="S382" s="116" t="n"/>
      <c r="T382" s="120" t="n"/>
      <c r="U382" s="122" t="n">
        <v>0</v>
      </c>
      <c r="V382" s="123">
        <f>IF(B382="","",N382-U382)</f>
        <v/>
      </c>
      <c r="W382" s="116" t="n"/>
      <c r="X382" s="125">
        <f>IF(B382="","",IF(LEFT(B382,2)="NC",-1,1))</f>
        <v/>
      </c>
      <c r="Y382" s="123">
        <f>IF(B382="",0,N(I382)*X382)</f>
        <v/>
      </c>
      <c r="Z382" s="123">
        <f>IF(B382="",0,N(J382)*X382)</f>
        <v/>
      </c>
      <c r="AA382" s="123">
        <f>IF(B382="",0,N(K382)*X382)</f>
        <v/>
      </c>
      <c r="AB382" s="123">
        <f>IF(B382="",0,N(L382)*X382)</f>
        <v/>
      </c>
      <c r="AC382" s="123">
        <f>IF(B382="",0,N(N382)*X382)</f>
        <v/>
      </c>
    </row>
    <row r="383" ht="15" customHeight="1" s="83">
      <c r="A383" s="120" t="n"/>
      <c r="B383" s="116" t="n"/>
      <c r="C383" s="116" t="n"/>
      <c r="D383" s="116" t="n"/>
      <c r="E383" s="116" t="n"/>
      <c r="F383" s="116" t="n"/>
      <c r="G383" s="116" t="n"/>
      <c r="H383" s="121">
        <f>IF(G383="","",IF(ISNUMBER(SEARCH("CAPITA",UPPER(G383))),651110,IF(ISNUMBER(SEARCH("REFUERZO",UPPER(G383))),651110,IF(ISNUMBER(SEARCH("VACUNACION",UPPER(G383))),651110,IF(ISNUMBER(SEARCH("ENFERMERIA",UPPER(G383))),651110,IF(ISNUMBER(SEARCH("APORTES",UPPER(G383))),651110,IF(ISNUMBER(SEARCH("HONORARIOS",UPPER(G383))),702010,IF(ISNUMBER(SEARCH("ADMINISTRACION",UPPER(G383))),702010,IF(ISNUMBER(SEARCH("GERENCIAMIENTO",UPPER(G383))),702010,IF(ISNUMBER(SEARCH("ALQUILER",UPPER(G383))),702010,IF(ISNUMBER(SEARCH("AUDITORIA",UPPER(G383))),702010,IF(ISNUMBER(SEARCH("PRESTACIONAL",UPPER(G383))),702010,702010))))))))))))</f>
        <v/>
      </c>
      <c r="I383" s="122" t="n"/>
      <c r="J383" s="122" t="n"/>
      <c r="K383" s="123">
        <f>IF(N(I383)&gt;0,ROUND(N(I383)*IVA_general,2),0)</f>
        <v/>
      </c>
      <c r="L383" s="122" t="n">
        <v>0</v>
      </c>
      <c r="M383" s="122" t="n"/>
      <c r="N383" s="123">
        <f>IF(SUM(I383:M383)=0,"",SUM(I383:M383))</f>
        <v/>
      </c>
      <c r="O383" s="124">
        <f>IF(A383="","",TEXT(A383,"yyyy-mm"))</f>
        <v/>
      </c>
      <c r="P383" s="121">
        <f>IF(A383="","",YEAR(A383))</f>
        <v/>
      </c>
      <c r="Q383" s="121">
        <f>IF(A383="","",MONTH(A383))</f>
        <v/>
      </c>
      <c r="R383" s="116" t="n"/>
      <c r="S383" s="116" t="n"/>
      <c r="T383" s="120" t="n"/>
      <c r="U383" s="122" t="n">
        <v>0</v>
      </c>
      <c r="V383" s="123">
        <f>IF(B383="","",N383-U383)</f>
        <v/>
      </c>
      <c r="W383" s="116" t="n"/>
      <c r="X383" s="125">
        <f>IF(B383="","",IF(LEFT(B383,2)="NC",-1,1))</f>
        <v/>
      </c>
      <c r="Y383" s="123">
        <f>IF(B383="",0,N(I383)*X383)</f>
        <v/>
      </c>
      <c r="Z383" s="123">
        <f>IF(B383="",0,N(J383)*X383)</f>
        <v/>
      </c>
      <c r="AA383" s="123">
        <f>IF(B383="",0,N(K383)*X383)</f>
        <v/>
      </c>
      <c r="AB383" s="123">
        <f>IF(B383="",0,N(L383)*X383)</f>
        <v/>
      </c>
      <c r="AC383" s="123">
        <f>IF(B383="",0,N(N383)*X383)</f>
        <v/>
      </c>
    </row>
    <row r="384" ht="15" customHeight="1" s="83">
      <c r="A384" s="120" t="n"/>
      <c r="B384" s="116" t="n"/>
      <c r="C384" s="116" t="n"/>
      <c r="D384" s="116" t="n"/>
      <c r="E384" s="116" t="n"/>
      <c r="F384" s="116" t="n"/>
      <c r="G384" s="116" t="n"/>
      <c r="H384" s="121">
        <f>IF(G384="","",IF(ISNUMBER(SEARCH("CAPITA",UPPER(G384))),651110,IF(ISNUMBER(SEARCH("REFUERZO",UPPER(G384))),651110,IF(ISNUMBER(SEARCH("VACUNACION",UPPER(G384))),651110,IF(ISNUMBER(SEARCH("ENFERMERIA",UPPER(G384))),651110,IF(ISNUMBER(SEARCH("APORTES",UPPER(G384))),651110,IF(ISNUMBER(SEARCH("HONORARIOS",UPPER(G384))),702010,IF(ISNUMBER(SEARCH("ADMINISTRACION",UPPER(G384))),702010,IF(ISNUMBER(SEARCH("GERENCIAMIENTO",UPPER(G384))),702010,IF(ISNUMBER(SEARCH("ALQUILER",UPPER(G384))),702010,IF(ISNUMBER(SEARCH("AUDITORIA",UPPER(G384))),702010,IF(ISNUMBER(SEARCH("PRESTACIONAL",UPPER(G384))),702010,702010))))))))))))</f>
        <v/>
      </c>
      <c r="I384" s="122" t="n"/>
      <c r="J384" s="122" t="n"/>
      <c r="K384" s="123">
        <f>IF(N(I384)&gt;0,ROUND(N(I384)*IVA_general,2),0)</f>
        <v/>
      </c>
      <c r="L384" s="122" t="n">
        <v>0</v>
      </c>
      <c r="M384" s="122" t="n"/>
      <c r="N384" s="123">
        <f>IF(SUM(I384:M384)=0,"",SUM(I384:M384))</f>
        <v/>
      </c>
      <c r="O384" s="124">
        <f>IF(A384="","",TEXT(A384,"yyyy-mm"))</f>
        <v/>
      </c>
      <c r="P384" s="121">
        <f>IF(A384="","",YEAR(A384))</f>
        <v/>
      </c>
      <c r="Q384" s="121">
        <f>IF(A384="","",MONTH(A384))</f>
        <v/>
      </c>
      <c r="R384" s="116" t="n"/>
      <c r="S384" s="116" t="n"/>
      <c r="T384" s="120" t="n"/>
      <c r="U384" s="122" t="n">
        <v>0</v>
      </c>
      <c r="V384" s="123">
        <f>IF(B384="","",N384-U384)</f>
        <v/>
      </c>
      <c r="W384" s="116" t="n"/>
      <c r="X384" s="125">
        <f>IF(B384="","",IF(LEFT(B384,2)="NC",-1,1))</f>
        <v/>
      </c>
      <c r="Y384" s="123">
        <f>IF(B384="",0,N(I384)*X384)</f>
        <v/>
      </c>
      <c r="Z384" s="123">
        <f>IF(B384="",0,N(J384)*X384)</f>
        <v/>
      </c>
      <c r="AA384" s="123">
        <f>IF(B384="",0,N(K384)*X384)</f>
        <v/>
      </c>
      <c r="AB384" s="123">
        <f>IF(B384="",0,N(L384)*X384)</f>
        <v/>
      </c>
      <c r="AC384" s="123">
        <f>IF(B384="",0,N(N384)*X384)</f>
        <v/>
      </c>
    </row>
    <row r="385" ht="15" customHeight="1" s="83">
      <c r="A385" s="120" t="n"/>
      <c r="B385" s="116" t="n"/>
      <c r="C385" s="116" t="n"/>
      <c r="D385" s="116" t="n"/>
      <c r="E385" s="116" t="n"/>
      <c r="F385" s="116" t="n"/>
      <c r="G385" s="116" t="n"/>
      <c r="H385" s="121">
        <f>IF(G385="","",IF(ISNUMBER(SEARCH("CAPITA",UPPER(G385))),651110,IF(ISNUMBER(SEARCH("REFUERZO",UPPER(G385))),651110,IF(ISNUMBER(SEARCH("VACUNACION",UPPER(G385))),651110,IF(ISNUMBER(SEARCH("ENFERMERIA",UPPER(G385))),651110,IF(ISNUMBER(SEARCH("APORTES",UPPER(G385))),651110,IF(ISNUMBER(SEARCH("HONORARIOS",UPPER(G385))),702010,IF(ISNUMBER(SEARCH("ADMINISTRACION",UPPER(G385))),702010,IF(ISNUMBER(SEARCH("GERENCIAMIENTO",UPPER(G385))),702010,IF(ISNUMBER(SEARCH("ALQUILER",UPPER(G385))),702010,IF(ISNUMBER(SEARCH("AUDITORIA",UPPER(G385))),702010,IF(ISNUMBER(SEARCH("PRESTACIONAL",UPPER(G385))),702010,702010))))))))))))</f>
        <v/>
      </c>
      <c r="I385" s="122" t="n"/>
      <c r="J385" s="122" t="n"/>
      <c r="K385" s="123">
        <f>IF(N(I385)&gt;0,ROUND(N(I385)*IVA_general,2),0)</f>
        <v/>
      </c>
      <c r="L385" s="122" t="n">
        <v>0</v>
      </c>
      <c r="M385" s="122" t="n"/>
      <c r="N385" s="123">
        <f>IF(SUM(I385:M385)=0,"",SUM(I385:M385))</f>
        <v/>
      </c>
      <c r="O385" s="124">
        <f>IF(A385="","",TEXT(A385,"yyyy-mm"))</f>
        <v/>
      </c>
      <c r="P385" s="121">
        <f>IF(A385="","",YEAR(A385))</f>
        <v/>
      </c>
      <c r="Q385" s="121">
        <f>IF(A385="","",MONTH(A385))</f>
        <v/>
      </c>
      <c r="R385" s="116" t="n"/>
      <c r="S385" s="116" t="n"/>
      <c r="T385" s="120" t="n"/>
      <c r="U385" s="122" t="n">
        <v>0</v>
      </c>
      <c r="V385" s="123">
        <f>IF(B385="","",N385-U385)</f>
        <v/>
      </c>
      <c r="W385" s="116" t="n"/>
      <c r="X385" s="125">
        <f>IF(B385="","",IF(LEFT(B385,2)="NC",-1,1))</f>
        <v/>
      </c>
      <c r="Y385" s="123">
        <f>IF(B385="",0,N(I385)*X385)</f>
        <v/>
      </c>
      <c r="Z385" s="123">
        <f>IF(B385="",0,N(J385)*X385)</f>
        <v/>
      </c>
      <c r="AA385" s="123">
        <f>IF(B385="",0,N(K385)*X385)</f>
        <v/>
      </c>
      <c r="AB385" s="123">
        <f>IF(B385="",0,N(L385)*X385)</f>
        <v/>
      </c>
      <c r="AC385" s="123">
        <f>IF(B385="",0,N(N385)*X385)</f>
        <v/>
      </c>
    </row>
    <row r="386" ht="15" customHeight="1" s="83">
      <c r="A386" s="120" t="n"/>
      <c r="B386" s="116" t="n"/>
      <c r="C386" s="116" t="n"/>
      <c r="D386" s="116" t="n"/>
      <c r="E386" s="116" t="n"/>
      <c r="F386" s="116" t="n"/>
      <c r="G386" s="116" t="n"/>
      <c r="H386" s="121">
        <f>IF(G386="","",IF(ISNUMBER(SEARCH("CAPITA",UPPER(G386))),651110,IF(ISNUMBER(SEARCH("REFUERZO",UPPER(G386))),651110,IF(ISNUMBER(SEARCH("VACUNACION",UPPER(G386))),651110,IF(ISNUMBER(SEARCH("ENFERMERIA",UPPER(G386))),651110,IF(ISNUMBER(SEARCH("APORTES",UPPER(G386))),651110,IF(ISNUMBER(SEARCH("HONORARIOS",UPPER(G386))),702010,IF(ISNUMBER(SEARCH("ADMINISTRACION",UPPER(G386))),702010,IF(ISNUMBER(SEARCH("GERENCIAMIENTO",UPPER(G386))),702010,IF(ISNUMBER(SEARCH("ALQUILER",UPPER(G386))),702010,IF(ISNUMBER(SEARCH("AUDITORIA",UPPER(G386))),702010,IF(ISNUMBER(SEARCH("PRESTACIONAL",UPPER(G386))),702010,702010))))))))))))</f>
        <v/>
      </c>
      <c r="I386" s="122" t="n"/>
      <c r="J386" s="122" t="n"/>
      <c r="K386" s="123">
        <f>IF(N(I386)&gt;0,ROUND(N(I386)*IVA_general,2),0)</f>
        <v/>
      </c>
      <c r="L386" s="122" t="n">
        <v>0</v>
      </c>
      <c r="M386" s="122" t="n"/>
      <c r="N386" s="123">
        <f>IF(SUM(I386:M386)=0,"",SUM(I386:M386))</f>
        <v/>
      </c>
      <c r="O386" s="124">
        <f>IF(A386="","",TEXT(A386,"yyyy-mm"))</f>
        <v/>
      </c>
      <c r="P386" s="121">
        <f>IF(A386="","",YEAR(A386))</f>
        <v/>
      </c>
      <c r="Q386" s="121">
        <f>IF(A386="","",MONTH(A386))</f>
        <v/>
      </c>
      <c r="R386" s="116" t="n"/>
      <c r="S386" s="116" t="n"/>
      <c r="T386" s="120" t="n"/>
      <c r="U386" s="122" t="n">
        <v>0</v>
      </c>
      <c r="V386" s="123">
        <f>IF(B386="","",N386-U386)</f>
        <v/>
      </c>
      <c r="W386" s="116" t="n"/>
      <c r="X386" s="125">
        <f>IF(B386="","",IF(LEFT(B386,2)="NC",-1,1))</f>
        <v/>
      </c>
      <c r="Y386" s="123">
        <f>IF(B386="",0,N(I386)*X386)</f>
        <v/>
      </c>
      <c r="Z386" s="123">
        <f>IF(B386="",0,N(J386)*X386)</f>
        <v/>
      </c>
      <c r="AA386" s="123">
        <f>IF(B386="",0,N(K386)*X386)</f>
        <v/>
      </c>
      <c r="AB386" s="123">
        <f>IF(B386="",0,N(L386)*X386)</f>
        <v/>
      </c>
      <c r="AC386" s="123">
        <f>IF(B386="",0,N(N386)*X386)</f>
        <v/>
      </c>
    </row>
    <row r="387" ht="15" customHeight="1" s="83">
      <c r="A387" s="120" t="n"/>
      <c r="B387" s="116" t="n"/>
      <c r="C387" s="116" t="n"/>
      <c r="D387" s="116" t="n"/>
      <c r="E387" s="116" t="n"/>
      <c r="F387" s="116" t="n"/>
      <c r="G387" s="116" t="n"/>
      <c r="H387" s="121">
        <f>IF(G387="","",IF(ISNUMBER(SEARCH("CAPITA",UPPER(G387))),651110,IF(ISNUMBER(SEARCH("REFUERZO",UPPER(G387))),651110,IF(ISNUMBER(SEARCH("VACUNACION",UPPER(G387))),651110,IF(ISNUMBER(SEARCH("ENFERMERIA",UPPER(G387))),651110,IF(ISNUMBER(SEARCH("APORTES",UPPER(G387))),651110,IF(ISNUMBER(SEARCH("HONORARIOS",UPPER(G387))),702010,IF(ISNUMBER(SEARCH("ADMINISTRACION",UPPER(G387))),702010,IF(ISNUMBER(SEARCH("GERENCIAMIENTO",UPPER(G387))),702010,IF(ISNUMBER(SEARCH("ALQUILER",UPPER(G387))),702010,IF(ISNUMBER(SEARCH("AUDITORIA",UPPER(G387))),702010,IF(ISNUMBER(SEARCH("PRESTACIONAL",UPPER(G387))),702010,702010))))))))))))</f>
        <v/>
      </c>
      <c r="I387" s="122" t="n"/>
      <c r="J387" s="122" t="n"/>
      <c r="K387" s="123">
        <f>IF(N(I387)&gt;0,ROUND(N(I387)*IVA_general,2),0)</f>
        <v/>
      </c>
      <c r="L387" s="122" t="n">
        <v>0</v>
      </c>
      <c r="M387" s="122" t="n"/>
      <c r="N387" s="123">
        <f>IF(SUM(I387:M387)=0,"",SUM(I387:M387))</f>
        <v/>
      </c>
      <c r="O387" s="124">
        <f>IF(A387="","",TEXT(A387,"yyyy-mm"))</f>
        <v/>
      </c>
      <c r="P387" s="121">
        <f>IF(A387="","",YEAR(A387))</f>
        <v/>
      </c>
      <c r="Q387" s="121">
        <f>IF(A387="","",MONTH(A387))</f>
        <v/>
      </c>
      <c r="R387" s="116" t="n"/>
      <c r="S387" s="116" t="n"/>
      <c r="T387" s="120" t="n"/>
      <c r="U387" s="122" t="n">
        <v>0</v>
      </c>
      <c r="V387" s="123">
        <f>IF(B387="","",N387-U387)</f>
        <v/>
      </c>
      <c r="W387" s="116" t="n"/>
      <c r="X387" s="125">
        <f>IF(B387="","",IF(LEFT(B387,2)="NC",-1,1))</f>
        <v/>
      </c>
      <c r="Y387" s="123">
        <f>IF(B387="",0,N(I387)*X387)</f>
        <v/>
      </c>
      <c r="Z387" s="123">
        <f>IF(B387="",0,N(J387)*X387)</f>
        <v/>
      </c>
      <c r="AA387" s="123">
        <f>IF(B387="",0,N(K387)*X387)</f>
        <v/>
      </c>
      <c r="AB387" s="123">
        <f>IF(B387="",0,N(L387)*X387)</f>
        <v/>
      </c>
      <c r="AC387" s="123">
        <f>IF(B387="",0,N(N387)*X387)</f>
        <v/>
      </c>
    </row>
    <row r="388" ht="15" customHeight="1" s="83">
      <c r="A388" s="120" t="n"/>
      <c r="B388" s="116" t="n"/>
      <c r="C388" s="116" t="n"/>
      <c r="D388" s="116" t="n"/>
      <c r="E388" s="116" t="n"/>
      <c r="F388" s="116" t="n"/>
      <c r="G388" s="116" t="n"/>
      <c r="H388" s="121">
        <f>IF(G388="","",IF(ISNUMBER(SEARCH("CAPITA",UPPER(G388))),651110,IF(ISNUMBER(SEARCH("REFUERZO",UPPER(G388))),651110,IF(ISNUMBER(SEARCH("VACUNACION",UPPER(G388))),651110,IF(ISNUMBER(SEARCH("ENFERMERIA",UPPER(G388))),651110,IF(ISNUMBER(SEARCH("APORTES",UPPER(G388))),651110,IF(ISNUMBER(SEARCH("HONORARIOS",UPPER(G388))),702010,IF(ISNUMBER(SEARCH("ADMINISTRACION",UPPER(G388))),702010,IF(ISNUMBER(SEARCH("GERENCIAMIENTO",UPPER(G388))),702010,IF(ISNUMBER(SEARCH("ALQUILER",UPPER(G388))),702010,IF(ISNUMBER(SEARCH("AUDITORIA",UPPER(G388))),702010,IF(ISNUMBER(SEARCH("PRESTACIONAL",UPPER(G388))),702010,702010))))))))))))</f>
        <v/>
      </c>
      <c r="I388" s="122" t="n"/>
      <c r="J388" s="122" t="n"/>
      <c r="K388" s="123">
        <f>IF(N(I388)&gt;0,ROUND(N(I388)*IVA_general,2),0)</f>
        <v/>
      </c>
      <c r="L388" s="122" t="n">
        <v>0</v>
      </c>
      <c r="M388" s="122" t="n"/>
      <c r="N388" s="123">
        <f>IF(SUM(I388:M388)=0,"",SUM(I388:M388))</f>
        <v/>
      </c>
      <c r="O388" s="124">
        <f>IF(A388="","",TEXT(A388,"yyyy-mm"))</f>
        <v/>
      </c>
      <c r="P388" s="121">
        <f>IF(A388="","",YEAR(A388))</f>
        <v/>
      </c>
      <c r="Q388" s="121">
        <f>IF(A388="","",MONTH(A388))</f>
        <v/>
      </c>
      <c r="R388" s="116" t="n"/>
      <c r="S388" s="116" t="n"/>
      <c r="T388" s="120" t="n"/>
      <c r="U388" s="122" t="n">
        <v>0</v>
      </c>
      <c r="V388" s="123">
        <f>IF(B388="","",N388-U388)</f>
        <v/>
      </c>
      <c r="W388" s="116" t="n"/>
      <c r="X388" s="125">
        <f>IF(B388="","",IF(LEFT(B388,2)="NC",-1,1))</f>
        <v/>
      </c>
      <c r="Y388" s="123">
        <f>IF(B388="",0,N(I388)*X388)</f>
        <v/>
      </c>
      <c r="Z388" s="123">
        <f>IF(B388="",0,N(J388)*X388)</f>
        <v/>
      </c>
      <c r="AA388" s="123">
        <f>IF(B388="",0,N(K388)*X388)</f>
        <v/>
      </c>
      <c r="AB388" s="123">
        <f>IF(B388="",0,N(L388)*X388)</f>
        <v/>
      </c>
      <c r="AC388" s="123">
        <f>IF(B388="",0,N(N388)*X388)</f>
        <v/>
      </c>
    </row>
    <row r="389" ht="15" customHeight="1" s="83">
      <c r="A389" s="120" t="n"/>
      <c r="B389" s="116" t="n"/>
      <c r="C389" s="116" t="n"/>
      <c r="D389" s="116" t="n"/>
      <c r="E389" s="116" t="n"/>
      <c r="F389" s="116" t="n"/>
      <c r="G389" s="116" t="n"/>
      <c r="H389" s="121">
        <f>IF(G389="","",IF(ISNUMBER(SEARCH("CAPITA",UPPER(G389))),651110,IF(ISNUMBER(SEARCH("REFUERZO",UPPER(G389))),651110,IF(ISNUMBER(SEARCH("VACUNACION",UPPER(G389))),651110,IF(ISNUMBER(SEARCH("ENFERMERIA",UPPER(G389))),651110,IF(ISNUMBER(SEARCH("APORTES",UPPER(G389))),651110,IF(ISNUMBER(SEARCH("HONORARIOS",UPPER(G389))),702010,IF(ISNUMBER(SEARCH("ADMINISTRACION",UPPER(G389))),702010,IF(ISNUMBER(SEARCH("GERENCIAMIENTO",UPPER(G389))),702010,IF(ISNUMBER(SEARCH("ALQUILER",UPPER(G389))),702010,IF(ISNUMBER(SEARCH("AUDITORIA",UPPER(G389))),702010,IF(ISNUMBER(SEARCH("PRESTACIONAL",UPPER(G389))),702010,702010))))))))))))</f>
        <v/>
      </c>
      <c r="I389" s="122" t="n"/>
      <c r="J389" s="122" t="n"/>
      <c r="K389" s="123">
        <f>IF(N(I389)&gt;0,ROUND(N(I389)*IVA_general,2),0)</f>
        <v/>
      </c>
      <c r="L389" s="122" t="n">
        <v>0</v>
      </c>
      <c r="M389" s="122" t="n"/>
      <c r="N389" s="123">
        <f>IF(SUM(I389:M389)=0,"",SUM(I389:M389))</f>
        <v/>
      </c>
      <c r="O389" s="124">
        <f>IF(A389="","",TEXT(A389,"yyyy-mm"))</f>
        <v/>
      </c>
      <c r="P389" s="121">
        <f>IF(A389="","",YEAR(A389))</f>
        <v/>
      </c>
      <c r="Q389" s="121">
        <f>IF(A389="","",MONTH(A389))</f>
        <v/>
      </c>
      <c r="R389" s="116" t="n"/>
      <c r="S389" s="116" t="n"/>
      <c r="T389" s="120" t="n"/>
      <c r="U389" s="122" t="n">
        <v>0</v>
      </c>
      <c r="V389" s="123">
        <f>IF(B389="","",N389-U389)</f>
        <v/>
      </c>
      <c r="W389" s="116" t="n"/>
      <c r="X389" s="125">
        <f>IF(B389="","",IF(LEFT(B389,2)="NC",-1,1))</f>
        <v/>
      </c>
      <c r="Y389" s="123">
        <f>IF(B389="",0,N(I389)*X389)</f>
        <v/>
      </c>
      <c r="Z389" s="123">
        <f>IF(B389="",0,N(J389)*X389)</f>
        <v/>
      </c>
      <c r="AA389" s="123">
        <f>IF(B389="",0,N(K389)*X389)</f>
        <v/>
      </c>
      <c r="AB389" s="123">
        <f>IF(B389="",0,N(L389)*X389)</f>
        <v/>
      </c>
      <c r="AC389" s="123">
        <f>IF(B389="",0,N(N389)*X389)</f>
        <v/>
      </c>
    </row>
    <row r="390" ht="15" customHeight="1" s="83">
      <c r="A390" s="120" t="n"/>
      <c r="B390" s="116" t="n"/>
      <c r="C390" s="116" t="n"/>
      <c r="D390" s="116" t="n"/>
      <c r="E390" s="116" t="n"/>
      <c r="F390" s="116" t="n"/>
      <c r="G390" s="116" t="n"/>
      <c r="H390" s="121">
        <f>IF(G390="","",IF(ISNUMBER(SEARCH("CAPITA",UPPER(G390))),651110,IF(ISNUMBER(SEARCH("REFUERZO",UPPER(G390))),651110,IF(ISNUMBER(SEARCH("VACUNACION",UPPER(G390))),651110,IF(ISNUMBER(SEARCH("ENFERMERIA",UPPER(G390))),651110,IF(ISNUMBER(SEARCH("APORTES",UPPER(G390))),651110,IF(ISNUMBER(SEARCH("HONORARIOS",UPPER(G390))),702010,IF(ISNUMBER(SEARCH("ADMINISTRACION",UPPER(G390))),702010,IF(ISNUMBER(SEARCH("GERENCIAMIENTO",UPPER(G390))),702010,IF(ISNUMBER(SEARCH("ALQUILER",UPPER(G390))),702010,IF(ISNUMBER(SEARCH("AUDITORIA",UPPER(G390))),702010,IF(ISNUMBER(SEARCH("PRESTACIONAL",UPPER(G390))),702010,702010))))))))))))</f>
        <v/>
      </c>
      <c r="I390" s="122" t="n"/>
      <c r="J390" s="122" t="n"/>
      <c r="K390" s="123">
        <f>IF(N(I390)&gt;0,ROUND(N(I390)*IVA_general,2),0)</f>
        <v/>
      </c>
      <c r="L390" s="122" t="n">
        <v>0</v>
      </c>
      <c r="M390" s="122" t="n"/>
      <c r="N390" s="123">
        <f>IF(SUM(I390:M390)=0,"",SUM(I390:M390))</f>
        <v/>
      </c>
      <c r="O390" s="124">
        <f>IF(A390="","",TEXT(A390,"yyyy-mm"))</f>
        <v/>
      </c>
      <c r="P390" s="121">
        <f>IF(A390="","",YEAR(A390))</f>
        <v/>
      </c>
      <c r="Q390" s="121">
        <f>IF(A390="","",MONTH(A390))</f>
        <v/>
      </c>
      <c r="R390" s="116" t="n"/>
      <c r="S390" s="116" t="n"/>
      <c r="T390" s="120" t="n"/>
      <c r="U390" s="122" t="n">
        <v>0</v>
      </c>
      <c r="V390" s="123">
        <f>IF(B390="","",N390-U390)</f>
        <v/>
      </c>
      <c r="W390" s="116" t="n"/>
      <c r="X390" s="125">
        <f>IF(B390="","",IF(LEFT(B390,2)="NC",-1,1))</f>
        <v/>
      </c>
      <c r="Y390" s="123">
        <f>IF(B390="",0,N(I390)*X390)</f>
        <v/>
      </c>
      <c r="Z390" s="123">
        <f>IF(B390="",0,N(J390)*X390)</f>
        <v/>
      </c>
      <c r="AA390" s="123">
        <f>IF(B390="",0,N(K390)*X390)</f>
        <v/>
      </c>
      <c r="AB390" s="123">
        <f>IF(B390="",0,N(L390)*X390)</f>
        <v/>
      </c>
      <c r="AC390" s="123">
        <f>IF(B390="",0,N(N390)*X390)</f>
        <v/>
      </c>
    </row>
    <row r="391" ht="15" customHeight="1" s="83">
      <c r="A391" s="120" t="n"/>
      <c r="B391" s="116" t="n"/>
      <c r="C391" s="116" t="n"/>
      <c r="D391" s="116" t="n"/>
      <c r="E391" s="116" t="n"/>
      <c r="F391" s="116" t="n"/>
      <c r="G391" s="116" t="n"/>
      <c r="H391" s="121">
        <f>IF(G391="","",IF(ISNUMBER(SEARCH("CAPITA",UPPER(G391))),651110,IF(ISNUMBER(SEARCH("REFUERZO",UPPER(G391))),651110,IF(ISNUMBER(SEARCH("VACUNACION",UPPER(G391))),651110,IF(ISNUMBER(SEARCH("ENFERMERIA",UPPER(G391))),651110,IF(ISNUMBER(SEARCH("APORTES",UPPER(G391))),651110,IF(ISNUMBER(SEARCH("HONORARIOS",UPPER(G391))),702010,IF(ISNUMBER(SEARCH("ADMINISTRACION",UPPER(G391))),702010,IF(ISNUMBER(SEARCH("GERENCIAMIENTO",UPPER(G391))),702010,IF(ISNUMBER(SEARCH("ALQUILER",UPPER(G391))),702010,IF(ISNUMBER(SEARCH("AUDITORIA",UPPER(G391))),702010,IF(ISNUMBER(SEARCH("PRESTACIONAL",UPPER(G391))),702010,702010))))))))))))</f>
        <v/>
      </c>
      <c r="I391" s="122" t="n"/>
      <c r="J391" s="122" t="n"/>
      <c r="K391" s="123">
        <f>IF(N(I391)&gt;0,ROUND(N(I391)*IVA_general,2),0)</f>
        <v/>
      </c>
      <c r="L391" s="122" t="n">
        <v>0</v>
      </c>
      <c r="M391" s="122" t="n"/>
      <c r="N391" s="123">
        <f>IF(SUM(I391:M391)=0,"",SUM(I391:M391))</f>
        <v/>
      </c>
      <c r="O391" s="124">
        <f>IF(A391="","",TEXT(A391,"yyyy-mm"))</f>
        <v/>
      </c>
      <c r="P391" s="121">
        <f>IF(A391="","",YEAR(A391))</f>
        <v/>
      </c>
      <c r="Q391" s="121">
        <f>IF(A391="","",MONTH(A391))</f>
        <v/>
      </c>
      <c r="R391" s="116" t="n"/>
      <c r="S391" s="116" t="n"/>
      <c r="T391" s="120" t="n"/>
      <c r="U391" s="122" t="n">
        <v>0</v>
      </c>
      <c r="V391" s="123">
        <f>IF(B391="","",N391-U391)</f>
        <v/>
      </c>
      <c r="W391" s="116" t="n"/>
      <c r="X391" s="125">
        <f>IF(B391="","",IF(LEFT(B391,2)="NC",-1,1))</f>
        <v/>
      </c>
      <c r="Y391" s="123">
        <f>IF(B391="",0,N(I391)*X391)</f>
        <v/>
      </c>
      <c r="Z391" s="123">
        <f>IF(B391="",0,N(J391)*X391)</f>
        <v/>
      </c>
      <c r="AA391" s="123">
        <f>IF(B391="",0,N(K391)*X391)</f>
        <v/>
      </c>
      <c r="AB391" s="123">
        <f>IF(B391="",0,N(L391)*X391)</f>
        <v/>
      </c>
      <c r="AC391" s="123">
        <f>IF(B391="",0,N(N391)*X391)</f>
        <v/>
      </c>
    </row>
    <row r="392" ht="15" customHeight="1" s="83">
      <c r="A392" s="120" t="n"/>
      <c r="B392" s="116" t="n"/>
      <c r="C392" s="116" t="n"/>
      <c r="D392" s="116" t="n"/>
      <c r="E392" s="116" t="n"/>
      <c r="F392" s="116" t="n"/>
      <c r="G392" s="116" t="n"/>
      <c r="H392" s="121">
        <f>IF(G392="","",IF(ISNUMBER(SEARCH("CAPITA",UPPER(G392))),651110,IF(ISNUMBER(SEARCH("REFUERZO",UPPER(G392))),651110,IF(ISNUMBER(SEARCH("VACUNACION",UPPER(G392))),651110,IF(ISNUMBER(SEARCH("ENFERMERIA",UPPER(G392))),651110,IF(ISNUMBER(SEARCH("APORTES",UPPER(G392))),651110,IF(ISNUMBER(SEARCH("HONORARIOS",UPPER(G392))),702010,IF(ISNUMBER(SEARCH("ADMINISTRACION",UPPER(G392))),702010,IF(ISNUMBER(SEARCH("GERENCIAMIENTO",UPPER(G392))),702010,IF(ISNUMBER(SEARCH("ALQUILER",UPPER(G392))),702010,IF(ISNUMBER(SEARCH("AUDITORIA",UPPER(G392))),702010,IF(ISNUMBER(SEARCH("PRESTACIONAL",UPPER(G392))),702010,702010))))))))))))</f>
        <v/>
      </c>
      <c r="I392" s="122" t="n"/>
      <c r="J392" s="122" t="n"/>
      <c r="K392" s="123">
        <f>IF(N(I392)&gt;0,ROUND(N(I392)*IVA_general,2),0)</f>
        <v/>
      </c>
      <c r="L392" s="122" t="n">
        <v>0</v>
      </c>
      <c r="M392" s="122" t="n"/>
      <c r="N392" s="123">
        <f>IF(SUM(I392:M392)=0,"",SUM(I392:M392))</f>
        <v/>
      </c>
      <c r="O392" s="124">
        <f>IF(A392="","",TEXT(A392,"yyyy-mm"))</f>
        <v/>
      </c>
      <c r="P392" s="121">
        <f>IF(A392="","",YEAR(A392))</f>
        <v/>
      </c>
      <c r="Q392" s="121">
        <f>IF(A392="","",MONTH(A392))</f>
        <v/>
      </c>
      <c r="R392" s="116" t="n"/>
      <c r="S392" s="116" t="n"/>
      <c r="T392" s="120" t="n"/>
      <c r="U392" s="122" t="n">
        <v>0</v>
      </c>
      <c r="V392" s="123">
        <f>IF(B392="","",N392-U392)</f>
        <v/>
      </c>
      <c r="W392" s="116" t="n"/>
      <c r="X392" s="125">
        <f>IF(B392="","",IF(LEFT(B392,2)="NC",-1,1))</f>
        <v/>
      </c>
      <c r="Y392" s="123">
        <f>IF(B392="",0,N(I392)*X392)</f>
        <v/>
      </c>
      <c r="Z392" s="123">
        <f>IF(B392="",0,N(J392)*X392)</f>
        <v/>
      </c>
      <c r="AA392" s="123">
        <f>IF(B392="",0,N(K392)*X392)</f>
        <v/>
      </c>
      <c r="AB392" s="123">
        <f>IF(B392="",0,N(L392)*X392)</f>
        <v/>
      </c>
      <c r="AC392" s="123">
        <f>IF(B392="",0,N(N392)*X392)</f>
        <v/>
      </c>
    </row>
    <row r="393" ht="15" customHeight="1" s="83">
      <c r="A393" s="120" t="n"/>
      <c r="B393" s="116" t="n"/>
      <c r="C393" s="116" t="n"/>
      <c r="D393" s="116" t="n"/>
      <c r="E393" s="116" t="n"/>
      <c r="F393" s="116" t="n"/>
      <c r="G393" s="116" t="n"/>
      <c r="H393" s="121">
        <f>IF(G393="","",IF(ISNUMBER(SEARCH("CAPITA",UPPER(G393))),651110,IF(ISNUMBER(SEARCH("REFUERZO",UPPER(G393))),651110,IF(ISNUMBER(SEARCH("VACUNACION",UPPER(G393))),651110,IF(ISNUMBER(SEARCH("ENFERMERIA",UPPER(G393))),651110,IF(ISNUMBER(SEARCH("APORTES",UPPER(G393))),651110,IF(ISNUMBER(SEARCH("HONORARIOS",UPPER(G393))),702010,IF(ISNUMBER(SEARCH("ADMINISTRACION",UPPER(G393))),702010,IF(ISNUMBER(SEARCH("GERENCIAMIENTO",UPPER(G393))),702010,IF(ISNUMBER(SEARCH("ALQUILER",UPPER(G393))),702010,IF(ISNUMBER(SEARCH("AUDITORIA",UPPER(G393))),702010,IF(ISNUMBER(SEARCH("PRESTACIONAL",UPPER(G393))),702010,702010))))))))))))</f>
        <v/>
      </c>
      <c r="I393" s="122" t="n"/>
      <c r="J393" s="122" t="n"/>
      <c r="K393" s="123">
        <f>IF(N(I393)&gt;0,ROUND(N(I393)*IVA_general,2),0)</f>
        <v/>
      </c>
      <c r="L393" s="122" t="n">
        <v>0</v>
      </c>
      <c r="M393" s="122" t="n"/>
      <c r="N393" s="123">
        <f>IF(SUM(I393:M393)=0,"",SUM(I393:M393))</f>
        <v/>
      </c>
      <c r="O393" s="124">
        <f>IF(A393="","",TEXT(A393,"yyyy-mm"))</f>
        <v/>
      </c>
      <c r="P393" s="121">
        <f>IF(A393="","",YEAR(A393))</f>
        <v/>
      </c>
      <c r="Q393" s="121">
        <f>IF(A393="","",MONTH(A393))</f>
        <v/>
      </c>
      <c r="R393" s="116" t="n"/>
      <c r="S393" s="116" t="n"/>
      <c r="T393" s="120" t="n"/>
      <c r="U393" s="122" t="n">
        <v>0</v>
      </c>
      <c r="V393" s="123">
        <f>IF(B393="","",N393-U393)</f>
        <v/>
      </c>
      <c r="W393" s="116" t="n"/>
      <c r="X393" s="125">
        <f>IF(B393="","",IF(LEFT(B393,2)="NC",-1,1))</f>
        <v/>
      </c>
      <c r="Y393" s="123">
        <f>IF(B393="",0,N(I393)*X393)</f>
        <v/>
      </c>
      <c r="Z393" s="123">
        <f>IF(B393="",0,N(J393)*X393)</f>
        <v/>
      </c>
      <c r="AA393" s="123">
        <f>IF(B393="",0,N(K393)*X393)</f>
        <v/>
      </c>
      <c r="AB393" s="123">
        <f>IF(B393="",0,N(L393)*X393)</f>
        <v/>
      </c>
      <c r="AC393" s="123">
        <f>IF(B393="",0,N(N393)*X393)</f>
        <v/>
      </c>
    </row>
    <row r="394" ht="15" customHeight="1" s="83">
      <c r="A394" s="120" t="n"/>
      <c r="B394" s="116" t="n"/>
      <c r="C394" s="116" t="n"/>
      <c r="D394" s="116" t="n"/>
      <c r="E394" s="116" t="n"/>
      <c r="F394" s="116" t="n"/>
      <c r="G394" s="116" t="n"/>
      <c r="H394" s="121">
        <f>IF(G394="","",IF(ISNUMBER(SEARCH("CAPITA",UPPER(G394))),651110,IF(ISNUMBER(SEARCH("REFUERZO",UPPER(G394))),651110,IF(ISNUMBER(SEARCH("VACUNACION",UPPER(G394))),651110,IF(ISNUMBER(SEARCH("ENFERMERIA",UPPER(G394))),651110,IF(ISNUMBER(SEARCH("APORTES",UPPER(G394))),651110,IF(ISNUMBER(SEARCH("HONORARIOS",UPPER(G394))),702010,IF(ISNUMBER(SEARCH("ADMINISTRACION",UPPER(G394))),702010,IF(ISNUMBER(SEARCH("GERENCIAMIENTO",UPPER(G394))),702010,IF(ISNUMBER(SEARCH("ALQUILER",UPPER(G394))),702010,IF(ISNUMBER(SEARCH("AUDITORIA",UPPER(G394))),702010,IF(ISNUMBER(SEARCH("PRESTACIONAL",UPPER(G394))),702010,702010))))))))))))</f>
        <v/>
      </c>
      <c r="I394" s="122" t="n"/>
      <c r="J394" s="122" t="n"/>
      <c r="K394" s="123">
        <f>IF(N(I394)&gt;0,ROUND(N(I394)*IVA_general,2),0)</f>
        <v/>
      </c>
      <c r="L394" s="122" t="n">
        <v>0</v>
      </c>
      <c r="M394" s="122" t="n"/>
      <c r="N394" s="123">
        <f>IF(SUM(I394:M394)=0,"",SUM(I394:M394))</f>
        <v/>
      </c>
      <c r="O394" s="124">
        <f>IF(A394="","",TEXT(A394,"yyyy-mm"))</f>
        <v/>
      </c>
      <c r="P394" s="121">
        <f>IF(A394="","",YEAR(A394))</f>
        <v/>
      </c>
      <c r="Q394" s="121">
        <f>IF(A394="","",MONTH(A394))</f>
        <v/>
      </c>
      <c r="R394" s="116" t="n"/>
      <c r="S394" s="116" t="n"/>
      <c r="T394" s="120" t="n"/>
      <c r="U394" s="122" t="n">
        <v>0</v>
      </c>
      <c r="V394" s="123">
        <f>IF(B394="","",N394-U394)</f>
        <v/>
      </c>
      <c r="W394" s="116" t="n"/>
      <c r="X394" s="125">
        <f>IF(B394="","",IF(LEFT(B394,2)="NC",-1,1))</f>
        <v/>
      </c>
      <c r="Y394" s="123">
        <f>IF(B394="",0,N(I394)*X394)</f>
        <v/>
      </c>
      <c r="Z394" s="123">
        <f>IF(B394="",0,N(J394)*X394)</f>
        <v/>
      </c>
      <c r="AA394" s="123">
        <f>IF(B394="",0,N(K394)*X394)</f>
        <v/>
      </c>
      <c r="AB394" s="123">
        <f>IF(B394="",0,N(L394)*X394)</f>
        <v/>
      </c>
      <c r="AC394" s="123">
        <f>IF(B394="",0,N(N394)*X394)</f>
        <v/>
      </c>
    </row>
    <row r="395" ht="15" customHeight="1" s="83">
      <c r="A395" s="120" t="n"/>
      <c r="B395" s="116" t="n"/>
      <c r="C395" s="116" t="n"/>
      <c r="D395" s="116" t="n"/>
      <c r="E395" s="116" t="n"/>
      <c r="F395" s="116" t="n"/>
      <c r="G395" s="116" t="n"/>
      <c r="H395" s="121">
        <f>IF(G395="","",IF(ISNUMBER(SEARCH("CAPITA",UPPER(G395))),651110,IF(ISNUMBER(SEARCH("REFUERZO",UPPER(G395))),651110,IF(ISNUMBER(SEARCH("VACUNACION",UPPER(G395))),651110,IF(ISNUMBER(SEARCH("ENFERMERIA",UPPER(G395))),651110,IF(ISNUMBER(SEARCH("APORTES",UPPER(G395))),651110,IF(ISNUMBER(SEARCH("HONORARIOS",UPPER(G395))),702010,IF(ISNUMBER(SEARCH("ADMINISTRACION",UPPER(G395))),702010,IF(ISNUMBER(SEARCH("GERENCIAMIENTO",UPPER(G395))),702010,IF(ISNUMBER(SEARCH("ALQUILER",UPPER(G395))),702010,IF(ISNUMBER(SEARCH("AUDITORIA",UPPER(G395))),702010,IF(ISNUMBER(SEARCH("PRESTACIONAL",UPPER(G395))),702010,702010))))))))))))</f>
        <v/>
      </c>
      <c r="I395" s="122" t="n"/>
      <c r="J395" s="122" t="n"/>
      <c r="K395" s="123">
        <f>IF(N(I395)&gt;0,ROUND(N(I395)*IVA_general,2),0)</f>
        <v/>
      </c>
      <c r="L395" s="122" t="n">
        <v>0</v>
      </c>
      <c r="M395" s="122" t="n"/>
      <c r="N395" s="123">
        <f>IF(SUM(I395:M395)=0,"",SUM(I395:M395))</f>
        <v/>
      </c>
      <c r="O395" s="124">
        <f>IF(A395="","",TEXT(A395,"yyyy-mm"))</f>
        <v/>
      </c>
      <c r="P395" s="121">
        <f>IF(A395="","",YEAR(A395))</f>
        <v/>
      </c>
      <c r="Q395" s="121">
        <f>IF(A395="","",MONTH(A395))</f>
        <v/>
      </c>
      <c r="R395" s="116" t="n"/>
      <c r="S395" s="116" t="n"/>
      <c r="T395" s="120" t="n"/>
      <c r="U395" s="122" t="n">
        <v>0</v>
      </c>
      <c r="V395" s="123">
        <f>IF(B395="","",N395-U395)</f>
        <v/>
      </c>
      <c r="W395" s="116" t="n"/>
      <c r="X395" s="125">
        <f>IF(B395="","",IF(LEFT(B395,2)="NC",-1,1))</f>
        <v/>
      </c>
      <c r="Y395" s="123">
        <f>IF(B395="",0,N(I395)*X395)</f>
        <v/>
      </c>
      <c r="Z395" s="123">
        <f>IF(B395="",0,N(J395)*X395)</f>
        <v/>
      </c>
      <c r="AA395" s="123">
        <f>IF(B395="",0,N(K395)*X395)</f>
        <v/>
      </c>
      <c r="AB395" s="123">
        <f>IF(B395="",0,N(L395)*X395)</f>
        <v/>
      </c>
      <c r="AC395" s="123">
        <f>IF(B395="",0,N(N395)*X395)</f>
        <v/>
      </c>
    </row>
    <row r="396" ht="15" customHeight="1" s="83">
      <c r="A396" s="120" t="n"/>
      <c r="B396" s="116" t="n"/>
      <c r="C396" s="116" t="n"/>
      <c r="D396" s="116" t="n"/>
      <c r="E396" s="116" t="n"/>
      <c r="F396" s="116" t="n"/>
      <c r="G396" s="116" t="n"/>
      <c r="H396" s="121">
        <f>IF(G396="","",IF(ISNUMBER(SEARCH("CAPITA",UPPER(G396))),651110,IF(ISNUMBER(SEARCH("REFUERZO",UPPER(G396))),651110,IF(ISNUMBER(SEARCH("VACUNACION",UPPER(G396))),651110,IF(ISNUMBER(SEARCH("ENFERMERIA",UPPER(G396))),651110,IF(ISNUMBER(SEARCH("APORTES",UPPER(G396))),651110,IF(ISNUMBER(SEARCH("HONORARIOS",UPPER(G396))),702010,IF(ISNUMBER(SEARCH("ADMINISTRACION",UPPER(G396))),702010,IF(ISNUMBER(SEARCH("GERENCIAMIENTO",UPPER(G396))),702010,IF(ISNUMBER(SEARCH("ALQUILER",UPPER(G396))),702010,IF(ISNUMBER(SEARCH("AUDITORIA",UPPER(G396))),702010,IF(ISNUMBER(SEARCH("PRESTACIONAL",UPPER(G396))),702010,702010))))))))))))</f>
        <v/>
      </c>
      <c r="I396" s="122" t="n"/>
      <c r="J396" s="122" t="n"/>
      <c r="K396" s="123">
        <f>IF(N(I396)&gt;0,ROUND(N(I396)*IVA_general,2),0)</f>
        <v/>
      </c>
      <c r="L396" s="122" t="n">
        <v>0</v>
      </c>
      <c r="M396" s="122" t="n"/>
      <c r="N396" s="123">
        <f>IF(SUM(I396:M396)=0,"",SUM(I396:M396))</f>
        <v/>
      </c>
      <c r="O396" s="124">
        <f>IF(A396="","",TEXT(A396,"yyyy-mm"))</f>
        <v/>
      </c>
      <c r="P396" s="121">
        <f>IF(A396="","",YEAR(A396))</f>
        <v/>
      </c>
      <c r="Q396" s="121">
        <f>IF(A396="","",MONTH(A396))</f>
        <v/>
      </c>
      <c r="R396" s="116" t="n"/>
      <c r="S396" s="116" t="n"/>
      <c r="T396" s="120" t="n"/>
      <c r="U396" s="122" t="n">
        <v>0</v>
      </c>
      <c r="V396" s="123">
        <f>IF(B396="","",N396-U396)</f>
        <v/>
      </c>
      <c r="W396" s="116" t="n"/>
      <c r="X396" s="125">
        <f>IF(B396="","",IF(LEFT(B396,2)="NC",-1,1))</f>
        <v/>
      </c>
      <c r="Y396" s="123">
        <f>IF(B396="",0,N(I396)*X396)</f>
        <v/>
      </c>
      <c r="Z396" s="123">
        <f>IF(B396="",0,N(J396)*X396)</f>
        <v/>
      </c>
      <c r="AA396" s="123">
        <f>IF(B396="",0,N(K396)*X396)</f>
        <v/>
      </c>
      <c r="AB396" s="123">
        <f>IF(B396="",0,N(L396)*X396)</f>
        <v/>
      </c>
      <c r="AC396" s="123">
        <f>IF(B396="",0,N(N396)*X396)</f>
        <v/>
      </c>
    </row>
    <row r="397" ht="15" customHeight="1" s="83">
      <c r="A397" s="120" t="n"/>
      <c r="B397" s="116" t="n"/>
      <c r="C397" s="116" t="n"/>
      <c r="D397" s="116" t="n"/>
      <c r="E397" s="116" t="n"/>
      <c r="F397" s="116" t="n"/>
      <c r="G397" s="116" t="n"/>
      <c r="H397" s="121">
        <f>IF(G397="","",IF(ISNUMBER(SEARCH("CAPITA",UPPER(G397))),651110,IF(ISNUMBER(SEARCH("REFUERZO",UPPER(G397))),651110,IF(ISNUMBER(SEARCH("VACUNACION",UPPER(G397))),651110,IF(ISNUMBER(SEARCH("ENFERMERIA",UPPER(G397))),651110,IF(ISNUMBER(SEARCH("APORTES",UPPER(G397))),651110,IF(ISNUMBER(SEARCH("HONORARIOS",UPPER(G397))),702010,IF(ISNUMBER(SEARCH("ADMINISTRACION",UPPER(G397))),702010,IF(ISNUMBER(SEARCH("GERENCIAMIENTO",UPPER(G397))),702010,IF(ISNUMBER(SEARCH("ALQUILER",UPPER(G397))),702010,IF(ISNUMBER(SEARCH("AUDITORIA",UPPER(G397))),702010,IF(ISNUMBER(SEARCH("PRESTACIONAL",UPPER(G397))),702010,702010))))))))))))</f>
        <v/>
      </c>
      <c r="I397" s="122" t="n"/>
      <c r="J397" s="122" t="n"/>
      <c r="K397" s="123">
        <f>IF(N(I397)&gt;0,ROUND(N(I397)*IVA_general,2),0)</f>
        <v/>
      </c>
      <c r="L397" s="122" t="n">
        <v>0</v>
      </c>
      <c r="M397" s="122" t="n"/>
      <c r="N397" s="123">
        <f>IF(SUM(I397:M397)=0,"",SUM(I397:M397))</f>
        <v/>
      </c>
      <c r="O397" s="124">
        <f>IF(A397="","",TEXT(A397,"yyyy-mm"))</f>
        <v/>
      </c>
      <c r="P397" s="121">
        <f>IF(A397="","",YEAR(A397))</f>
        <v/>
      </c>
      <c r="Q397" s="121">
        <f>IF(A397="","",MONTH(A397))</f>
        <v/>
      </c>
      <c r="R397" s="116" t="n"/>
      <c r="S397" s="116" t="n"/>
      <c r="T397" s="120" t="n"/>
      <c r="U397" s="122" t="n">
        <v>0</v>
      </c>
      <c r="V397" s="123">
        <f>IF(B397="","",N397-U397)</f>
        <v/>
      </c>
      <c r="W397" s="116" t="n"/>
      <c r="X397" s="125">
        <f>IF(B397="","",IF(LEFT(B397,2)="NC",-1,1))</f>
        <v/>
      </c>
      <c r="Y397" s="123">
        <f>IF(B397="",0,N(I397)*X397)</f>
        <v/>
      </c>
      <c r="Z397" s="123">
        <f>IF(B397="",0,N(J397)*X397)</f>
        <v/>
      </c>
      <c r="AA397" s="123">
        <f>IF(B397="",0,N(K397)*X397)</f>
        <v/>
      </c>
      <c r="AB397" s="123">
        <f>IF(B397="",0,N(L397)*X397)</f>
        <v/>
      </c>
      <c r="AC397" s="123">
        <f>IF(B397="",0,N(N397)*X397)</f>
        <v/>
      </c>
    </row>
    <row r="398" ht="15" customHeight="1" s="83">
      <c r="A398" s="120" t="n"/>
      <c r="B398" s="116" t="n"/>
      <c r="C398" s="116" t="n"/>
      <c r="D398" s="116" t="n"/>
      <c r="E398" s="116" t="n"/>
      <c r="F398" s="116" t="n"/>
      <c r="G398" s="116" t="n"/>
      <c r="H398" s="121">
        <f>IF(G398="","",IF(ISNUMBER(SEARCH("CAPITA",UPPER(G398))),651110,IF(ISNUMBER(SEARCH("REFUERZO",UPPER(G398))),651110,IF(ISNUMBER(SEARCH("VACUNACION",UPPER(G398))),651110,IF(ISNUMBER(SEARCH("ENFERMERIA",UPPER(G398))),651110,IF(ISNUMBER(SEARCH("APORTES",UPPER(G398))),651110,IF(ISNUMBER(SEARCH("HONORARIOS",UPPER(G398))),702010,IF(ISNUMBER(SEARCH("ADMINISTRACION",UPPER(G398))),702010,IF(ISNUMBER(SEARCH("GERENCIAMIENTO",UPPER(G398))),702010,IF(ISNUMBER(SEARCH("ALQUILER",UPPER(G398))),702010,IF(ISNUMBER(SEARCH("AUDITORIA",UPPER(G398))),702010,IF(ISNUMBER(SEARCH("PRESTACIONAL",UPPER(G398))),702010,702010))))))))))))</f>
        <v/>
      </c>
      <c r="I398" s="122" t="n"/>
      <c r="J398" s="122" t="n"/>
      <c r="K398" s="123">
        <f>IF(N(I398)&gt;0,ROUND(N(I398)*IVA_general,2),0)</f>
        <v/>
      </c>
      <c r="L398" s="122" t="n">
        <v>0</v>
      </c>
      <c r="M398" s="122" t="n"/>
      <c r="N398" s="123">
        <f>IF(SUM(I398:M398)=0,"",SUM(I398:M398))</f>
        <v/>
      </c>
      <c r="O398" s="124">
        <f>IF(A398="","",TEXT(A398,"yyyy-mm"))</f>
        <v/>
      </c>
      <c r="P398" s="121">
        <f>IF(A398="","",YEAR(A398))</f>
        <v/>
      </c>
      <c r="Q398" s="121">
        <f>IF(A398="","",MONTH(A398))</f>
        <v/>
      </c>
      <c r="R398" s="116" t="n"/>
      <c r="S398" s="116" t="n"/>
      <c r="T398" s="120" t="n"/>
      <c r="U398" s="122" t="n">
        <v>0</v>
      </c>
      <c r="V398" s="123">
        <f>IF(B398="","",N398-U398)</f>
        <v/>
      </c>
      <c r="W398" s="116" t="n"/>
      <c r="X398" s="125">
        <f>IF(B398="","",IF(LEFT(B398,2)="NC",-1,1))</f>
        <v/>
      </c>
      <c r="Y398" s="123">
        <f>IF(B398="",0,N(I398)*X398)</f>
        <v/>
      </c>
      <c r="Z398" s="123">
        <f>IF(B398="",0,N(J398)*X398)</f>
        <v/>
      </c>
      <c r="AA398" s="123">
        <f>IF(B398="",0,N(K398)*X398)</f>
        <v/>
      </c>
      <c r="AB398" s="123">
        <f>IF(B398="",0,N(L398)*X398)</f>
        <v/>
      </c>
      <c r="AC398" s="123">
        <f>IF(B398="",0,N(N398)*X398)</f>
        <v/>
      </c>
    </row>
    <row r="399" ht="15" customHeight="1" s="83">
      <c r="A399" s="120" t="n"/>
      <c r="B399" s="116" t="n"/>
      <c r="C399" s="116" t="n"/>
      <c r="D399" s="116" t="n"/>
      <c r="E399" s="116" t="n"/>
      <c r="F399" s="116" t="n"/>
      <c r="G399" s="116" t="n"/>
      <c r="H399" s="121">
        <f>IF(G399="","",IF(ISNUMBER(SEARCH("CAPITA",UPPER(G399))),651110,IF(ISNUMBER(SEARCH("REFUERZO",UPPER(G399))),651110,IF(ISNUMBER(SEARCH("VACUNACION",UPPER(G399))),651110,IF(ISNUMBER(SEARCH("ENFERMERIA",UPPER(G399))),651110,IF(ISNUMBER(SEARCH("APORTES",UPPER(G399))),651110,IF(ISNUMBER(SEARCH("HONORARIOS",UPPER(G399))),702010,IF(ISNUMBER(SEARCH("ADMINISTRACION",UPPER(G399))),702010,IF(ISNUMBER(SEARCH("GERENCIAMIENTO",UPPER(G399))),702010,IF(ISNUMBER(SEARCH("ALQUILER",UPPER(G399))),702010,IF(ISNUMBER(SEARCH("AUDITORIA",UPPER(G399))),702010,IF(ISNUMBER(SEARCH("PRESTACIONAL",UPPER(G399))),702010,702010))))))))))))</f>
        <v/>
      </c>
      <c r="I399" s="122" t="n"/>
      <c r="J399" s="122" t="n"/>
      <c r="K399" s="123">
        <f>IF(N(I399)&gt;0,ROUND(N(I399)*IVA_general,2),0)</f>
        <v/>
      </c>
      <c r="L399" s="122" t="n">
        <v>0</v>
      </c>
      <c r="M399" s="122" t="n"/>
      <c r="N399" s="123">
        <f>IF(SUM(I399:M399)=0,"",SUM(I399:M399))</f>
        <v/>
      </c>
      <c r="O399" s="124">
        <f>IF(A399="","",TEXT(A399,"yyyy-mm"))</f>
        <v/>
      </c>
      <c r="P399" s="121">
        <f>IF(A399="","",YEAR(A399))</f>
        <v/>
      </c>
      <c r="Q399" s="121">
        <f>IF(A399="","",MONTH(A399))</f>
        <v/>
      </c>
      <c r="R399" s="116" t="n"/>
      <c r="S399" s="116" t="n"/>
      <c r="T399" s="120" t="n"/>
      <c r="U399" s="122" t="n">
        <v>0</v>
      </c>
      <c r="V399" s="123">
        <f>IF(B399="","",N399-U399)</f>
        <v/>
      </c>
      <c r="W399" s="116" t="n"/>
      <c r="X399" s="125">
        <f>IF(B399="","",IF(LEFT(B399,2)="NC",-1,1))</f>
        <v/>
      </c>
      <c r="Y399" s="123">
        <f>IF(B399="",0,N(I399)*X399)</f>
        <v/>
      </c>
      <c r="Z399" s="123">
        <f>IF(B399="",0,N(J399)*X399)</f>
        <v/>
      </c>
      <c r="AA399" s="123">
        <f>IF(B399="",0,N(K399)*X399)</f>
        <v/>
      </c>
      <c r="AB399" s="123">
        <f>IF(B399="",0,N(L399)*X399)</f>
        <v/>
      </c>
      <c r="AC399" s="123">
        <f>IF(B399="",0,N(N399)*X399)</f>
        <v/>
      </c>
    </row>
    <row r="400" ht="15" customHeight="1" s="83">
      <c r="A400" s="120" t="n"/>
      <c r="B400" s="116" t="n"/>
      <c r="C400" s="116" t="n"/>
      <c r="D400" s="116" t="n"/>
      <c r="E400" s="116" t="n"/>
      <c r="F400" s="116" t="n"/>
      <c r="G400" s="116" t="n"/>
      <c r="H400" s="121">
        <f>IF(G400="","",IF(ISNUMBER(SEARCH("CAPITA",UPPER(G400))),651110,IF(ISNUMBER(SEARCH("REFUERZO",UPPER(G400))),651110,IF(ISNUMBER(SEARCH("VACUNACION",UPPER(G400))),651110,IF(ISNUMBER(SEARCH("ENFERMERIA",UPPER(G400))),651110,IF(ISNUMBER(SEARCH("APORTES",UPPER(G400))),651110,IF(ISNUMBER(SEARCH("HONORARIOS",UPPER(G400))),702010,IF(ISNUMBER(SEARCH("ADMINISTRACION",UPPER(G400))),702010,IF(ISNUMBER(SEARCH("GERENCIAMIENTO",UPPER(G400))),702010,IF(ISNUMBER(SEARCH("ALQUILER",UPPER(G400))),702010,IF(ISNUMBER(SEARCH("AUDITORIA",UPPER(G400))),702010,IF(ISNUMBER(SEARCH("PRESTACIONAL",UPPER(G400))),702010,702010))))))))))))</f>
        <v/>
      </c>
      <c r="I400" s="122" t="n"/>
      <c r="J400" s="122" t="n"/>
      <c r="K400" s="123">
        <f>IF(N(I400)&gt;0,ROUND(N(I400)*IVA_general,2),0)</f>
        <v/>
      </c>
      <c r="L400" s="122" t="n">
        <v>0</v>
      </c>
      <c r="M400" s="122" t="n"/>
      <c r="N400" s="123">
        <f>IF(SUM(I400:M400)=0,"",SUM(I400:M400))</f>
        <v/>
      </c>
      <c r="O400" s="124">
        <f>IF(A400="","",TEXT(A400,"yyyy-mm"))</f>
        <v/>
      </c>
      <c r="P400" s="121">
        <f>IF(A400="","",YEAR(A400))</f>
        <v/>
      </c>
      <c r="Q400" s="121">
        <f>IF(A400="","",MONTH(A400))</f>
        <v/>
      </c>
      <c r="R400" s="116" t="n"/>
      <c r="S400" s="116" t="n"/>
      <c r="T400" s="120" t="n"/>
      <c r="U400" s="122" t="n">
        <v>0</v>
      </c>
      <c r="V400" s="123">
        <f>IF(B400="","",N400-U400)</f>
        <v/>
      </c>
      <c r="W400" s="116" t="n"/>
      <c r="X400" s="125">
        <f>IF(B400="","",IF(LEFT(B400,2)="NC",-1,1))</f>
        <v/>
      </c>
      <c r="Y400" s="123">
        <f>IF(B400="",0,N(I400)*X400)</f>
        <v/>
      </c>
      <c r="Z400" s="123">
        <f>IF(B400="",0,N(J400)*X400)</f>
        <v/>
      </c>
      <c r="AA400" s="123">
        <f>IF(B400="",0,N(K400)*X400)</f>
        <v/>
      </c>
      <c r="AB400" s="123">
        <f>IF(B400="",0,N(L400)*X400)</f>
        <v/>
      </c>
      <c r="AC400" s="123">
        <f>IF(B400="",0,N(N400)*X400)</f>
        <v/>
      </c>
    </row>
    <row r="401" ht="15" customHeight="1" s="83">
      <c r="A401" s="120" t="n"/>
      <c r="B401" s="116" t="n"/>
      <c r="C401" s="116" t="n"/>
      <c r="D401" s="116" t="n"/>
      <c r="E401" s="116" t="n"/>
      <c r="F401" s="116" t="n"/>
      <c r="G401" s="116" t="n"/>
      <c r="H401" s="121">
        <f>IF(G401="","",IF(ISNUMBER(SEARCH("CAPITA",UPPER(G401))),651110,IF(ISNUMBER(SEARCH("REFUERZO",UPPER(G401))),651110,IF(ISNUMBER(SEARCH("VACUNACION",UPPER(G401))),651110,IF(ISNUMBER(SEARCH("ENFERMERIA",UPPER(G401))),651110,IF(ISNUMBER(SEARCH("APORTES",UPPER(G401))),651110,IF(ISNUMBER(SEARCH("HONORARIOS",UPPER(G401))),702010,IF(ISNUMBER(SEARCH("ADMINISTRACION",UPPER(G401))),702010,IF(ISNUMBER(SEARCH("GERENCIAMIENTO",UPPER(G401))),702010,IF(ISNUMBER(SEARCH("ALQUILER",UPPER(G401))),702010,IF(ISNUMBER(SEARCH("AUDITORIA",UPPER(G401))),702010,IF(ISNUMBER(SEARCH("PRESTACIONAL",UPPER(G401))),702010,702010))))))))))))</f>
        <v/>
      </c>
      <c r="I401" s="122" t="n"/>
      <c r="J401" s="122" t="n"/>
      <c r="K401" s="123">
        <f>IF(N(I401)&gt;0,ROUND(N(I401)*IVA_general,2),0)</f>
        <v/>
      </c>
      <c r="L401" s="122" t="n">
        <v>0</v>
      </c>
      <c r="M401" s="122" t="n"/>
      <c r="N401" s="123">
        <f>IF(SUM(I401:M401)=0,"",SUM(I401:M401))</f>
        <v/>
      </c>
      <c r="O401" s="124">
        <f>IF(A401="","",TEXT(A401,"yyyy-mm"))</f>
        <v/>
      </c>
      <c r="P401" s="121">
        <f>IF(A401="","",YEAR(A401))</f>
        <v/>
      </c>
      <c r="Q401" s="121">
        <f>IF(A401="","",MONTH(A401))</f>
        <v/>
      </c>
      <c r="R401" s="116" t="n"/>
      <c r="S401" s="116" t="n"/>
      <c r="T401" s="120" t="n"/>
      <c r="U401" s="122" t="n">
        <v>0</v>
      </c>
      <c r="V401" s="123">
        <f>IF(B401="","",N401-U401)</f>
        <v/>
      </c>
      <c r="W401" s="116" t="n"/>
      <c r="X401" s="125">
        <f>IF(B401="","",IF(LEFT(B401,2)="NC",-1,1))</f>
        <v/>
      </c>
      <c r="Y401" s="123">
        <f>IF(B401="",0,N(I401)*X401)</f>
        <v/>
      </c>
      <c r="Z401" s="123">
        <f>IF(B401="",0,N(J401)*X401)</f>
        <v/>
      </c>
      <c r="AA401" s="123">
        <f>IF(B401="",0,N(K401)*X401)</f>
        <v/>
      </c>
      <c r="AB401" s="123">
        <f>IF(B401="",0,N(L401)*X401)</f>
        <v/>
      </c>
      <c r="AC401" s="123">
        <f>IF(B401="",0,N(N401)*X401)</f>
        <v/>
      </c>
    </row>
    <row r="402" ht="15" customHeight="1" s="83">
      <c r="A402" s="120" t="n"/>
      <c r="B402" s="116" t="n"/>
      <c r="C402" s="116" t="n"/>
      <c r="D402" s="116" t="n"/>
      <c r="E402" s="116" t="n"/>
      <c r="F402" s="116" t="n"/>
      <c r="G402" s="116" t="n"/>
      <c r="H402" s="121">
        <f>IF(G402="","",IF(ISNUMBER(SEARCH("CAPITA",UPPER(G402))),651110,IF(ISNUMBER(SEARCH("REFUERZO",UPPER(G402))),651110,IF(ISNUMBER(SEARCH("VACUNACION",UPPER(G402))),651110,IF(ISNUMBER(SEARCH("ENFERMERIA",UPPER(G402))),651110,IF(ISNUMBER(SEARCH("APORTES",UPPER(G402))),651110,IF(ISNUMBER(SEARCH("HONORARIOS",UPPER(G402))),702010,IF(ISNUMBER(SEARCH("ADMINISTRACION",UPPER(G402))),702010,IF(ISNUMBER(SEARCH("GERENCIAMIENTO",UPPER(G402))),702010,IF(ISNUMBER(SEARCH("ALQUILER",UPPER(G402))),702010,IF(ISNUMBER(SEARCH("AUDITORIA",UPPER(G402))),702010,IF(ISNUMBER(SEARCH("PRESTACIONAL",UPPER(G402))),702010,702010))))))))))))</f>
        <v/>
      </c>
      <c r="I402" s="122" t="n"/>
      <c r="J402" s="122" t="n"/>
      <c r="K402" s="123">
        <f>IF(N(I402)&gt;0,ROUND(N(I402)*IVA_general,2),0)</f>
        <v/>
      </c>
      <c r="L402" s="122" t="n">
        <v>0</v>
      </c>
      <c r="M402" s="122" t="n"/>
      <c r="N402" s="123">
        <f>IF(SUM(I402:M402)=0,"",SUM(I402:M402))</f>
        <v/>
      </c>
      <c r="O402" s="124">
        <f>IF(A402="","",TEXT(A402,"yyyy-mm"))</f>
        <v/>
      </c>
      <c r="P402" s="121">
        <f>IF(A402="","",YEAR(A402))</f>
        <v/>
      </c>
      <c r="Q402" s="121">
        <f>IF(A402="","",MONTH(A402))</f>
        <v/>
      </c>
      <c r="R402" s="116" t="n"/>
      <c r="S402" s="116" t="n"/>
      <c r="T402" s="120" t="n"/>
      <c r="U402" s="122" t="n">
        <v>0</v>
      </c>
      <c r="V402" s="123">
        <f>IF(B402="","",N402-U402)</f>
        <v/>
      </c>
      <c r="W402" s="116" t="n"/>
      <c r="X402" s="125">
        <f>IF(B402="","",IF(LEFT(B402,2)="NC",-1,1))</f>
        <v/>
      </c>
      <c r="Y402" s="123">
        <f>IF(B402="",0,N(I402)*X402)</f>
        <v/>
      </c>
      <c r="Z402" s="123">
        <f>IF(B402="",0,N(J402)*X402)</f>
        <v/>
      </c>
      <c r="AA402" s="123">
        <f>IF(B402="",0,N(K402)*X402)</f>
        <v/>
      </c>
      <c r="AB402" s="123">
        <f>IF(B402="",0,N(L402)*X402)</f>
        <v/>
      </c>
      <c r="AC402" s="123">
        <f>IF(B402="",0,N(N402)*X402)</f>
        <v/>
      </c>
    </row>
    <row r="403" ht="15" customHeight="1" s="83">
      <c r="A403" s="120" t="n"/>
      <c r="B403" s="116" t="n"/>
      <c r="C403" s="116" t="n"/>
      <c r="D403" s="116" t="n"/>
      <c r="E403" s="116" t="n"/>
      <c r="F403" s="116" t="n"/>
      <c r="G403" s="116" t="n"/>
      <c r="H403" s="121">
        <f>IF(G403="","",IF(ISNUMBER(SEARCH("CAPITA",UPPER(G403))),651110,IF(ISNUMBER(SEARCH("REFUERZO",UPPER(G403))),651110,IF(ISNUMBER(SEARCH("VACUNACION",UPPER(G403))),651110,IF(ISNUMBER(SEARCH("ENFERMERIA",UPPER(G403))),651110,IF(ISNUMBER(SEARCH("APORTES",UPPER(G403))),651110,IF(ISNUMBER(SEARCH("HONORARIOS",UPPER(G403))),702010,IF(ISNUMBER(SEARCH("ADMINISTRACION",UPPER(G403))),702010,IF(ISNUMBER(SEARCH("GERENCIAMIENTO",UPPER(G403))),702010,IF(ISNUMBER(SEARCH("ALQUILER",UPPER(G403))),702010,IF(ISNUMBER(SEARCH("AUDITORIA",UPPER(G403))),702010,IF(ISNUMBER(SEARCH("PRESTACIONAL",UPPER(G403))),702010,702010))))))))))))</f>
        <v/>
      </c>
      <c r="I403" s="122" t="n"/>
      <c r="J403" s="122" t="n"/>
      <c r="K403" s="123">
        <f>IF(N(I403)&gt;0,ROUND(N(I403)*IVA_general,2),0)</f>
        <v/>
      </c>
      <c r="L403" s="122" t="n">
        <v>0</v>
      </c>
      <c r="M403" s="122" t="n"/>
      <c r="N403" s="123">
        <f>IF(SUM(I403:M403)=0,"",SUM(I403:M403))</f>
        <v/>
      </c>
      <c r="O403" s="124">
        <f>IF(A403="","",TEXT(A403,"yyyy-mm"))</f>
        <v/>
      </c>
      <c r="P403" s="121">
        <f>IF(A403="","",YEAR(A403))</f>
        <v/>
      </c>
      <c r="Q403" s="121">
        <f>IF(A403="","",MONTH(A403))</f>
        <v/>
      </c>
      <c r="R403" s="116" t="n"/>
      <c r="S403" s="116" t="n"/>
      <c r="T403" s="120" t="n"/>
      <c r="U403" s="122" t="n">
        <v>0</v>
      </c>
      <c r="V403" s="123">
        <f>IF(B403="","",N403-U403)</f>
        <v/>
      </c>
      <c r="W403" s="116" t="n"/>
      <c r="X403" s="125">
        <f>IF(B403="","",IF(LEFT(B403,2)="NC",-1,1))</f>
        <v/>
      </c>
      <c r="Y403" s="123">
        <f>IF(B403="",0,N(I403)*X403)</f>
        <v/>
      </c>
      <c r="Z403" s="123">
        <f>IF(B403="",0,N(J403)*X403)</f>
        <v/>
      </c>
      <c r="AA403" s="123">
        <f>IF(B403="",0,N(K403)*X403)</f>
        <v/>
      </c>
      <c r="AB403" s="123">
        <f>IF(B403="",0,N(L403)*X403)</f>
        <v/>
      </c>
      <c r="AC403" s="123">
        <f>IF(B403="",0,N(N403)*X403)</f>
        <v/>
      </c>
    </row>
    <row r="404" ht="15" customHeight="1" s="83">
      <c r="A404" s="120" t="n"/>
      <c r="B404" s="116" t="n"/>
      <c r="C404" s="116" t="n"/>
      <c r="D404" s="116" t="n"/>
      <c r="E404" s="116" t="n"/>
      <c r="F404" s="116" t="n"/>
      <c r="G404" s="116" t="n"/>
      <c r="H404" s="121">
        <f>IF(G404="","",IF(ISNUMBER(SEARCH("CAPITA",UPPER(G404))),651110,IF(ISNUMBER(SEARCH("REFUERZO",UPPER(G404))),651110,IF(ISNUMBER(SEARCH("VACUNACION",UPPER(G404))),651110,IF(ISNUMBER(SEARCH("ENFERMERIA",UPPER(G404))),651110,IF(ISNUMBER(SEARCH("APORTES",UPPER(G404))),651110,IF(ISNUMBER(SEARCH("HONORARIOS",UPPER(G404))),702010,IF(ISNUMBER(SEARCH("ADMINISTRACION",UPPER(G404))),702010,IF(ISNUMBER(SEARCH("GERENCIAMIENTO",UPPER(G404))),702010,IF(ISNUMBER(SEARCH("ALQUILER",UPPER(G404))),702010,IF(ISNUMBER(SEARCH("AUDITORIA",UPPER(G404))),702010,IF(ISNUMBER(SEARCH("PRESTACIONAL",UPPER(G404))),702010,702010))))))))))))</f>
        <v/>
      </c>
      <c r="I404" s="122" t="n"/>
      <c r="J404" s="122" t="n"/>
      <c r="K404" s="123">
        <f>IF(N(I404)&gt;0,ROUND(N(I404)*IVA_general,2),0)</f>
        <v/>
      </c>
      <c r="L404" s="122" t="n">
        <v>0</v>
      </c>
      <c r="M404" s="122" t="n"/>
      <c r="N404" s="123">
        <f>IF(SUM(I404:M404)=0,"",SUM(I404:M404))</f>
        <v/>
      </c>
      <c r="O404" s="124">
        <f>IF(A404="","",TEXT(A404,"yyyy-mm"))</f>
        <v/>
      </c>
      <c r="P404" s="121">
        <f>IF(A404="","",YEAR(A404))</f>
        <v/>
      </c>
      <c r="Q404" s="121">
        <f>IF(A404="","",MONTH(A404))</f>
        <v/>
      </c>
      <c r="R404" s="116" t="n"/>
      <c r="S404" s="116" t="n"/>
      <c r="T404" s="120" t="n"/>
      <c r="U404" s="122" t="n">
        <v>0</v>
      </c>
      <c r="V404" s="123">
        <f>IF(B404="","",N404-U404)</f>
        <v/>
      </c>
      <c r="W404" s="116" t="n"/>
      <c r="X404" s="125">
        <f>IF(B404="","",IF(LEFT(B404,2)="NC",-1,1))</f>
        <v/>
      </c>
      <c r="Y404" s="123">
        <f>IF(B404="",0,N(I404)*X404)</f>
        <v/>
      </c>
      <c r="Z404" s="123">
        <f>IF(B404="",0,N(J404)*X404)</f>
        <v/>
      </c>
      <c r="AA404" s="123">
        <f>IF(B404="",0,N(K404)*X404)</f>
        <v/>
      </c>
      <c r="AB404" s="123">
        <f>IF(B404="",0,N(L404)*X404)</f>
        <v/>
      </c>
      <c r="AC404" s="123">
        <f>IF(B404="",0,N(N404)*X404)</f>
        <v/>
      </c>
    </row>
    <row r="405" ht="15" customHeight="1" s="83">
      <c r="A405" s="120" t="n"/>
      <c r="B405" s="116" t="n"/>
      <c r="C405" s="116" t="n"/>
      <c r="D405" s="116" t="n"/>
      <c r="E405" s="116" t="n"/>
      <c r="F405" s="116" t="n"/>
      <c r="G405" s="116" t="n"/>
      <c r="H405" s="121">
        <f>IF(G405="","",IF(ISNUMBER(SEARCH("CAPITA",UPPER(G405))),651110,IF(ISNUMBER(SEARCH("REFUERZO",UPPER(G405))),651110,IF(ISNUMBER(SEARCH("VACUNACION",UPPER(G405))),651110,IF(ISNUMBER(SEARCH("ENFERMERIA",UPPER(G405))),651110,IF(ISNUMBER(SEARCH("APORTES",UPPER(G405))),651110,IF(ISNUMBER(SEARCH("HONORARIOS",UPPER(G405))),702010,IF(ISNUMBER(SEARCH("ADMINISTRACION",UPPER(G405))),702010,IF(ISNUMBER(SEARCH("GERENCIAMIENTO",UPPER(G405))),702010,IF(ISNUMBER(SEARCH("ALQUILER",UPPER(G405))),702010,IF(ISNUMBER(SEARCH("AUDITORIA",UPPER(G405))),702010,IF(ISNUMBER(SEARCH("PRESTACIONAL",UPPER(G405))),702010,702010))))))))))))</f>
        <v/>
      </c>
      <c r="I405" s="122" t="n"/>
      <c r="J405" s="122" t="n"/>
      <c r="K405" s="123">
        <f>IF(N(I405)&gt;0,ROUND(N(I405)*IVA_general,2),0)</f>
        <v/>
      </c>
      <c r="L405" s="122" t="n">
        <v>0</v>
      </c>
      <c r="M405" s="122" t="n"/>
      <c r="N405" s="123">
        <f>IF(SUM(I405:M405)=0,"",SUM(I405:M405))</f>
        <v/>
      </c>
      <c r="O405" s="124">
        <f>IF(A405="","",TEXT(A405,"yyyy-mm"))</f>
        <v/>
      </c>
      <c r="P405" s="121">
        <f>IF(A405="","",YEAR(A405))</f>
        <v/>
      </c>
      <c r="Q405" s="121">
        <f>IF(A405="","",MONTH(A405))</f>
        <v/>
      </c>
      <c r="R405" s="116" t="n"/>
      <c r="S405" s="116" t="n"/>
      <c r="T405" s="120" t="n"/>
      <c r="U405" s="122" t="n">
        <v>0</v>
      </c>
      <c r="V405" s="123">
        <f>IF(B405="","",N405-U405)</f>
        <v/>
      </c>
      <c r="W405" s="116" t="n"/>
      <c r="X405" s="125">
        <f>IF(B405="","",IF(LEFT(B405,2)="NC",-1,1))</f>
        <v/>
      </c>
      <c r="Y405" s="123">
        <f>IF(B405="",0,N(I405)*X405)</f>
        <v/>
      </c>
      <c r="Z405" s="123">
        <f>IF(B405="",0,N(J405)*X405)</f>
        <v/>
      </c>
      <c r="AA405" s="123">
        <f>IF(B405="",0,N(K405)*X405)</f>
        <v/>
      </c>
      <c r="AB405" s="123">
        <f>IF(B405="",0,N(L405)*X405)</f>
        <v/>
      </c>
      <c r="AC405" s="123">
        <f>IF(B405="",0,N(N405)*X405)</f>
        <v/>
      </c>
    </row>
    <row r="406" ht="15" customHeight="1" s="83">
      <c r="A406" s="120" t="n"/>
      <c r="B406" s="116" t="n"/>
      <c r="C406" s="116" t="n"/>
      <c r="D406" s="116" t="n"/>
      <c r="E406" s="116" t="n"/>
      <c r="F406" s="116" t="n"/>
      <c r="G406" s="116" t="n"/>
      <c r="H406" s="121">
        <f>IF(G406="","",IF(ISNUMBER(SEARCH("CAPITA",UPPER(G406))),651110,IF(ISNUMBER(SEARCH("REFUERZO",UPPER(G406))),651110,IF(ISNUMBER(SEARCH("VACUNACION",UPPER(G406))),651110,IF(ISNUMBER(SEARCH("ENFERMERIA",UPPER(G406))),651110,IF(ISNUMBER(SEARCH("APORTES",UPPER(G406))),651110,IF(ISNUMBER(SEARCH("HONORARIOS",UPPER(G406))),702010,IF(ISNUMBER(SEARCH("ADMINISTRACION",UPPER(G406))),702010,IF(ISNUMBER(SEARCH("GERENCIAMIENTO",UPPER(G406))),702010,IF(ISNUMBER(SEARCH("ALQUILER",UPPER(G406))),702010,IF(ISNUMBER(SEARCH("AUDITORIA",UPPER(G406))),702010,IF(ISNUMBER(SEARCH("PRESTACIONAL",UPPER(G406))),702010,702010))))))))))))</f>
        <v/>
      </c>
      <c r="I406" s="122" t="n"/>
      <c r="J406" s="122" t="n"/>
      <c r="K406" s="123">
        <f>IF(N(I406)&gt;0,ROUND(N(I406)*IVA_general,2),0)</f>
        <v/>
      </c>
      <c r="L406" s="122" t="n">
        <v>0</v>
      </c>
      <c r="M406" s="122" t="n"/>
      <c r="N406" s="123">
        <f>IF(SUM(I406:M406)=0,"",SUM(I406:M406))</f>
        <v/>
      </c>
      <c r="O406" s="124">
        <f>IF(A406="","",TEXT(A406,"yyyy-mm"))</f>
        <v/>
      </c>
      <c r="P406" s="121">
        <f>IF(A406="","",YEAR(A406))</f>
        <v/>
      </c>
      <c r="Q406" s="121">
        <f>IF(A406="","",MONTH(A406))</f>
        <v/>
      </c>
      <c r="R406" s="116" t="n"/>
      <c r="S406" s="116" t="n"/>
      <c r="T406" s="120" t="n"/>
      <c r="U406" s="122" t="n">
        <v>0</v>
      </c>
      <c r="V406" s="123">
        <f>IF(B406="","",N406-U406)</f>
        <v/>
      </c>
      <c r="W406" s="116" t="n"/>
      <c r="X406" s="125">
        <f>IF(B406="","",IF(LEFT(B406,2)="NC",-1,1))</f>
        <v/>
      </c>
      <c r="Y406" s="123">
        <f>IF(B406="",0,N(I406)*X406)</f>
        <v/>
      </c>
      <c r="Z406" s="123">
        <f>IF(B406="",0,N(J406)*X406)</f>
        <v/>
      </c>
      <c r="AA406" s="123">
        <f>IF(B406="",0,N(K406)*X406)</f>
        <v/>
      </c>
      <c r="AB406" s="123">
        <f>IF(B406="",0,N(L406)*X406)</f>
        <v/>
      </c>
      <c r="AC406" s="123">
        <f>IF(B406="",0,N(N406)*X406)</f>
        <v/>
      </c>
    </row>
    <row r="407" ht="15" customHeight="1" s="83">
      <c r="A407" s="120" t="n"/>
      <c r="B407" s="116" t="n"/>
      <c r="C407" s="116" t="n"/>
      <c r="D407" s="116" t="n"/>
      <c r="E407" s="116" t="n"/>
      <c r="F407" s="116" t="n"/>
      <c r="G407" s="116" t="n"/>
      <c r="H407" s="121">
        <f>IF(G407="","",IF(ISNUMBER(SEARCH("CAPITA",UPPER(G407))),651110,IF(ISNUMBER(SEARCH("REFUERZO",UPPER(G407))),651110,IF(ISNUMBER(SEARCH("VACUNACION",UPPER(G407))),651110,IF(ISNUMBER(SEARCH("ENFERMERIA",UPPER(G407))),651110,IF(ISNUMBER(SEARCH("APORTES",UPPER(G407))),651110,IF(ISNUMBER(SEARCH("HONORARIOS",UPPER(G407))),702010,IF(ISNUMBER(SEARCH("ADMINISTRACION",UPPER(G407))),702010,IF(ISNUMBER(SEARCH("GERENCIAMIENTO",UPPER(G407))),702010,IF(ISNUMBER(SEARCH("ALQUILER",UPPER(G407))),702010,IF(ISNUMBER(SEARCH("AUDITORIA",UPPER(G407))),702010,IF(ISNUMBER(SEARCH("PRESTACIONAL",UPPER(G407))),702010,702010))))))))))))</f>
        <v/>
      </c>
      <c r="I407" s="122" t="n"/>
      <c r="J407" s="122" t="n"/>
      <c r="K407" s="123">
        <f>IF(N(I407)&gt;0,ROUND(N(I407)*IVA_general,2),0)</f>
        <v/>
      </c>
      <c r="L407" s="122" t="n">
        <v>0</v>
      </c>
      <c r="M407" s="122" t="n"/>
      <c r="N407" s="123">
        <f>IF(SUM(I407:M407)=0,"",SUM(I407:M407))</f>
        <v/>
      </c>
      <c r="O407" s="124">
        <f>IF(A407="","",TEXT(A407,"yyyy-mm"))</f>
        <v/>
      </c>
      <c r="P407" s="121">
        <f>IF(A407="","",YEAR(A407))</f>
        <v/>
      </c>
      <c r="Q407" s="121">
        <f>IF(A407="","",MONTH(A407))</f>
        <v/>
      </c>
      <c r="R407" s="116" t="n"/>
      <c r="S407" s="116" t="n"/>
      <c r="T407" s="120" t="n"/>
      <c r="U407" s="122" t="n">
        <v>0</v>
      </c>
      <c r="V407" s="123">
        <f>IF(B407="","",N407-U407)</f>
        <v/>
      </c>
      <c r="W407" s="116" t="n"/>
      <c r="X407" s="125">
        <f>IF(B407="","",IF(LEFT(B407,2)="NC",-1,1))</f>
        <v/>
      </c>
      <c r="Y407" s="123">
        <f>IF(B407="",0,N(I407)*X407)</f>
        <v/>
      </c>
      <c r="Z407" s="123">
        <f>IF(B407="",0,N(J407)*X407)</f>
        <v/>
      </c>
      <c r="AA407" s="123">
        <f>IF(B407="",0,N(K407)*X407)</f>
        <v/>
      </c>
      <c r="AB407" s="123">
        <f>IF(B407="",0,N(L407)*X407)</f>
        <v/>
      </c>
      <c r="AC407" s="123">
        <f>IF(B407="",0,N(N407)*X407)</f>
        <v/>
      </c>
    </row>
    <row r="408" ht="15" customHeight="1" s="83">
      <c r="A408" s="120" t="n"/>
      <c r="B408" s="116" t="n"/>
      <c r="C408" s="116" t="n"/>
      <c r="D408" s="116" t="n"/>
      <c r="E408" s="116" t="n"/>
      <c r="F408" s="116" t="n"/>
      <c r="G408" s="116" t="n"/>
      <c r="H408" s="121">
        <f>IF(G408="","",IF(ISNUMBER(SEARCH("CAPITA",UPPER(G408))),651110,IF(ISNUMBER(SEARCH("REFUERZO",UPPER(G408))),651110,IF(ISNUMBER(SEARCH("VACUNACION",UPPER(G408))),651110,IF(ISNUMBER(SEARCH("ENFERMERIA",UPPER(G408))),651110,IF(ISNUMBER(SEARCH("APORTES",UPPER(G408))),651110,IF(ISNUMBER(SEARCH("HONORARIOS",UPPER(G408))),702010,IF(ISNUMBER(SEARCH("ADMINISTRACION",UPPER(G408))),702010,IF(ISNUMBER(SEARCH("GERENCIAMIENTO",UPPER(G408))),702010,IF(ISNUMBER(SEARCH("ALQUILER",UPPER(G408))),702010,IF(ISNUMBER(SEARCH("AUDITORIA",UPPER(G408))),702010,IF(ISNUMBER(SEARCH("PRESTACIONAL",UPPER(G408))),702010,702010))))))))))))</f>
        <v/>
      </c>
      <c r="I408" s="122" t="n"/>
      <c r="J408" s="122" t="n"/>
      <c r="K408" s="123">
        <f>IF(N(I408)&gt;0,ROUND(N(I408)*IVA_general,2),0)</f>
        <v/>
      </c>
      <c r="L408" s="122" t="n">
        <v>0</v>
      </c>
      <c r="M408" s="122" t="n"/>
      <c r="N408" s="123">
        <f>IF(SUM(I408:M408)=0,"",SUM(I408:M408))</f>
        <v/>
      </c>
      <c r="O408" s="124">
        <f>IF(A408="","",TEXT(A408,"yyyy-mm"))</f>
        <v/>
      </c>
      <c r="P408" s="121">
        <f>IF(A408="","",YEAR(A408))</f>
        <v/>
      </c>
      <c r="Q408" s="121">
        <f>IF(A408="","",MONTH(A408))</f>
        <v/>
      </c>
      <c r="R408" s="116" t="n"/>
      <c r="S408" s="116" t="n"/>
      <c r="T408" s="120" t="n"/>
      <c r="U408" s="122" t="n">
        <v>0</v>
      </c>
      <c r="V408" s="123">
        <f>IF(B408="","",N408-U408)</f>
        <v/>
      </c>
      <c r="W408" s="116" t="n"/>
      <c r="X408" s="125">
        <f>IF(B408="","",IF(LEFT(B408,2)="NC",-1,1))</f>
        <v/>
      </c>
      <c r="Y408" s="123">
        <f>IF(B408="",0,N(I408)*X408)</f>
        <v/>
      </c>
      <c r="Z408" s="123">
        <f>IF(B408="",0,N(J408)*X408)</f>
        <v/>
      </c>
      <c r="AA408" s="123">
        <f>IF(B408="",0,N(K408)*X408)</f>
        <v/>
      </c>
      <c r="AB408" s="123">
        <f>IF(B408="",0,N(L408)*X408)</f>
        <v/>
      </c>
      <c r="AC408" s="123">
        <f>IF(B408="",0,N(N408)*X408)</f>
        <v/>
      </c>
    </row>
    <row r="409" ht="15" customHeight="1" s="83">
      <c r="A409" s="120" t="n"/>
      <c r="B409" s="116" t="n"/>
      <c r="C409" s="116" t="n"/>
      <c r="D409" s="116" t="n"/>
      <c r="E409" s="116" t="n"/>
      <c r="F409" s="116" t="n"/>
      <c r="G409" s="116" t="n"/>
      <c r="H409" s="121">
        <f>IF(G409="","",IF(ISNUMBER(SEARCH("CAPITA",UPPER(G409))),651110,IF(ISNUMBER(SEARCH("REFUERZO",UPPER(G409))),651110,IF(ISNUMBER(SEARCH("VACUNACION",UPPER(G409))),651110,IF(ISNUMBER(SEARCH("ENFERMERIA",UPPER(G409))),651110,IF(ISNUMBER(SEARCH("APORTES",UPPER(G409))),651110,IF(ISNUMBER(SEARCH("HONORARIOS",UPPER(G409))),702010,IF(ISNUMBER(SEARCH("ADMINISTRACION",UPPER(G409))),702010,IF(ISNUMBER(SEARCH("GERENCIAMIENTO",UPPER(G409))),702010,IF(ISNUMBER(SEARCH("ALQUILER",UPPER(G409))),702010,IF(ISNUMBER(SEARCH("AUDITORIA",UPPER(G409))),702010,IF(ISNUMBER(SEARCH("PRESTACIONAL",UPPER(G409))),702010,702010))))))))))))</f>
        <v/>
      </c>
      <c r="I409" s="122" t="n"/>
      <c r="J409" s="122" t="n"/>
      <c r="K409" s="123">
        <f>IF(N(I409)&gt;0,ROUND(N(I409)*IVA_general,2),0)</f>
        <v/>
      </c>
      <c r="L409" s="122" t="n">
        <v>0</v>
      </c>
      <c r="M409" s="122" t="n"/>
      <c r="N409" s="123">
        <f>IF(SUM(I409:M409)=0,"",SUM(I409:M409))</f>
        <v/>
      </c>
      <c r="O409" s="124">
        <f>IF(A409="","",TEXT(A409,"yyyy-mm"))</f>
        <v/>
      </c>
      <c r="P409" s="121">
        <f>IF(A409="","",YEAR(A409))</f>
        <v/>
      </c>
      <c r="Q409" s="121">
        <f>IF(A409="","",MONTH(A409))</f>
        <v/>
      </c>
      <c r="R409" s="116" t="n"/>
      <c r="S409" s="116" t="n"/>
      <c r="T409" s="120" t="n"/>
      <c r="U409" s="122" t="n">
        <v>0</v>
      </c>
      <c r="V409" s="123">
        <f>IF(B409="","",N409-U409)</f>
        <v/>
      </c>
      <c r="W409" s="116" t="n"/>
      <c r="X409" s="125">
        <f>IF(B409="","",IF(LEFT(B409,2)="NC",-1,1))</f>
        <v/>
      </c>
      <c r="Y409" s="123">
        <f>IF(B409="",0,N(I409)*X409)</f>
        <v/>
      </c>
      <c r="Z409" s="123">
        <f>IF(B409="",0,N(J409)*X409)</f>
        <v/>
      </c>
      <c r="AA409" s="123">
        <f>IF(B409="",0,N(K409)*X409)</f>
        <v/>
      </c>
      <c r="AB409" s="123">
        <f>IF(B409="",0,N(L409)*X409)</f>
        <v/>
      </c>
      <c r="AC409" s="123">
        <f>IF(B409="",0,N(N409)*X409)</f>
        <v/>
      </c>
    </row>
    <row r="410" ht="15" customHeight="1" s="83">
      <c r="A410" s="120" t="n"/>
      <c r="B410" s="116" t="n"/>
      <c r="C410" s="116" t="n"/>
      <c r="D410" s="116" t="n"/>
      <c r="E410" s="116" t="n"/>
      <c r="F410" s="116" t="n"/>
      <c r="G410" s="116" t="n"/>
      <c r="H410" s="121">
        <f>IF(G410="","",IF(ISNUMBER(SEARCH("CAPITA",UPPER(G410))),651110,IF(ISNUMBER(SEARCH("REFUERZO",UPPER(G410))),651110,IF(ISNUMBER(SEARCH("VACUNACION",UPPER(G410))),651110,IF(ISNUMBER(SEARCH("ENFERMERIA",UPPER(G410))),651110,IF(ISNUMBER(SEARCH("APORTES",UPPER(G410))),651110,IF(ISNUMBER(SEARCH("HONORARIOS",UPPER(G410))),702010,IF(ISNUMBER(SEARCH("ADMINISTRACION",UPPER(G410))),702010,IF(ISNUMBER(SEARCH("GERENCIAMIENTO",UPPER(G410))),702010,IF(ISNUMBER(SEARCH("ALQUILER",UPPER(G410))),702010,IF(ISNUMBER(SEARCH("AUDITORIA",UPPER(G410))),702010,IF(ISNUMBER(SEARCH("PRESTACIONAL",UPPER(G410))),702010,702010))))))))))))</f>
        <v/>
      </c>
      <c r="I410" s="122" t="n"/>
      <c r="J410" s="122" t="n"/>
      <c r="K410" s="123">
        <f>IF(N(I410)&gt;0,ROUND(N(I410)*IVA_general,2),0)</f>
        <v/>
      </c>
      <c r="L410" s="122" t="n">
        <v>0</v>
      </c>
      <c r="M410" s="122" t="n"/>
      <c r="N410" s="123">
        <f>IF(SUM(I410:M410)=0,"",SUM(I410:M410))</f>
        <v/>
      </c>
      <c r="O410" s="124">
        <f>IF(A410="","",TEXT(A410,"yyyy-mm"))</f>
        <v/>
      </c>
      <c r="P410" s="121">
        <f>IF(A410="","",YEAR(A410))</f>
        <v/>
      </c>
      <c r="Q410" s="121">
        <f>IF(A410="","",MONTH(A410))</f>
        <v/>
      </c>
      <c r="R410" s="116" t="n"/>
      <c r="S410" s="116" t="n"/>
      <c r="T410" s="120" t="n"/>
      <c r="U410" s="122" t="n">
        <v>0</v>
      </c>
      <c r="V410" s="123">
        <f>IF(B410="","",N410-U410)</f>
        <v/>
      </c>
      <c r="W410" s="116" t="n"/>
      <c r="X410" s="125">
        <f>IF(B410="","",IF(LEFT(B410,2)="NC",-1,1))</f>
        <v/>
      </c>
      <c r="Y410" s="123">
        <f>IF(B410="",0,N(I410)*X410)</f>
        <v/>
      </c>
      <c r="Z410" s="123">
        <f>IF(B410="",0,N(J410)*X410)</f>
        <v/>
      </c>
      <c r="AA410" s="123">
        <f>IF(B410="",0,N(K410)*X410)</f>
        <v/>
      </c>
      <c r="AB410" s="123">
        <f>IF(B410="",0,N(L410)*X410)</f>
        <v/>
      </c>
      <c r="AC410" s="123">
        <f>IF(B410="",0,N(N410)*X410)</f>
        <v/>
      </c>
    </row>
    <row r="411" ht="15" customHeight="1" s="83">
      <c r="A411" s="120" t="n"/>
      <c r="B411" s="116" t="n"/>
      <c r="C411" s="116" t="n"/>
      <c r="D411" s="116" t="n"/>
      <c r="E411" s="116" t="n"/>
      <c r="F411" s="116" t="n"/>
      <c r="G411" s="116" t="n"/>
      <c r="H411" s="121">
        <f>IF(G411="","",IF(ISNUMBER(SEARCH("CAPITA",UPPER(G411))),651110,IF(ISNUMBER(SEARCH("REFUERZO",UPPER(G411))),651110,IF(ISNUMBER(SEARCH("VACUNACION",UPPER(G411))),651110,IF(ISNUMBER(SEARCH("ENFERMERIA",UPPER(G411))),651110,IF(ISNUMBER(SEARCH("APORTES",UPPER(G411))),651110,IF(ISNUMBER(SEARCH("HONORARIOS",UPPER(G411))),702010,IF(ISNUMBER(SEARCH("ADMINISTRACION",UPPER(G411))),702010,IF(ISNUMBER(SEARCH("GERENCIAMIENTO",UPPER(G411))),702010,IF(ISNUMBER(SEARCH("ALQUILER",UPPER(G411))),702010,IF(ISNUMBER(SEARCH("AUDITORIA",UPPER(G411))),702010,IF(ISNUMBER(SEARCH("PRESTACIONAL",UPPER(G411))),702010,702010))))))))))))</f>
        <v/>
      </c>
      <c r="I411" s="122" t="n"/>
      <c r="J411" s="122" t="n"/>
      <c r="K411" s="123">
        <f>IF(N(I411)&gt;0,ROUND(N(I411)*IVA_general,2),0)</f>
        <v/>
      </c>
      <c r="L411" s="122" t="n">
        <v>0</v>
      </c>
      <c r="M411" s="122" t="n"/>
      <c r="N411" s="123">
        <f>IF(SUM(I411:M411)=0,"",SUM(I411:M411))</f>
        <v/>
      </c>
      <c r="O411" s="124">
        <f>IF(A411="","",TEXT(A411,"yyyy-mm"))</f>
        <v/>
      </c>
      <c r="P411" s="121">
        <f>IF(A411="","",YEAR(A411))</f>
        <v/>
      </c>
      <c r="Q411" s="121">
        <f>IF(A411="","",MONTH(A411))</f>
        <v/>
      </c>
      <c r="R411" s="116" t="n"/>
      <c r="S411" s="116" t="n"/>
      <c r="T411" s="120" t="n"/>
      <c r="U411" s="122" t="n">
        <v>0</v>
      </c>
      <c r="V411" s="123">
        <f>IF(B411="","",N411-U411)</f>
        <v/>
      </c>
      <c r="W411" s="116" t="n"/>
      <c r="X411" s="125">
        <f>IF(B411="","",IF(LEFT(B411,2)="NC",-1,1))</f>
        <v/>
      </c>
      <c r="Y411" s="123">
        <f>IF(B411="",0,N(I411)*X411)</f>
        <v/>
      </c>
      <c r="Z411" s="123">
        <f>IF(B411="",0,N(J411)*X411)</f>
        <v/>
      </c>
      <c r="AA411" s="123">
        <f>IF(B411="",0,N(K411)*X411)</f>
        <v/>
      </c>
      <c r="AB411" s="123">
        <f>IF(B411="",0,N(L411)*X411)</f>
        <v/>
      </c>
      <c r="AC411" s="123">
        <f>IF(B411="",0,N(N411)*X411)</f>
        <v/>
      </c>
    </row>
    <row r="412" ht="15" customHeight="1" s="83">
      <c r="A412" s="120" t="n"/>
      <c r="B412" s="116" t="n"/>
      <c r="C412" s="116" t="n"/>
      <c r="D412" s="116" t="n"/>
      <c r="E412" s="116" t="n"/>
      <c r="F412" s="116" t="n"/>
      <c r="G412" s="116" t="n"/>
      <c r="H412" s="121">
        <f>IF(G412="","",IF(ISNUMBER(SEARCH("CAPITA",UPPER(G412))),651110,IF(ISNUMBER(SEARCH("REFUERZO",UPPER(G412))),651110,IF(ISNUMBER(SEARCH("VACUNACION",UPPER(G412))),651110,IF(ISNUMBER(SEARCH("ENFERMERIA",UPPER(G412))),651110,IF(ISNUMBER(SEARCH("APORTES",UPPER(G412))),651110,IF(ISNUMBER(SEARCH("HONORARIOS",UPPER(G412))),702010,IF(ISNUMBER(SEARCH("ADMINISTRACION",UPPER(G412))),702010,IF(ISNUMBER(SEARCH("GERENCIAMIENTO",UPPER(G412))),702010,IF(ISNUMBER(SEARCH("ALQUILER",UPPER(G412))),702010,IF(ISNUMBER(SEARCH("AUDITORIA",UPPER(G412))),702010,IF(ISNUMBER(SEARCH("PRESTACIONAL",UPPER(G412))),702010,702010))))))))))))</f>
        <v/>
      </c>
      <c r="I412" s="122" t="n"/>
      <c r="J412" s="122" t="n"/>
      <c r="K412" s="123">
        <f>IF(N(I412)&gt;0,ROUND(N(I412)*IVA_general,2),0)</f>
        <v/>
      </c>
      <c r="L412" s="122" t="n">
        <v>0</v>
      </c>
      <c r="M412" s="122" t="n"/>
      <c r="N412" s="123">
        <f>IF(SUM(I412:M412)=0,"",SUM(I412:M412))</f>
        <v/>
      </c>
      <c r="O412" s="124">
        <f>IF(A412="","",TEXT(A412,"yyyy-mm"))</f>
        <v/>
      </c>
      <c r="P412" s="121">
        <f>IF(A412="","",YEAR(A412))</f>
        <v/>
      </c>
      <c r="Q412" s="121">
        <f>IF(A412="","",MONTH(A412))</f>
        <v/>
      </c>
      <c r="R412" s="116" t="n"/>
      <c r="S412" s="116" t="n"/>
      <c r="T412" s="120" t="n"/>
      <c r="U412" s="122" t="n">
        <v>0</v>
      </c>
      <c r="V412" s="123">
        <f>IF(B412="","",N412-U412)</f>
        <v/>
      </c>
      <c r="W412" s="116" t="n"/>
      <c r="X412" s="125">
        <f>IF(B412="","",IF(LEFT(B412,2)="NC",-1,1))</f>
        <v/>
      </c>
      <c r="Y412" s="123">
        <f>IF(B412="",0,N(I412)*X412)</f>
        <v/>
      </c>
      <c r="Z412" s="123">
        <f>IF(B412="",0,N(J412)*X412)</f>
        <v/>
      </c>
      <c r="AA412" s="123">
        <f>IF(B412="",0,N(K412)*X412)</f>
        <v/>
      </c>
      <c r="AB412" s="123">
        <f>IF(B412="",0,N(L412)*X412)</f>
        <v/>
      </c>
      <c r="AC412" s="123">
        <f>IF(B412="",0,N(N412)*X412)</f>
        <v/>
      </c>
    </row>
    <row r="413" ht="15" customHeight="1" s="83">
      <c r="A413" s="120" t="n"/>
      <c r="B413" s="116" t="n"/>
      <c r="C413" s="116" t="n"/>
      <c r="D413" s="116" t="n"/>
      <c r="E413" s="116" t="n"/>
      <c r="F413" s="116" t="n"/>
      <c r="G413" s="116" t="n"/>
      <c r="H413" s="121">
        <f>IF(G413="","",IF(ISNUMBER(SEARCH("CAPITA",UPPER(G413))),651110,IF(ISNUMBER(SEARCH("REFUERZO",UPPER(G413))),651110,IF(ISNUMBER(SEARCH("VACUNACION",UPPER(G413))),651110,IF(ISNUMBER(SEARCH("ENFERMERIA",UPPER(G413))),651110,IF(ISNUMBER(SEARCH("APORTES",UPPER(G413))),651110,IF(ISNUMBER(SEARCH("HONORARIOS",UPPER(G413))),702010,IF(ISNUMBER(SEARCH("ADMINISTRACION",UPPER(G413))),702010,IF(ISNUMBER(SEARCH("GERENCIAMIENTO",UPPER(G413))),702010,IF(ISNUMBER(SEARCH("ALQUILER",UPPER(G413))),702010,IF(ISNUMBER(SEARCH("AUDITORIA",UPPER(G413))),702010,IF(ISNUMBER(SEARCH("PRESTACIONAL",UPPER(G413))),702010,702010))))))))))))</f>
        <v/>
      </c>
      <c r="I413" s="122" t="n"/>
      <c r="J413" s="122" t="n"/>
      <c r="K413" s="123">
        <f>IF(N(I413)&gt;0,ROUND(N(I413)*IVA_general,2),0)</f>
        <v/>
      </c>
      <c r="L413" s="122" t="n">
        <v>0</v>
      </c>
      <c r="M413" s="122" t="n"/>
      <c r="N413" s="123">
        <f>IF(SUM(I413:M413)=0,"",SUM(I413:M413))</f>
        <v/>
      </c>
      <c r="O413" s="124">
        <f>IF(A413="","",TEXT(A413,"yyyy-mm"))</f>
        <v/>
      </c>
      <c r="P413" s="121">
        <f>IF(A413="","",YEAR(A413))</f>
        <v/>
      </c>
      <c r="Q413" s="121">
        <f>IF(A413="","",MONTH(A413))</f>
        <v/>
      </c>
      <c r="R413" s="116" t="n"/>
      <c r="S413" s="116" t="n"/>
      <c r="T413" s="120" t="n"/>
      <c r="U413" s="122" t="n">
        <v>0</v>
      </c>
      <c r="V413" s="123">
        <f>IF(B413="","",N413-U413)</f>
        <v/>
      </c>
      <c r="W413" s="116" t="n"/>
      <c r="X413" s="125">
        <f>IF(B413="","",IF(LEFT(B413,2)="NC",-1,1))</f>
        <v/>
      </c>
      <c r="Y413" s="123">
        <f>IF(B413="",0,N(I413)*X413)</f>
        <v/>
      </c>
      <c r="Z413" s="123">
        <f>IF(B413="",0,N(J413)*X413)</f>
        <v/>
      </c>
      <c r="AA413" s="123">
        <f>IF(B413="",0,N(K413)*X413)</f>
        <v/>
      </c>
      <c r="AB413" s="123">
        <f>IF(B413="",0,N(L413)*X413)</f>
        <v/>
      </c>
      <c r="AC413" s="123">
        <f>IF(B413="",0,N(N413)*X413)</f>
        <v/>
      </c>
    </row>
    <row r="414" ht="15" customHeight="1" s="83">
      <c r="A414" s="120" t="n"/>
      <c r="B414" s="116" t="n"/>
      <c r="C414" s="116" t="n"/>
      <c r="D414" s="116" t="n"/>
      <c r="E414" s="116" t="n"/>
      <c r="F414" s="116" t="n"/>
      <c r="G414" s="116" t="n"/>
      <c r="H414" s="121">
        <f>IF(G414="","",IF(ISNUMBER(SEARCH("CAPITA",UPPER(G414))),651110,IF(ISNUMBER(SEARCH("REFUERZO",UPPER(G414))),651110,IF(ISNUMBER(SEARCH("VACUNACION",UPPER(G414))),651110,IF(ISNUMBER(SEARCH("ENFERMERIA",UPPER(G414))),651110,IF(ISNUMBER(SEARCH("APORTES",UPPER(G414))),651110,IF(ISNUMBER(SEARCH("HONORARIOS",UPPER(G414))),702010,IF(ISNUMBER(SEARCH("ADMINISTRACION",UPPER(G414))),702010,IF(ISNUMBER(SEARCH("GERENCIAMIENTO",UPPER(G414))),702010,IF(ISNUMBER(SEARCH("ALQUILER",UPPER(G414))),702010,IF(ISNUMBER(SEARCH("AUDITORIA",UPPER(G414))),702010,IF(ISNUMBER(SEARCH("PRESTACIONAL",UPPER(G414))),702010,702010))))))))))))</f>
        <v/>
      </c>
      <c r="I414" s="122" t="n"/>
      <c r="J414" s="122" t="n"/>
      <c r="K414" s="123">
        <f>IF(N(I414)&gt;0,ROUND(N(I414)*IVA_general,2),0)</f>
        <v/>
      </c>
      <c r="L414" s="122" t="n">
        <v>0</v>
      </c>
      <c r="M414" s="122" t="n"/>
      <c r="N414" s="123">
        <f>IF(SUM(I414:M414)=0,"",SUM(I414:M414))</f>
        <v/>
      </c>
      <c r="O414" s="124">
        <f>IF(A414="","",TEXT(A414,"yyyy-mm"))</f>
        <v/>
      </c>
      <c r="P414" s="121">
        <f>IF(A414="","",YEAR(A414))</f>
        <v/>
      </c>
      <c r="Q414" s="121">
        <f>IF(A414="","",MONTH(A414))</f>
        <v/>
      </c>
      <c r="R414" s="116" t="n"/>
      <c r="S414" s="116" t="n"/>
      <c r="T414" s="120" t="n"/>
      <c r="U414" s="122" t="n">
        <v>0</v>
      </c>
      <c r="V414" s="123">
        <f>IF(B414="","",N414-U414)</f>
        <v/>
      </c>
      <c r="W414" s="116" t="n"/>
      <c r="X414" s="125">
        <f>IF(B414="","",IF(LEFT(B414,2)="NC",-1,1))</f>
        <v/>
      </c>
      <c r="Y414" s="123">
        <f>IF(B414="",0,N(I414)*X414)</f>
        <v/>
      </c>
      <c r="Z414" s="123">
        <f>IF(B414="",0,N(J414)*X414)</f>
        <v/>
      </c>
      <c r="AA414" s="123">
        <f>IF(B414="",0,N(K414)*X414)</f>
        <v/>
      </c>
      <c r="AB414" s="123">
        <f>IF(B414="",0,N(L414)*X414)</f>
        <v/>
      </c>
      <c r="AC414" s="123">
        <f>IF(B414="",0,N(N414)*X414)</f>
        <v/>
      </c>
    </row>
    <row r="415" ht="15" customHeight="1" s="83">
      <c r="A415" s="120" t="n"/>
      <c r="B415" s="116" t="n"/>
      <c r="C415" s="116" t="n"/>
      <c r="D415" s="116" t="n"/>
      <c r="E415" s="116" t="n"/>
      <c r="F415" s="116" t="n"/>
      <c r="G415" s="116" t="n"/>
      <c r="H415" s="121">
        <f>IF(G415="","",IF(ISNUMBER(SEARCH("CAPITA",UPPER(G415))),651110,IF(ISNUMBER(SEARCH("REFUERZO",UPPER(G415))),651110,IF(ISNUMBER(SEARCH("VACUNACION",UPPER(G415))),651110,IF(ISNUMBER(SEARCH("ENFERMERIA",UPPER(G415))),651110,IF(ISNUMBER(SEARCH("APORTES",UPPER(G415))),651110,IF(ISNUMBER(SEARCH("HONORARIOS",UPPER(G415))),702010,IF(ISNUMBER(SEARCH("ADMINISTRACION",UPPER(G415))),702010,IF(ISNUMBER(SEARCH("GERENCIAMIENTO",UPPER(G415))),702010,IF(ISNUMBER(SEARCH("ALQUILER",UPPER(G415))),702010,IF(ISNUMBER(SEARCH("AUDITORIA",UPPER(G415))),702010,IF(ISNUMBER(SEARCH("PRESTACIONAL",UPPER(G415))),702010,702010))))))))))))</f>
        <v/>
      </c>
      <c r="I415" s="122" t="n"/>
      <c r="J415" s="122" t="n"/>
      <c r="K415" s="123">
        <f>IF(N(I415)&gt;0,ROUND(N(I415)*IVA_general,2),0)</f>
        <v/>
      </c>
      <c r="L415" s="122" t="n">
        <v>0</v>
      </c>
      <c r="M415" s="122" t="n"/>
      <c r="N415" s="123">
        <f>IF(SUM(I415:M415)=0,"",SUM(I415:M415))</f>
        <v/>
      </c>
      <c r="O415" s="124">
        <f>IF(A415="","",TEXT(A415,"yyyy-mm"))</f>
        <v/>
      </c>
      <c r="P415" s="121">
        <f>IF(A415="","",YEAR(A415))</f>
        <v/>
      </c>
      <c r="Q415" s="121">
        <f>IF(A415="","",MONTH(A415))</f>
        <v/>
      </c>
      <c r="R415" s="116" t="n"/>
      <c r="S415" s="116" t="n"/>
      <c r="T415" s="120" t="n"/>
      <c r="U415" s="122" t="n">
        <v>0</v>
      </c>
      <c r="V415" s="123">
        <f>IF(B415="","",N415-U415)</f>
        <v/>
      </c>
      <c r="W415" s="116" t="n"/>
      <c r="X415" s="125">
        <f>IF(B415="","",IF(LEFT(B415,2)="NC",-1,1))</f>
        <v/>
      </c>
      <c r="Y415" s="123">
        <f>IF(B415="",0,N(I415)*X415)</f>
        <v/>
      </c>
      <c r="Z415" s="123">
        <f>IF(B415="",0,N(J415)*X415)</f>
        <v/>
      </c>
      <c r="AA415" s="123">
        <f>IF(B415="",0,N(K415)*X415)</f>
        <v/>
      </c>
      <c r="AB415" s="123">
        <f>IF(B415="",0,N(L415)*X415)</f>
        <v/>
      </c>
      <c r="AC415" s="123">
        <f>IF(B415="",0,N(N415)*X415)</f>
        <v/>
      </c>
    </row>
    <row r="416" ht="15" customHeight="1" s="83">
      <c r="A416" s="120" t="n"/>
      <c r="B416" s="116" t="n"/>
      <c r="C416" s="116" t="n"/>
      <c r="D416" s="116" t="n"/>
      <c r="E416" s="116" t="n"/>
      <c r="F416" s="116" t="n"/>
      <c r="G416" s="116" t="n"/>
      <c r="H416" s="121">
        <f>IF(G416="","",IF(ISNUMBER(SEARCH("CAPITA",UPPER(G416))),651110,IF(ISNUMBER(SEARCH("REFUERZO",UPPER(G416))),651110,IF(ISNUMBER(SEARCH("VACUNACION",UPPER(G416))),651110,IF(ISNUMBER(SEARCH("ENFERMERIA",UPPER(G416))),651110,IF(ISNUMBER(SEARCH("APORTES",UPPER(G416))),651110,IF(ISNUMBER(SEARCH("HONORARIOS",UPPER(G416))),702010,IF(ISNUMBER(SEARCH("ADMINISTRACION",UPPER(G416))),702010,IF(ISNUMBER(SEARCH("GERENCIAMIENTO",UPPER(G416))),702010,IF(ISNUMBER(SEARCH("ALQUILER",UPPER(G416))),702010,IF(ISNUMBER(SEARCH("AUDITORIA",UPPER(G416))),702010,IF(ISNUMBER(SEARCH("PRESTACIONAL",UPPER(G416))),702010,702010))))))))))))</f>
        <v/>
      </c>
      <c r="I416" s="122" t="n"/>
      <c r="J416" s="122" t="n"/>
      <c r="K416" s="123">
        <f>IF(N(I416)&gt;0,ROUND(N(I416)*IVA_general,2),0)</f>
        <v/>
      </c>
      <c r="L416" s="122" t="n">
        <v>0</v>
      </c>
      <c r="M416" s="122" t="n"/>
      <c r="N416" s="123">
        <f>IF(SUM(I416:M416)=0,"",SUM(I416:M416))</f>
        <v/>
      </c>
      <c r="O416" s="124">
        <f>IF(A416="","",TEXT(A416,"yyyy-mm"))</f>
        <v/>
      </c>
      <c r="P416" s="121">
        <f>IF(A416="","",YEAR(A416))</f>
        <v/>
      </c>
      <c r="Q416" s="121">
        <f>IF(A416="","",MONTH(A416))</f>
        <v/>
      </c>
      <c r="R416" s="116" t="n"/>
      <c r="S416" s="116" t="n"/>
      <c r="T416" s="120" t="n"/>
      <c r="U416" s="122" t="n">
        <v>0</v>
      </c>
      <c r="V416" s="123">
        <f>IF(B416="","",N416-U416)</f>
        <v/>
      </c>
      <c r="W416" s="116" t="n"/>
      <c r="X416" s="125">
        <f>IF(B416="","",IF(LEFT(B416,2)="NC",-1,1))</f>
        <v/>
      </c>
      <c r="Y416" s="123">
        <f>IF(B416="",0,N(I416)*X416)</f>
        <v/>
      </c>
      <c r="Z416" s="123">
        <f>IF(B416="",0,N(J416)*X416)</f>
        <v/>
      </c>
      <c r="AA416" s="123">
        <f>IF(B416="",0,N(K416)*X416)</f>
        <v/>
      </c>
      <c r="AB416" s="123">
        <f>IF(B416="",0,N(L416)*X416)</f>
        <v/>
      </c>
      <c r="AC416" s="123">
        <f>IF(B416="",0,N(N416)*X416)</f>
        <v/>
      </c>
    </row>
    <row r="417" ht="15" customHeight="1" s="83">
      <c r="A417" s="120" t="n"/>
      <c r="B417" s="116" t="n"/>
      <c r="C417" s="116" t="n"/>
      <c r="D417" s="116" t="n"/>
      <c r="E417" s="116" t="n"/>
      <c r="F417" s="116" t="n"/>
      <c r="G417" s="116" t="n"/>
      <c r="H417" s="121">
        <f>IF(G417="","",IF(ISNUMBER(SEARCH("CAPITA",UPPER(G417))),651110,IF(ISNUMBER(SEARCH("REFUERZO",UPPER(G417))),651110,IF(ISNUMBER(SEARCH("VACUNACION",UPPER(G417))),651110,IF(ISNUMBER(SEARCH("ENFERMERIA",UPPER(G417))),651110,IF(ISNUMBER(SEARCH("APORTES",UPPER(G417))),651110,IF(ISNUMBER(SEARCH("HONORARIOS",UPPER(G417))),702010,IF(ISNUMBER(SEARCH("ADMINISTRACION",UPPER(G417))),702010,IF(ISNUMBER(SEARCH("GERENCIAMIENTO",UPPER(G417))),702010,IF(ISNUMBER(SEARCH("ALQUILER",UPPER(G417))),702010,IF(ISNUMBER(SEARCH("AUDITORIA",UPPER(G417))),702010,IF(ISNUMBER(SEARCH("PRESTACIONAL",UPPER(G417))),702010,702010))))))))))))</f>
        <v/>
      </c>
      <c r="I417" s="122" t="n"/>
      <c r="J417" s="122" t="n"/>
      <c r="K417" s="123">
        <f>IF(N(I417)&gt;0,ROUND(N(I417)*IVA_general,2),0)</f>
        <v/>
      </c>
      <c r="L417" s="122" t="n">
        <v>0</v>
      </c>
      <c r="M417" s="122" t="n"/>
      <c r="N417" s="123">
        <f>IF(SUM(I417:M417)=0,"",SUM(I417:M417))</f>
        <v/>
      </c>
      <c r="O417" s="124">
        <f>IF(A417="","",TEXT(A417,"yyyy-mm"))</f>
        <v/>
      </c>
      <c r="P417" s="121">
        <f>IF(A417="","",YEAR(A417))</f>
        <v/>
      </c>
      <c r="Q417" s="121">
        <f>IF(A417="","",MONTH(A417))</f>
        <v/>
      </c>
      <c r="R417" s="116" t="n"/>
      <c r="S417" s="116" t="n"/>
      <c r="T417" s="120" t="n"/>
      <c r="U417" s="122" t="n">
        <v>0</v>
      </c>
      <c r="V417" s="123">
        <f>IF(B417="","",N417-U417)</f>
        <v/>
      </c>
      <c r="W417" s="116" t="n"/>
      <c r="X417" s="125">
        <f>IF(B417="","",IF(LEFT(B417,2)="NC",-1,1))</f>
        <v/>
      </c>
      <c r="Y417" s="123">
        <f>IF(B417="",0,N(I417)*X417)</f>
        <v/>
      </c>
      <c r="Z417" s="123">
        <f>IF(B417="",0,N(J417)*X417)</f>
        <v/>
      </c>
      <c r="AA417" s="123">
        <f>IF(B417="",0,N(K417)*X417)</f>
        <v/>
      </c>
      <c r="AB417" s="123">
        <f>IF(B417="",0,N(L417)*X417)</f>
        <v/>
      </c>
      <c r="AC417" s="123">
        <f>IF(B417="",0,N(N417)*X417)</f>
        <v/>
      </c>
    </row>
    <row r="418" ht="15" customHeight="1" s="83">
      <c r="A418" s="120" t="n"/>
      <c r="B418" s="116" t="n"/>
      <c r="C418" s="116" t="n"/>
      <c r="D418" s="116" t="n"/>
      <c r="E418" s="116" t="n"/>
      <c r="F418" s="116" t="n"/>
      <c r="G418" s="116" t="n"/>
      <c r="H418" s="121">
        <f>IF(G418="","",IF(ISNUMBER(SEARCH("CAPITA",UPPER(G418))),651110,IF(ISNUMBER(SEARCH("REFUERZO",UPPER(G418))),651110,IF(ISNUMBER(SEARCH("VACUNACION",UPPER(G418))),651110,IF(ISNUMBER(SEARCH("ENFERMERIA",UPPER(G418))),651110,IF(ISNUMBER(SEARCH("APORTES",UPPER(G418))),651110,IF(ISNUMBER(SEARCH("HONORARIOS",UPPER(G418))),702010,IF(ISNUMBER(SEARCH("ADMINISTRACION",UPPER(G418))),702010,IF(ISNUMBER(SEARCH("GERENCIAMIENTO",UPPER(G418))),702010,IF(ISNUMBER(SEARCH("ALQUILER",UPPER(G418))),702010,IF(ISNUMBER(SEARCH("AUDITORIA",UPPER(G418))),702010,IF(ISNUMBER(SEARCH("PRESTACIONAL",UPPER(G418))),702010,702010))))))))))))</f>
        <v/>
      </c>
      <c r="I418" s="122" t="n"/>
      <c r="J418" s="122" t="n"/>
      <c r="K418" s="123">
        <f>IF(N(I418)&gt;0,ROUND(N(I418)*IVA_general,2),0)</f>
        <v/>
      </c>
      <c r="L418" s="122" t="n">
        <v>0</v>
      </c>
      <c r="M418" s="122" t="n"/>
      <c r="N418" s="123">
        <f>IF(SUM(I418:M418)=0,"",SUM(I418:M418))</f>
        <v/>
      </c>
      <c r="O418" s="124">
        <f>IF(A418="","",TEXT(A418,"yyyy-mm"))</f>
        <v/>
      </c>
      <c r="P418" s="121">
        <f>IF(A418="","",YEAR(A418))</f>
        <v/>
      </c>
      <c r="Q418" s="121">
        <f>IF(A418="","",MONTH(A418))</f>
        <v/>
      </c>
      <c r="R418" s="116" t="n"/>
      <c r="S418" s="116" t="n"/>
      <c r="T418" s="120" t="n"/>
      <c r="U418" s="122" t="n">
        <v>0</v>
      </c>
      <c r="V418" s="123">
        <f>IF(B418="","",N418-U418)</f>
        <v/>
      </c>
      <c r="W418" s="116" t="n"/>
      <c r="X418" s="125">
        <f>IF(B418="","",IF(LEFT(B418,2)="NC",-1,1))</f>
        <v/>
      </c>
      <c r="Y418" s="123">
        <f>IF(B418="",0,N(I418)*X418)</f>
        <v/>
      </c>
      <c r="Z418" s="123">
        <f>IF(B418="",0,N(J418)*X418)</f>
        <v/>
      </c>
      <c r="AA418" s="123">
        <f>IF(B418="",0,N(K418)*X418)</f>
        <v/>
      </c>
      <c r="AB418" s="123">
        <f>IF(B418="",0,N(L418)*X418)</f>
        <v/>
      </c>
      <c r="AC418" s="123">
        <f>IF(B418="",0,N(N418)*X418)</f>
        <v/>
      </c>
    </row>
    <row r="419" ht="15" customHeight="1" s="83">
      <c r="A419" s="120" t="n"/>
      <c r="B419" s="116" t="n"/>
      <c r="C419" s="116" t="n"/>
      <c r="D419" s="116" t="n"/>
      <c r="E419" s="116" t="n"/>
      <c r="F419" s="116" t="n"/>
      <c r="G419" s="116" t="n"/>
      <c r="H419" s="121">
        <f>IF(G419="","",IF(ISNUMBER(SEARCH("CAPITA",UPPER(G419))),651110,IF(ISNUMBER(SEARCH("REFUERZO",UPPER(G419))),651110,IF(ISNUMBER(SEARCH("VACUNACION",UPPER(G419))),651110,IF(ISNUMBER(SEARCH("ENFERMERIA",UPPER(G419))),651110,IF(ISNUMBER(SEARCH("APORTES",UPPER(G419))),651110,IF(ISNUMBER(SEARCH("HONORARIOS",UPPER(G419))),702010,IF(ISNUMBER(SEARCH("ADMINISTRACION",UPPER(G419))),702010,IF(ISNUMBER(SEARCH("GERENCIAMIENTO",UPPER(G419))),702010,IF(ISNUMBER(SEARCH("ALQUILER",UPPER(G419))),702010,IF(ISNUMBER(SEARCH("AUDITORIA",UPPER(G419))),702010,IF(ISNUMBER(SEARCH("PRESTACIONAL",UPPER(G419))),702010,702010))))))))))))</f>
        <v/>
      </c>
      <c r="I419" s="122" t="n"/>
      <c r="J419" s="122" t="n"/>
      <c r="K419" s="123">
        <f>IF(N(I419)&gt;0,ROUND(N(I419)*IVA_general,2),0)</f>
        <v/>
      </c>
      <c r="L419" s="122" t="n">
        <v>0</v>
      </c>
      <c r="M419" s="122" t="n"/>
      <c r="N419" s="123">
        <f>IF(SUM(I419:M419)=0,"",SUM(I419:M419))</f>
        <v/>
      </c>
      <c r="O419" s="124">
        <f>IF(A419="","",TEXT(A419,"yyyy-mm"))</f>
        <v/>
      </c>
      <c r="P419" s="121">
        <f>IF(A419="","",YEAR(A419))</f>
        <v/>
      </c>
      <c r="Q419" s="121">
        <f>IF(A419="","",MONTH(A419))</f>
        <v/>
      </c>
      <c r="R419" s="116" t="n"/>
      <c r="S419" s="116" t="n"/>
      <c r="T419" s="120" t="n"/>
      <c r="U419" s="122" t="n">
        <v>0</v>
      </c>
      <c r="V419" s="123">
        <f>IF(B419="","",N419-U419)</f>
        <v/>
      </c>
      <c r="W419" s="116" t="n"/>
      <c r="X419" s="125">
        <f>IF(B419="","",IF(LEFT(B419,2)="NC",-1,1))</f>
        <v/>
      </c>
      <c r="Y419" s="123">
        <f>IF(B419="",0,N(I419)*X419)</f>
        <v/>
      </c>
      <c r="Z419" s="123">
        <f>IF(B419="",0,N(J419)*X419)</f>
        <v/>
      </c>
      <c r="AA419" s="123">
        <f>IF(B419="",0,N(K419)*X419)</f>
        <v/>
      </c>
      <c r="AB419" s="123">
        <f>IF(B419="",0,N(L419)*X419)</f>
        <v/>
      </c>
      <c r="AC419" s="123">
        <f>IF(B419="",0,N(N419)*X419)</f>
        <v/>
      </c>
    </row>
    <row r="420" ht="15" customHeight="1" s="83">
      <c r="A420" s="120" t="n"/>
      <c r="B420" s="116" t="n"/>
      <c r="C420" s="116" t="n"/>
      <c r="D420" s="116" t="n"/>
      <c r="E420" s="116" t="n"/>
      <c r="F420" s="116" t="n"/>
      <c r="G420" s="116" t="n"/>
      <c r="H420" s="121">
        <f>IF(G420="","",IF(ISNUMBER(SEARCH("CAPITA",UPPER(G420))),651110,IF(ISNUMBER(SEARCH("REFUERZO",UPPER(G420))),651110,IF(ISNUMBER(SEARCH("VACUNACION",UPPER(G420))),651110,IF(ISNUMBER(SEARCH("ENFERMERIA",UPPER(G420))),651110,IF(ISNUMBER(SEARCH("APORTES",UPPER(G420))),651110,IF(ISNUMBER(SEARCH("HONORARIOS",UPPER(G420))),702010,IF(ISNUMBER(SEARCH("ADMINISTRACION",UPPER(G420))),702010,IF(ISNUMBER(SEARCH("GERENCIAMIENTO",UPPER(G420))),702010,IF(ISNUMBER(SEARCH("ALQUILER",UPPER(G420))),702010,IF(ISNUMBER(SEARCH("AUDITORIA",UPPER(G420))),702010,IF(ISNUMBER(SEARCH("PRESTACIONAL",UPPER(G420))),702010,702010))))))))))))</f>
        <v/>
      </c>
      <c r="I420" s="122" t="n"/>
      <c r="J420" s="122" t="n"/>
      <c r="K420" s="123">
        <f>IF(N(I420)&gt;0,ROUND(N(I420)*IVA_general,2),0)</f>
        <v/>
      </c>
      <c r="L420" s="122" t="n">
        <v>0</v>
      </c>
      <c r="M420" s="122" t="n"/>
      <c r="N420" s="123">
        <f>IF(SUM(I420:M420)=0,"",SUM(I420:M420))</f>
        <v/>
      </c>
      <c r="O420" s="124">
        <f>IF(A420="","",TEXT(A420,"yyyy-mm"))</f>
        <v/>
      </c>
      <c r="P420" s="121">
        <f>IF(A420="","",YEAR(A420))</f>
        <v/>
      </c>
      <c r="Q420" s="121">
        <f>IF(A420="","",MONTH(A420))</f>
        <v/>
      </c>
      <c r="R420" s="116" t="n"/>
      <c r="S420" s="116" t="n"/>
      <c r="T420" s="120" t="n"/>
      <c r="U420" s="122" t="n">
        <v>0</v>
      </c>
      <c r="V420" s="123">
        <f>IF(B420="","",N420-U420)</f>
        <v/>
      </c>
      <c r="W420" s="116" t="n"/>
      <c r="X420" s="125">
        <f>IF(B420="","",IF(LEFT(B420,2)="NC",-1,1))</f>
        <v/>
      </c>
      <c r="Y420" s="123">
        <f>IF(B420="",0,N(I420)*X420)</f>
        <v/>
      </c>
      <c r="Z420" s="123">
        <f>IF(B420="",0,N(J420)*X420)</f>
        <v/>
      </c>
      <c r="AA420" s="123">
        <f>IF(B420="",0,N(K420)*X420)</f>
        <v/>
      </c>
      <c r="AB420" s="123">
        <f>IF(B420="",0,N(L420)*X420)</f>
        <v/>
      </c>
      <c r="AC420" s="123">
        <f>IF(B420="",0,N(N420)*X420)</f>
        <v/>
      </c>
    </row>
    <row r="421" ht="15" customHeight="1" s="83">
      <c r="A421" s="120" t="n"/>
      <c r="B421" s="116" t="n"/>
      <c r="C421" s="116" t="n"/>
      <c r="D421" s="116" t="n"/>
      <c r="E421" s="116" t="n"/>
      <c r="F421" s="116" t="n"/>
      <c r="G421" s="116" t="n"/>
      <c r="H421" s="121">
        <f>IF(G421="","",IF(ISNUMBER(SEARCH("CAPITA",UPPER(G421))),651110,IF(ISNUMBER(SEARCH("REFUERZO",UPPER(G421))),651110,IF(ISNUMBER(SEARCH("VACUNACION",UPPER(G421))),651110,IF(ISNUMBER(SEARCH("ENFERMERIA",UPPER(G421))),651110,IF(ISNUMBER(SEARCH("APORTES",UPPER(G421))),651110,IF(ISNUMBER(SEARCH("HONORARIOS",UPPER(G421))),702010,IF(ISNUMBER(SEARCH("ADMINISTRACION",UPPER(G421))),702010,IF(ISNUMBER(SEARCH("GERENCIAMIENTO",UPPER(G421))),702010,IF(ISNUMBER(SEARCH("ALQUILER",UPPER(G421))),702010,IF(ISNUMBER(SEARCH("AUDITORIA",UPPER(G421))),702010,IF(ISNUMBER(SEARCH("PRESTACIONAL",UPPER(G421))),702010,702010))))))))))))</f>
        <v/>
      </c>
      <c r="I421" s="122" t="n"/>
      <c r="J421" s="122" t="n"/>
      <c r="K421" s="123">
        <f>IF(N(I421)&gt;0,ROUND(N(I421)*IVA_general,2),0)</f>
        <v/>
      </c>
      <c r="L421" s="122" t="n">
        <v>0</v>
      </c>
      <c r="M421" s="122" t="n"/>
      <c r="N421" s="123">
        <f>IF(SUM(I421:M421)=0,"",SUM(I421:M421))</f>
        <v/>
      </c>
      <c r="O421" s="124">
        <f>IF(A421="","",TEXT(A421,"yyyy-mm"))</f>
        <v/>
      </c>
      <c r="P421" s="121">
        <f>IF(A421="","",YEAR(A421))</f>
        <v/>
      </c>
      <c r="Q421" s="121">
        <f>IF(A421="","",MONTH(A421))</f>
        <v/>
      </c>
      <c r="R421" s="116" t="n"/>
      <c r="S421" s="116" t="n"/>
      <c r="T421" s="120" t="n"/>
      <c r="U421" s="122" t="n">
        <v>0</v>
      </c>
      <c r="V421" s="123">
        <f>IF(B421="","",N421-U421)</f>
        <v/>
      </c>
      <c r="W421" s="116" t="n"/>
      <c r="X421" s="125">
        <f>IF(B421="","",IF(LEFT(B421,2)="NC",-1,1))</f>
        <v/>
      </c>
      <c r="Y421" s="123">
        <f>IF(B421="",0,N(I421)*X421)</f>
        <v/>
      </c>
      <c r="Z421" s="123">
        <f>IF(B421="",0,N(J421)*X421)</f>
        <v/>
      </c>
      <c r="AA421" s="123">
        <f>IF(B421="",0,N(K421)*X421)</f>
        <v/>
      </c>
      <c r="AB421" s="123">
        <f>IF(B421="",0,N(L421)*X421)</f>
        <v/>
      </c>
      <c r="AC421" s="123">
        <f>IF(B421="",0,N(N421)*X421)</f>
        <v/>
      </c>
    </row>
    <row r="422" ht="15" customHeight="1" s="83">
      <c r="A422" s="120" t="n"/>
      <c r="B422" s="116" t="n"/>
      <c r="C422" s="116" t="n"/>
      <c r="D422" s="116" t="n"/>
      <c r="E422" s="116" t="n"/>
      <c r="F422" s="116" t="n"/>
      <c r="G422" s="116" t="n"/>
      <c r="H422" s="121">
        <f>IF(G422="","",IF(ISNUMBER(SEARCH("CAPITA",UPPER(G422))),651110,IF(ISNUMBER(SEARCH("REFUERZO",UPPER(G422))),651110,IF(ISNUMBER(SEARCH("VACUNACION",UPPER(G422))),651110,IF(ISNUMBER(SEARCH("ENFERMERIA",UPPER(G422))),651110,IF(ISNUMBER(SEARCH("APORTES",UPPER(G422))),651110,IF(ISNUMBER(SEARCH("HONORARIOS",UPPER(G422))),702010,IF(ISNUMBER(SEARCH("ADMINISTRACION",UPPER(G422))),702010,IF(ISNUMBER(SEARCH("GERENCIAMIENTO",UPPER(G422))),702010,IF(ISNUMBER(SEARCH("ALQUILER",UPPER(G422))),702010,IF(ISNUMBER(SEARCH("AUDITORIA",UPPER(G422))),702010,IF(ISNUMBER(SEARCH("PRESTACIONAL",UPPER(G422))),702010,702010))))))))))))</f>
        <v/>
      </c>
      <c r="I422" s="122" t="n"/>
      <c r="J422" s="122" t="n"/>
      <c r="K422" s="123">
        <f>IF(N(I422)&gt;0,ROUND(N(I422)*IVA_general,2),0)</f>
        <v/>
      </c>
      <c r="L422" s="122" t="n">
        <v>0</v>
      </c>
      <c r="M422" s="122" t="n"/>
      <c r="N422" s="123">
        <f>IF(SUM(I422:M422)=0,"",SUM(I422:M422))</f>
        <v/>
      </c>
      <c r="O422" s="124">
        <f>IF(A422="","",TEXT(A422,"yyyy-mm"))</f>
        <v/>
      </c>
      <c r="P422" s="121">
        <f>IF(A422="","",YEAR(A422))</f>
        <v/>
      </c>
      <c r="Q422" s="121">
        <f>IF(A422="","",MONTH(A422))</f>
        <v/>
      </c>
      <c r="R422" s="116" t="n"/>
      <c r="S422" s="116" t="n"/>
      <c r="T422" s="120" t="n"/>
      <c r="U422" s="122" t="n">
        <v>0</v>
      </c>
      <c r="V422" s="123">
        <f>IF(B422="","",N422-U422)</f>
        <v/>
      </c>
      <c r="W422" s="116" t="n"/>
      <c r="X422" s="125">
        <f>IF(B422="","",IF(LEFT(B422,2)="NC",-1,1))</f>
        <v/>
      </c>
      <c r="Y422" s="123">
        <f>IF(B422="",0,N(I422)*X422)</f>
        <v/>
      </c>
      <c r="Z422" s="123">
        <f>IF(B422="",0,N(J422)*X422)</f>
        <v/>
      </c>
      <c r="AA422" s="123">
        <f>IF(B422="",0,N(K422)*X422)</f>
        <v/>
      </c>
      <c r="AB422" s="123">
        <f>IF(B422="",0,N(L422)*X422)</f>
        <v/>
      </c>
      <c r="AC422" s="123">
        <f>IF(B422="",0,N(N422)*X422)</f>
        <v/>
      </c>
    </row>
    <row r="423" ht="15" customHeight="1" s="83">
      <c r="A423" s="120" t="n"/>
      <c r="B423" s="116" t="n"/>
      <c r="C423" s="116" t="n"/>
      <c r="D423" s="116" t="n"/>
      <c r="E423" s="116" t="n"/>
      <c r="F423" s="116" t="n"/>
      <c r="G423" s="116" t="n"/>
      <c r="H423" s="121">
        <f>IF(G423="","",IF(ISNUMBER(SEARCH("CAPITA",UPPER(G423))),651110,IF(ISNUMBER(SEARCH("REFUERZO",UPPER(G423))),651110,IF(ISNUMBER(SEARCH("VACUNACION",UPPER(G423))),651110,IF(ISNUMBER(SEARCH("ENFERMERIA",UPPER(G423))),651110,IF(ISNUMBER(SEARCH("APORTES",UPPER(G423))),651110,IF(ISNUMBER(SEARCH("HONORARIOS",UPPER(G423))),702010,IF(ISNUMBER(SEARCH("ADMINISTRACION",UPPER(G423))),702010,IF(ISNUMBER(SEARCH("GERENCIAMIENTO",UPPER(G423))),702010,IF(ISNUMBER(SEARCH("ALQUILER",UPPER(G423))),702010,IF(ISNUMBER(SEARCH("AUDITORIA",UPPER(G423))),702010,IF(ISNUMBER(SEARCH("PRESTACIONAL",UPPER(G423))),702010,702010))))))))))))</f>
        <v/>
      </c>
      <c r="I423" s="122" t="n"/>
      <c r="J423" s="122" t="n"/>
      <c r="K423" s="123">
        <f>IF(N(I423)&gt;0,ROUND(N(I423)*IVA_general,2),0)</f>
        <v/>
      </c>
      <c r="L423" s="122" t="n">
        <v>0</v>
      </c>
      <c r="M423" s="122" t="n"/>
      <c r="N423" s="123">
        <f>IF(SUM(I423:M423)=0,"",SUM(I423:M423))</f>
        <v/>
      </c>
      <c r="O423" s="124">
        <f>IF(A423="","",TEXT(A423,"yyyy-mm"))</f>
        <v/>
      </c>
      <c r="P423" s="121">
        <f>IF(A423="","",YEAR(A423))</f>
        <v/>
      </c>
      <c r="Q423" s="121">
        <f>IF(A423="","",MONTH(A423))</f>
        <v/>
      </c>
      <c r="R423" s="116" t="n"/>
      <c r="S423" s="116" t="n"/>
      <c r="T423" s="120" t="n"/>
      <c r="U423" s="122" t="n">
        <v>0</v>
      </c>
      <c r="V423" s="123">
        <f>IF(B423="","",N423-U423)</f>
        <v/>
      </c>
      <c r="W423" s="116" t="n"/>
      <c r="X423" s="125">
        <f>IF(B423="","",IF(LEFT(B423,2)="NC",-1,1))</f>
        <v/>
      </c>
      <c r="Y423" s="123">
        <f>IF(B423="",0,N(I423)*X423)</f>
        <v/>
      </c>
      <c r="Z423" s="123">
        <f>IF(B423="",0,N(J423)*X423)</f>
        <v/>
      </c>
      <c r="AA423" s="123">
        <f>IF(B423="",0,N(K423)*X423)</f>
        <v/>
      </c>
      <c r="AB423" s="123">
        <f>IF(B423="",0,N(L423)*X423)</f>
        <v/>
      </c>
      <c r="AC423" s="123">
        <f>IF(B423="",0,N(N423)*X423)</f>
        <v/>
      </c>
    </row>
    <row r="424" ht="15" customHeight="1" s="83">
      <c r="A424" s="120" t="n"/>
      <c r="B424" s="116" t="n"/>
      <c r="C424" s="116" t="n"/>
      <c r="D424" s="116" t="n"/>
      <c r="E424" s="116" t="n"/>
      <c r="F424" s="116" t="n"/>
      <c r="G424" s="116" t="n"/>
      <c r="H424" s="121">
        <f>IF(G424="","",IF(ISNUMBER(SEARCH("CAPITA",UPPER(G424))),651110,IF(ISNUMBER(SEARCH("REFUERZO",UPPER(G424))),651110,IF(ISNUMBER(SEARCH("VACUNACION",UPPER(G424))),651110,IF(ISNUMBER(SEARCH("ENFERMERIA",UPPER(G424))),651110,IF(ISNUMBER(SEARCH("APORTES",UPPER(G424))),651110,IF(ISNUMBER(SEARCH("HONORARIOS",UPPER(G424))),702010,IF(ISNUMBER(SEARCH("ADMINISTRACION",UPPER(G424))),702010,IF(ISNUMBER(SEARCH("GERENCIAMIENTO",UPPER(G424))),702010,IF(ISNUMBER(SEARCH("ALQUILER",UPPER(G424))),702010,IF(ISNUMBER(SEARCH("AUDITORIA",UPPER(G424))),702010,IF(ISNUMBER(SEARCH("PRESTACIONAL",UPPER(G424))),702010,702010))))))))))))</f>
        <v/>
      </c>
      <c r="I424" s="122" t="n"/>
      <c r="J424" s="122" t="n"/>
      <c r="K424" s="123">
        <f>IF(N(I424)&gt;0,ROUND(N(I424)*IVA_general,2),0)</f>
        <v/>
      </c>
      <c r="L424" s="122" t="n">
        <v>0</v>
      </c>
      <c r="M424" s="122" t="n"/>
      <c r="N424" s="123">
        <f>IF(SUM(I424:M424)=0,"",SUM(I424:M424))</f>
        <v/>
      </c>
      <c r="O424" s="124">
        <f>IF(A424="","",TEXT(A424,"yyyy-mm"))</f>
        <v/>
      </c>
      <c r="P424" s="121">
        <f>IF(A424="","",YEAR(A424))</f>
        <v/>
      </c>
      <c r="Q424" s="121">
        <f>IF(A424="","",MONTH(A424))</f>
        <v/>
      </c>
      <c r="R424" s="116" t="n"/>
      <c r="S424" s="116" t="n"/>
      <c r="T424" s="120" t="n"/>
      <c r="U424" s="122" t="n">
        <v>0</v>
      </c>
      <c r="V424" s="123">
        <f>IF(B424="","",N424-U424)</f>
        <v/>
      </c>
      <c r="W424" s="116" t="n"/>
      <c r="X424" s="125">
        <f>IF(B424="","",IF(LEFT(B424,2)="NC",-1,1))</f>
        <v/>
      </c>
      <c r="Y424" s="123">
        <f>IF(B424="",0,N(I424)*X424)</f>
        <v/>
      </c>
      <c r="Z424" s="123">
        <f>IF(B424="",0,N(J424)*X424)</f>
        <v/>
      </c>
      <c r="AA424" s="123">
        <f>IF(B424="",0,N(K424)*X424)</f>
        <v/>
      </c>
      <c r="AB424" s="123">
        <f>IF(B424="",0,N(L424)*X424)</f>
        <v/>
      </c>
      <c r="AC424" s="123">
        <f>IF(B424="",0,N(N424)*X424)</f>
        <v/>
      </c>
    </row>
    <row r="425" ht="15" customHeight="1" s="83">
      <c r="A425" s="120" t="n"/>
      <c r="B425" s="116" t="n"/>
      <c r="C425" s="116" t="n"/>
      <c r="D425" s="116" t="n"/>
      <c r="E425" s="116" t="n"/>
      <c r="F425" s="116" t="n"/>
      <c r="G425" s="116" t="n"/>
      <c r="H425" s="121">
        <f>IF(G425="","",IF(ISNUMBER(SEARCH("CAPITA",UPPER(G425))),651110,IF(ISNUMBER(SEARCH("REFUERZO",UPPER(G425))),651110,IF(ISNUMBER(SEARCH("VACUNACION",UPPER(G425))),651110,IF(ISNUMBER(SEARCH("ENFERMERIA",UPPER(G425))),651110,IF(ISNUMBER(SEARCH("APORTES",UPPER(G425))),651110,IF(ISNUMBER(SEARCH("HONORARIOS",UPPER(G425))),702010,IF(ISNUMBER(SEARCH("ADMINISTRACION",UPPER(G425))),702010,IF(ISNUMBER(SEARCH("GERENCIAMIENTO",UPPER(G425))),702010,IF(ISNUMBER(SEARCH("ALQUILER",UPPER(G425))),702010,IF(ISNUMBER(SEARCH("AUDITORIA",UPPER(G425))),702010,IF(ISNUMBER(SEARCH("PRESTACIONAL",UPPER(G425))),702010,702010))))))))))))</f>
        <v/>
      </c>
      <c r="I425" s="122" t="n"/>
      <c r="J425" s="122" t="n"/>
      <c r="K425" s="123">
        <f>IF(N(I425)&gt;0,ROUND(N(I425)*IVA_general,2),0)</f>
        <v/>
      </c>
      <c r="L425" s="122" t="n">
        <v>0</v>
      </c>
      <c r="M425" s="122" t="n"/>
      <c r="N425" s="123">
        <f>IF(SUM(I425:M425)=0,"",SUM(I425:M425))</f>
        <v/>
      </c>
      <c r="O425" s="124">
        <f>IF(A425="","",TEXT(A425,"yyyy-mm"))</f>
        <v/>
      </c>
      <c r="P425" s="121">
        <f>IF(A425="","",YEAR(A425))</f>
        <v/>
      </c>
      <c r="Q425" s="121">
        <f>IF(A425="","",MONTH(A425))</f>
        <v/>
      </c>
      <c r="R425" s="116" t="n"/>
      <c r="S425" s="116" t="n"/>
      <c r="T425" s="120" t="n"/>
      <c r="U425" s="122" t="n">
        <v>0</v>
      </c>
      <c r="V425" s="123">
        <f>IF(B425="","",N425-U425)</f>
        <v/>
      </c>
      <c r="W425" s="116" t="n"/>
      <c r="X425" s="125">
        <f>IF(B425="","",IF(LEFT(B425,2)="NC",-1,1))</f>
        <v/>
      </c>
      <c r="Y425" s="123">
        <f>IF(B425="",0,N(I425)*X425)</f>
        <v/>
      </c>
      <c r="Z425" s="123">
        <f>IF(B425="",0,N(J425)*X425)</f>
        <v/>
      </c>
      <c r="AA425" s="123">
        <f>IF(B425="",0,N(K425)*X425)</f>
        <v/>
      </c>
      <c r="AB425" s="123">
        <f>IF(B425="",0,N(L425)*X425)</f>
        <v/>
      </c>
      <c r="AC425" s="123">
        <f>IF(B425="",0,N(N425)*X425)</f>
        <v/>
      </c>
    </row>
    <row r="426" ht="15" customHeight="1" s="83">
      <c r="A426" s="120" t="n"/>
      <c r="B426" s="116" t="n"/>
      <c r="C426" s="116" t="n"/>
      <c r="D426" s="116" t="n"/>
      <c r="E426" s="116" t="n"/>
      <c r="F426" s="116" t="n"/>
      <c r="G426" s="116" t="n"/>
      <c r="H426" s="121">
        <f>IF(G426="","",IF(ISNUMBER(SEARCH("CAPITA",UPPER(G426))),651110,IF(ISNUMBER(SEARCH("REFUERZO",UPPER(G426))),651110,IF(ISNUMBER(SEARCH("VACUNACION",UPPER(G426))),651110,IF(ISNUMBER(SEARCH("ENFERMERIA",UPPER(G426))),651110,IF(ISNUMBER(SEARCH("APORTES",UPPER(G426))),651110,IF(ISNUMBER(SEARCH("HONORARIOS",UPPER(G426))),702010,IF(ISNUMBER(SEARCH("ADMINISTRACION",UPPER(G426))),702010,IF(ISNUMBER(SEARCH("GERENCIAMIENTO",UPPER(G426))),702010,IF(ISNUMBER(SEARCH("ALQUILER",UPPER(G426))),702010,IF(ISNUMBER(SEARCH("AUDITORIA",UPPER(G426))),702010,IF(ISNUMBER(SEARCH("PRESTACIONAL",UPPER(G426))),702010,702010))))))))))))</f>
        <v/>
      </c>
      <c r="I426" s="122" t="n"/>
      <c r="J426" s="122" t="n"/>
      <c r="K426" s="123">
        <f>IF(N(I426)&gt;0,ROUND(N(I426)*IVA_general,2),0)</f>
        <v/>
      </c>
      <c r="L426" s="122" t="n">
        <v>0</v>
      </c>
      <c r="M426" s="122" t="n"/>
      <c r="N426" s="123">
        <f>IF(SUM(I426:M426)=0,"",SUM(I426:M426))</f>
        <v/>
      </c>
      <c r="O426" s="124">
        <f>IF(A426="","",TEXT(A426,"yyyy-mm"))</f>
        <v/>
      </c>
      <c r="P426" s="121">
        <f>IF(A426="","",YEAR(A426))</f>
        <v/>
      </c>
      <c r="Q426" s="121">
        <f>IF(A426="","",MONTH(A426))</f>
        <v/>
      </c>
      <c r="R426" s="116" t="n"/>
      <c r="S426" s="116" t="n"/>
      <c r="T426" s="120" t="n"/>
      <c r="U426" s="122" t="n">
        <v>0</v>
      </c>
      <c r="V426" s="123">
        <f>IF(B426="","",N426-U426)</f>
        <v/>
      </c>
      <c r="W426" s="116" t="n"/>
      <c r="X426" s="125">
        <f>IF(B426="","",IF(LEFT(B426,2)="NC",-1,1))</f>
        <v/>
      </c>
      <c r="Y426" s="123">
        <f>IF(B426="",0,N(I426)*X426)</f>
        <v/>
      </c>
      <c r="Z426" s="123">
        <f>IF(B426="",0,N(J426)*X426)</f>
        <v/>
      </c>
      <c r="AA426" s="123">
        <f>IF(B426="",0,N(K426)*X426)</f>
        <v/>
      </c>
      <c r="AB426" s="123">
        <f>IF(B426="",0,N(L426)*X426)</f>
        <v/>
      </c>
      <c r="AC426" s="123">
        <f>IF(B426="",0,N(N426)*X426)</f>
        <v/>
      </c>
    </row>
    <row r="427" ht="15" customHeight="1" s="83">
      <c r="A427" s="120" t="n"/>
      <c r="B427" s="116" t="n"/>
      <c r="C427" s="116" t="n"/>
      <c r="D427" s="116" t="n"/>
      <c r="E427" s="116" t="n"/>
      <c r="F427" s="116" t="n"/>
      <c r="G427" s="116" t="n"/>
      <c r="H427" s="121">
        <f>IF(G427="","",IF(ISNUMBER(SEARCH("CAPITA",UPPER(G427))),651110,IF(ISNUMBER(SEARCH("REFUERZO",UPPER(G427))),651110,IF(ISNUMBER(SEARCH("VACUNACION",UPPER(G427))),651110,IF(ISNUMBER(SEARCH("ENFERMERIA",UPPER(G427))),651110,IF(ISNUMBER(SEARCH("APORTES",UPPER(G427))),651110,IF(ISNUMBER(SEARCH("HONORARIOS",UPPER(G427))),702010,IF(ISNUMBER(SEARCH("ADMINISTRACION",UPPER(G427))),702010,IF(ISNUMBER(SEARCH("GERENCIAMIENTO",UPPER(G427))),702010,IF(ISNUMBER(SEARCH("ALQUILER",UPPER(G427))),702010,IF(ISNUMBER(SEARCH("AUDITORIA",UPPER(G427))),702010,IF(ISNUMBER(SEARCH("PRESTACIONAL",UPPER(G427))),702010,702010))))))))))))</f>
        <v/>
      </c>
      <c r="I427" s="122" t="n"/>
      <c r="J427" s="122" t="n"/>
      <c r="K427" s="123">
        <f>IF(N(I427)&gt;0,ROUND(N(I427)*IVA_general,2),0)</f>
        <v/>
      </c>
      <c r="L427" s="122" t="n">
        <v>0</v>
      </c>
      <c r="M427" s="122" t="n"/>
      <c r="N427" s="123">
        <f>IF(SUM(I427:M427)=0,"",SUM(I427:M427))</f>
        <v/>
      </c>
      <c r="O427" s="124">
        <f>IF(A427="","",TEXT(A427,"yyyy-mm"))</f>
        <v/>
      </c>
      <c r="P427" s="121">
        <f>IF(A427="","",YEAR(A427))</f>
        <v/>
      </c>
      <c r="Q427" s="121">
        <f>IF(A427="","",MONTH(A427))</f>
        <v/>
      </c>
      <c r="R427" s="116" t="n"/>
      <c r="S427" s="116" t="n"/>
      <c r="T427" s="120" t="n"/>
      <c r="U427" s="122" t="n">
        <v>0</v>
      </c>
      <c r="V427" s="123">
        <f>IF(B427="","",N427-U427)</f>
        <v/>
      </c>
      <c r="W427" s="116" t="n"/>
      <c r="X427" s="125">
        <f>IF(B427="","",IF(LEFT(B427,2)="NC",-1,1))</f>
        <v/>
      </c>
      <c r="Y427" s="123">
        <f>IF(B427="",0,N(I427)*X427)</f>
        <v/>
      </c>
      <c r="Z427" s="123">
        <f>IF(B427="",0,N(J427)*X427)</f>
        <v/>
      </c>
      <c r="AA427" s="123">
        <f>IF(B427="",0,N(K427)*X427)</f>
        <v/>
      </c>
      <c r="AB427" s="123">
        <f>IF(B427="",0,N(L427)*X427)</f>
        <v/>
      </c>
      <c r="AC427" s="123">
        <f>IF(B427="",0,N(N427)*X427)</f>
        <v/>
      </c>
    </row>
    <row r="428" ht="15" customHeight="1" s="83">
      <c r="A428" s="120" t="n"/>
      <c r="B428" s="116" t="n"/>
      <c r="C428" s="116" t="n"/>
      <c r="D428" s="116" t="n"/>
      <c r="E428" s="116" t="n"/>
      <c r="F428" s="116" t="n"/>
      <c r="G428" s="116" t="n"/>
      <c r="H428" s="121">
        <f>IF(G428="","",IF(ISNUMBER(SEARCH("CAPITA",UPPER(G428))),651110,IF(ISNUMBER(SEARCH("REFUERZO",UPPER(G428))),651110,IF(ISNUMBER(SEARCH("VACUNACION",UPPER(G428))),651110,IF(ISNUMBER(SEARCH("ENFERMERIA",UPPER(G428))),651110,IF(ISNUMBER(SEARCH("APORTES",UPPER(G428))),651110,IF(ISNUMBER(SEARCH("HONORARIOS",UPPER(G428))),702010,IF(ISNUMBER(SEARCH("ADMINISTRACION",UPPER(G428))),702010,IF(ISNUMBER(SEARCH("GERENCIAMIENTO",UPPER(G428))),702010,IF(ISNUMBER(SEARCH("ALQUILER",UPPER(G428))),702010,IF(ISNUMBER(SEARCH("AUDITORIA",UPPER(G428))),702010,IF(ISNUMBER(SEARCH("PRESTACIONAL",UPPER(G428))),702010,702010))))))))))))</f>
        <v/>
      </c>
      <c r="I428" s="122" t="n"/>
      <c r="J428" s="122" t="n"/>
      <c r="K428" s="123">
        <f>IF(N(I428)&gt;0,ROUND(N(I428)*IVA_general,2),0)</f>
        <v/>
      </c>
      <c r="L428" s="122" t="n">
        <v>0</v>
      </c>
      <c r="M428" s="122" t="n"/>
      <c r="N428" s="123">
        <f>IF(SUM(I428:M428)=0,"",SUM(I428:M428))</f>
        <v/>
      </c>
      <c r="O428" s="124">
        <f>IF(A428="","",TEXT(A428,"yyyy-mm"))</f>
        <v/>
      </c>
      <c r="P428" s="121">
        <f>IF(A428="","",YEAR(A428))</f>
        <v/>
      </c>
      <c r="Q428" s="121">
        <f>IF(A428="","",MONTH(A428))</f>
        <v/>
      </c>
      <c r="R428" s="116" t="n"/>
      <c r="S428" s="116" t="n"/>
      <c r="T428" s="120" t="n"/>
      <c r="U428" s="122" t="n">
        <v>0</v>
      </c>
      <c r="V428" s="123">
        <f>IF(B428="","",N428-U428)</f>
        <v/>
      </c>
      <c r="W428" s="116" t="n"/>
      <c r="X428" s="125">
        <f>IF(B428="","",IF(LEFT(B428,2)="NC",-1,1))</f>
        <v/>
      </c>
      <c r="Y428" s="123">
        <f>IF(B428="",0,N(I428)*X428)</f>
        <v/>
      </c>
      <c r="Z428" s="123">
        <f>IF(B428="",0,N(J428)*X428)</f>
        <v/>
      </c>
      <c r="AA428" s="123">
        <f>IF(B428="",0,N(K428)*X428)</f>
        <v/>
      </c>
      <c r="AB428" s="123">
        <f>IF(B428="",0,N(L428)*X428)</f>
        <v/>
      </c>
      <c r="AC428" s="123">
        <f>IF(B428="",0,N(N428)*X428)</f>
        <v/>
      </c>
    </row>
    <row r="429" ht="15" customHeight="1" s="83">
      <c r="A429" s="120" t="n"/>
      <c r="B429" s="116" t="n"/>
      <c r="C429" s="116" t="n"/>
      <c r="D429" s="116" t="n"/>
      <c r="E429" s="116" t="n"/>
      <c r="F429" s="116" t="n"/>
      <c r="G429" s="116" t="n"/>
      <c r="H429" s="121">
        <f>IF(G429="","",IF(ISNUMBER(SEARCH("CAPITA",UPPER(G429))),651110,IF(ISNUMBER(SEARCH("REFUERZO",UPPER(G429))),651110,IF(ISNUMBER(SEARCH("VACUNACION",UPPER(G429))),651110,IF(ISNUMBER(SEARCH("ENFERMERIA",UPPER(G429))),651110,IF(ISNUMBER(SEARCH("APORTES",UPPER(G429))),651110,IF(ISNUMBER(SEARCH("HONORARIOS",UPPER(G429))),702010,IF(ISNUMBER(SEARCH("ADMINISTRACION",UPPER(G429))),702010,IF(ISNUMBER(SEARCH("GERENCIAMIENTO",UPPER(G429))),702010,IF(ISNUMBER(SEARCH("ALQUILER",UPPER(G429))),702010,IF(ISNUMBER(SEARCH("AUDITORIA",UPPER(G429))),702010,IF(ISNUMBER(SEARCH("PRESTACIONAL",UPPER(G429))),702010,702010))))))))))))</f>
        <v/>
      </c>
      <c r="I429" s="122" t="n"/>
      <c r="J429" s="122" t="n"/>
      <c r="K429" s="123">
        <f>IF(N(I429)&gt;0,ROUND(N(I429)*IVA_general,2),0)</f>
        <v/>
      </c>
      <c r="L429" s="122" t="n">
        <v>0</v>
      </c>
      <c r="M429" s="122" t="n"/>
      <c r="N429" s="123">
        <f>IF(SUM(I429:M429)=0,"",SUM(I429:M429))</f>
        <v/>
      </c>
      <c r="O429" s="124">
        <f>IF(A429="","",TEXT(A429,"yyyy-mm"))</f>
        <v/>
      </c>
      <c r="P429" s="121">
        <f>IF(A429="","",YEAR(A429))</f>
        <v/>
      </c>
      <c r="Q429" s="121">
        <f>IF(A429="","",MONTH(A429))</f>
        <v/>
      </c>
      <c r="R429" s="116" t="n"/>
      <c r="S429" s="116" t="n"/>
      <c r="T429" s="120" t="n"/>
      <c r="U429" s="122" t="n">
        <v>0</v>
      </c>
      <c r="V429" s="123">
        <f>IF(B429="","",N429-U429)</f>
        <v/>
      </c>
      <c r="W429" s="116" t="n"/>
      <c r="X429" s="125">
        <f>IF(B429="","",IF(LEFT(B429,2)="NC",-1,1))</f>
        <v/>
      </c>
      <c r="Y429" s="123">
        <f>IF(B429="",0,N(I429)*X429)</f>
        <v/>
      </c>
      <c r="Z429" s="123">
        <f>IF(B429="",0,N(J429)*X429)</f>
        <v/>
      </c>
      <c r="AA429" s="123">
        <f>IF(B429="",0,N(K429)*X429)</f>
        <v/>
      </c>
      <c r="AB429" s="123">
        <f>IF(B429="",0,N(L429)*X429)</f>
        <v/>
      </c>
      <c r="AC429" s="123">
        <f>IF(B429="",0,N(N429)*X429)</f>
        <v/>
      </c>
    </row>
    <row r="430" ht="15" customHeight="1" s="83">
      <c r="A430" s="120" t="n"/>
      <c r="B430" s="116" t="n"/>
      <c r="C430" s="116" t="n"/>
      <c r="D430" s="116" t="n"/>
      <c r="E430" s="116" t="n"/>
      <c r="F430" s="116" t="n"/>
      <c r="G430" s="116" t="n"/>
      <c r="H430" s="121">
        <f>IF(G430="","",IF(ISNUMBER(SEARCH("CAPITA",UPPER(G430))),651110,IF(ISNUMBER(SEARCH("REFUERZO",UPPER(G430))),651110,IF(ISNUMBER(SEARCH("VACUNACION",UPPER(G430))),651110,IF(ISNUMBER(SEARCH("ENFERMERIA",UPPER(G430))),651110,IF(ISNUMBER(SEARCH("APORTES",UPPER(G430))),651110,IF(ISNUMBER(SEARCH("HONORARIOS",UPPER(G430))),702010,IF(ISNUMBER(SEARCH("ADMINISTRACION",UPPER(G430))),702010,IF(ISNUMBER(SEARCH("GERENCIAMIENTO",UPPER(G430))),702010,IF(ISNUMBER(SEARCH("ALQUILER",UPPER(G430))),702010,IF(ISNUMBER(SEARCH("AUDITORIA",UPPER(G430))),702010,IF(ISNUMBER(SEARCH("PRESTACIONAL",UPPER(G430))),702010,702010))))))))))))</f>
        <v/>
      </c>
      <c r="I430" s="122" t="n"/>
      <c r="J430" s="122" t="n"/>
      <c r="K430" s="123">
        <f>IF(N(I430)&gt;0,ROUND(N(I430)*IVA_general,2),0)</f>
        <v/>
      </c>
      <c r="L430" s="122" t="n">
        <v>0</v>
      </c>
      <c r="M430" s="122" t="n"/>
      <c r="N430" s="123">
        <f>IF(SUM(I430:M430)=0,"",SUM(I430:M430))</f>
        <v/>
      </c>
      <c r="O430" s="124">
        <f>IF(A430="","",TEXT(A430,"yyyy-mm"))</f>
        <v/>
      </c>
      <c r="P430" s="121">
        <f>IF(A430="","",YEAR(A430))</f>
        <v/>
      </c>
      <c r="Q430" s="121">
        <f>IF(A430="","",MONTH(A430))</f>
        <v/>
      </c>
      <c r="R430" s="116" t="n"/>
      <c r="S430" s="116" t="n"/>
      <c r="T430" s="120" t="n"/>
      <c r="U430" s="122" t="n">
        <v>0</v>
      </c>
      <c r="V430" s="123">
        <f>IF(B430="","",N430-U430)</f>
        <v/>
      </c>
      <c r="W430" s="116" t="n"/>
      <c r="X430" s="125">
        <f>IF(B430="","",IF(LEFT(B430,2)="NC",-1,1))</f>
        <v/>
      </c>
      <c r="Y430" s="123">
        <f>IF(B430="",0,N(I430)*X430)</f>
        <v/>
      </c>
      <c r="Z430" s="123">
        <f>IF(B430="",0,N(J430)*X430)</f>
        <v/>
      </c>
      <c r="AA430" s="123">
        <f>IF(B430="",0,N(K430)*X430)</f>
        <v/>
      </c>
      <c r="AB430" s="123">
        <f>IF(B430="",0,N(L430)*X430)</f>
        <v/>
      </c>
      <c r="AC430" s="123">
        <f>IF(B430="",0,N(N430)*X430)</f>
        <v/>
      </c>
    </row>
    <row r="431" ht="15" customHeight="1" s="83">
      <c r="A431" s="120" t="n"/>
      <c r="B431" s="116" t="n"/>
      <c r="C431" s="116" t="n"/>
      <c r="D431" s="116" t="n"/>
      <c r="E431" s="116" t="n"/>
      <c r="F431" s="116" t="n"/>
      <c r="G431" s="116" t="n"/>
      <c r="H431" s="121">
        <f>IF(G431="","",IF(ISNUMBER(SEARCH("CAPITA",UPPER(G431))),651110,IF(ISNUMBER(SEARCH("REFUERZO",UPPER(G431))),651110,IF(ISNUMBER(SEARCH("VACUNACION",UPPER(G431))),651110,IF(ISNUMBER(SEARCH("ENFERMERIA",UPPER(G431))),651110,IF(ISNUMBER(SEARCH("APORTES",UPPER(G431))),651110,IF(ISNUMBER(SEARCH("HONORARIOS",UPPER(G431))),702010,IF(ISNUMBER(SEARCH("ADMINISTRACION",UPPER(G431))),702010,IF(ISNUMBER(SEARCH("GERENCIAMIENTO",UPPER(G431))),702010,IF(ISNUMBER(SEARCH("ALQUILER",UPPER(G431))),702010,IF(ISNUMBER(SEARCH("AUDITORIA",UPPER(G431))),702010,IF(ISNUMBER(SEARCH("PRESTACIONAL",UPPER(G431))),702010,702010))))))))))))</f>
        <v/>
      </c>
      <c r="I431" s="122" t="n"/>
      <c r="J431" s="122" t="n"/>
      <c r="K431" s="123">
        <f>IF(N(I431)&gt;0,ROUND(N(I431)*IVA_general,2),0)</f>
        <v/>
      </c>
      <c r="L431" s="122" t="n">
        <v>0</v>
      </c>
      <c r="M431" s="122" t="n"/>
      <c r="N431" s="123">
        <f>IF(SUM(I431:M431)=0,"",SUM(I431:M431))</f>
        <v/>
      </c>
      <c r="O431" s="124">
        <f>IF(A431="","",TEXT(A431,"yyyy-mm"))</f>
        <v/>
      </c>
      <c r="P431" s="121">
        <f>IF(A431="","",YEAR(A431))</f>
        <v/>
      </c>
      <c r="Q431" s="121">
        <f>IF(A431="","",MONTH(A431))</f>
        <v/>
      </c>
      <c r="R431" s="116" t="n"/>
      <c r="S431" s="116" t="n"/>
      <c r="T431" s="120" t="n"/>
      <c r="U431" s="122" t="n">
        <v>0</v>
      </c>
      <c r="V431" s="123">
        <f>IF(B431="","",N431-U431)</f>
        <v/>
      </c>
      <c r="W431" s="116" t="n"/>
      <c r="X431" s="125">
        <f>IF(B431="","",IF(LEFT(B431,2)="NC",-1,1))</f>
        <v/>
      </c>
      <c r="Y431" s="123">
        <f>IF(B431="",0,N(I431)*X431)</f>
        <v/>
      </c>
      <c r="Z431" s="123">
        <f>IF(B431="",0,N(J431)*X431)</f>
        <v/>
      </c>
      <c r="AA431" s="123">
        <f>IF(B431="",0,N(K431)*X431)</f>
        <v/>
      </c>
      <c r="AB431" s="123">
        <f>IF(B431="",0,N(L431)*X431)</f>
        <v/>
      </c>
      <c r="AC431" s="123">
        <f>IF(B431="",0,N(N431)*X431)</f>
        <v/>
      </c>
    </row>
    <row r="432" ht="15" customHeight="1" s="83">
      <c r="A432" s="120" t="n"/>
      <c r="B432" s="116" t="n"/>
      <c r="C432" s="116" t="n"/>
      <c r="D432" s="116" t="n"/>
      <c r="E432" s="116" t="n"/>
      <c r="F432" s="116" t="n"/>
      <c r="G432" s="116" t="n"/>
      <c r="H432" s="121">
        <f>IF(G432="","",IF(ISNUMBER(SEARCH("CAPITA",UPPER(G432))),651110,IF(ISNUMBER(SEARCH("REFUERZO",UPPER(G432))),651110,IF(ISNUMBER(SEARCH("VACUNACION",UPPER(G432))),651110,IF(ISNUMBER(SEARCH("ENFERMERIA",UPPER(G432))),651110,IF(ISNUMBER(SEARCH("APORTES",UPPER(G432))),651110,IF(ISNUMBER(SEARCH("HONORARIOS",UPPER(G432))),702010,IF(ISNUMBER(SEARCH("ADMINISTRACION",UPPER(G432))),702010,IF(ISNUMBER(SEARCH("GERENCIAMIENTO",UPPER(G432))),702010,IF(ISNUMBER(SEARCH("ALQUILER",UPPER(G432))),702010,IF(ISNUMBER(SEARCH("AUDITORIA",UPPER(G432))),702010,IF(ISNUMBER(SEARCH("PRESTACIONAL",UPPER(G432))),702010,702010))))))))))))</f>
        <v/>
      </c>
      <c r="I432" s="122" t="n"/>
      <c r="J432" s="122" t="n"/>
      <c r="K432" s="123">
        <f>IF(N(I432)&gt;0,ROUND(N(I432)*IVA_general,2),0)</f>
        <v/>
      </c>
      <c r="L432" s="122" t="n">
        <v>0</v>
      </c>
      <c r="M432" s="122" t="n"/>
      <c r="N432" s="123">
        <f>IF(SUM(I432:M432)=0,"",SUM(I432:M432))</f>
        <v/>
      </c>
      <c r="O432" s="124">
        <f>IF(A432="","",TEXT(A432,"yyyy-mm"))</f>
        <v/>
      </c>
      <c r="P432" s="121">
        <f>IF(A432="","",YEAR(A432))</f>
        <v/>
      </c>
      <c r="Q432" s="121">
        <f>IF(A432="","",MONTH(A432))</f>
        <v/>
      </c>
      <c r="R432" s="116" t="n"/>
      <c r="S432" s="116" t="n"/>
      <c r="T432" s="120" t="n"/>
      <c r="U432" s="122" t="n">
        <v>0</v>
      </c>
      <c r="V432" s="123">
        <f>IF(B432="","",N432-U432)</f>
        <v/>
      </c>
      <c r="W432" s="116" t="n"/>
      <c r="X432" s="125">
        <f>IF(B432="","",IF(LEFT(B432,2)="NC",-1,1))</f>
        <v/>
      </c>
      <c r="Y432" s="123">
        <f>IF(B432="",0,N(I432)*X432)</f>
        <v/>
      </c>
      <c r="Z432" s="123">
        <f>IF(B432="",0,N(J432)*X432)</f>
        <v/>
      </c>
      <c r="AA432" s="123">
        <f>IF(B432="",0,N(K432)*X432)</f>
        <v/>
      </c>
      <c r="AB432" s="123">
        <f>IF(B432="",0,N(L432)*X432)</f>
        <v/>
      </c>
      <c r="AC432" s="123">
        <f>IF(B432="",0,N(N432)*X432)</f>
        <v/>
      </c>
    </row>
    <row r="433" ht="15" customHeight="1" s="83">
      <c r="A433" s="120" t="n"/>
      <c r="B433" s="116" t="n"/>
      <c r="C433" s="116" t="n"/>
      <c r="D433" s="116" t="n"/>
      <c r="E433" s="116" t="n"/>
      <c r="F433" s="116" t="n"/>
      <c r="G433" s="116" t="n"/>
      <c r="H433" s="121">
        <f>IF(G433="","",IF(ISNUMBER(SEARCH("CAPITA",UPPER(G433))),651110,IF(ISNUMBER(SEARCH("REFUERZO",UPPER(G433))),651110,IF(ISNUMBER(SEARCH("VACUNACION",UPPER(G433))),651110,IF(ISNUMBER(SEARCH("ENFERMERIA",UPPER(G433))),651110,IF(ISNUMBER(SEARCH("APORTES",UPPER(G433))),651110,IF(ISNUMBER(SEARCH("HONORARIOS",UPPER(G433))),702010,IF(ISNUMBER(SEARCH("ADMINISTRACION",UPPER(G433))),702010,IF(ISNUMBER(SEARCH("GERENCIAMIENTO",UPPER(G433))),702010,IF(ISNUMBER(SEARCH("ALQUILER",UPPER(G433))),702010,IF(ISNUMBER(SEARCH("AUDITORIA",UPPER(G433))),702010,IF(ISNUMBER(SEARCH("PRESTACIONAL",UPPER(G433))),702010,702010))))))))))))</f>
        <v/>
      </c>
      <c r="I433" s="122" t="n"/>
      <c r="J433" s="122" t="n"/>
      <c r="K433" s="123">
        <f>IF(N(I433)&gt;0,ROUND(N(I433)*IVA_general,2),0)</f>
        <v/>
      </c>
      <c r="L433" s="122" t="n">
        <v>0</v>
      </c>
      <c r="M433" s="122" t="n"/>
      <c r="N433" s="123">
        <f>IF(SUM(I433:M433)=0,"",SUM(I433:M433))</f>
        <v/>
      </c>
      <c r="O433" s="124">
        <f>IF(A433="","",TEXT(A433,"yyyy-mm"))</f>
        <v/>
      </c>
      <c r="P433" s="121">
        <f>IF(A433="","",YEAR(A433))</f>
        <v/>
      </c>
      <c r="Q433" s="121">
        <f>IF(A433="","",MONTH(A433))</f>
        <v/>
      </c>
      <c r="R433" s="116" t="n"/>
      <c r="S433" s="116" t="n"/>
      <c r="T433" s="120" t="n"/>
      <c r="U433" s="122" t="n">
        <v>0</v>
      </c>
      <c r="V433" s="123">
        <f>IF(B433="","",N433-U433)</f>
        <v/>
      </c>
      <c r="W433" s="116" t="n"/>
      <c r="X433" s="125">
        <f>IF(B433="","",IF(LEFT(B433,2)="NC",-1,1))</f>
        <v/>
      </c>
      <c r="Y433" s="123">
        <f>IF(B433="",0,N(I433)*X433)</f>
        <v/>
      </c>
      <c r="Z433" s="123">
        <f>IF(B433="",0,N(J433)*X433)</f>
        <v/>
      </c>
      <c r="AA433" s="123">
        <f>IF(B433="",0,N(K433)*X433)</f>
        <v/>
      </c>
      <c r="AB433" s="123">
        <f>IF(B433="",0,N(L433)*X433)</f>
        <v/>
      </c>
      <c r="AC433" s="123">
        <f>IF(B433="",0,N(N433)*X433)</f>
        <v/>
      </c>
    </row>
    <row r="434" ht="15" customHeight="1" s="83">
      <c r="A434" s="120" t="n"/>
      <c r="B434" s="116" t="n"/>
      <c r="C434" s="116" t="n"/>
      <c r="D434" s="116" t="n"/>
      <c r="E434" s="116" t="n"/>
      <c r="F434" s="116" t="n"/>
      <c r="G434" s="116" t="n"/>
      <c r="H434" s="121">
        <f>IF(G434="","",IF(ISNUMBER(SEARCH("CAPITA",UPPER(G434))),651110,IF(ISNUMBER(SEARCH("REFUERZO",UPPER(G434))),651110,IF(ISNUMBER(SEARCH("VACUNACION",UPPER(G434))),651110,IF(ISNUMBER(SEARCH("ENFERMERIA",UPPER(G434))),651110,IF(ISNUMBER(SEARCH("APORTES",UPPER(G434))),651110,IF(ISNUMBER(SEARCH("HONORARIOS",UPPER(G434))),702010,IF(ISNUMBER(SEARCH("ADMINISTRACION",UPPER(G434))),702010,IF(ISNUMBER(SEARCH("GERENCIAMIENTO",UPPER(G434))),702010,IF(ISNUMBER(SEARCH("ALQUILER",UPPER(G434))),702010,IF(ISNUMBER(SEARCH("AUDITORIA",UPPER(G434))),702010,IF(ISNUMBER(SEARCH("PRESTACIONAL",UPPER(G434))),702010,702010))))))))))))</f>
        <v/>
      </c>
      <c r="I434" s="122" t="n"/>
      <c r="J434" s="122" t="n"/>
      <c r="K434" s="123">
        <f>IF(N(I434)&gt;0,ROUND(N(I434)*IVA_general,2),0)</f>
        <v/>
      </c>
      <c r="L434" s="122" t="n">
        <v>0</v>
      </c>
      <c r="M434" s="122" t="n"/>
      <c r="N434" s="123">
        <f>IF(SUM(I434:M434)=0,"",SUM(I434:M434))</f>
        <v/>
      </c>
      <c r="O434" s="124">
        <f>IF(A434="","",TEXT(A434,"yyyy-mm"))</f>
        <v/>
      </c>
      <c r="P434" s="121">
        <f>IF(A434="","",YEAR(A434))</f>
        <v/>
      </c>
      <c r="Q434" s="121">
        <f>IF(A434="","",MONTH(A434))</f>
        <v/>
      </c>
      <c r="R434" s="116" t="n"/>
      <c r="S434" s="116" t="n"/>
      <c r="T434" s="120" t="n"/>
      <c r="U434" s="122" t="n">
        <v>0</v>
      </c>
      <c r="V434" s="123">
        <f>IF(B434="","",N434-U434)</f>
        <v/>
      </c>
      <c r="W434" s="116" t="n"/>
      <c r="X434" s="125">
        <f>IF(B434="","",IF(LEFT(B434,2)="NC",-1,1))</f>
        <v/>
      </c>
      <c r="Y434" s="123">
        <f>IF(B434="",0,N(I434)*X434)</f>
        <v/>
      </c>
      <c r="Z434" s="123">
        <f>IF(B434="",0,N(J434)*X434)</f>
        <v/>
      </c>
      <c r="AA434" s="123">
        <f>IF(B434="",0,N(K434)*X434)</f>
        <v/>
      </c>
      <c r="AB434" s="123">
        <f>IF(B434="",0,N(L434)*X434)</f>
        <v/>
      </c>
      <c r="AC434" s="123">
        <f>IF(B434="",0,N(N434)*X434)</f>
        <v/>
      </c>
    </row>
    <row r="435" ht="15" customHeight="1" s="83">
      <c r="A435" s="120" t="n"/>
      <c r="B435" s="116" t="n"/>
      <c r="C435" s="116" t="n"/>
      <c r="D435" s="116" t="n"/>
      <c r="E435" s="116" t="n"/>
      <c r="F435" s="116" t="n"/>
      <c r="G435" s="116" t="n"/>
      <c r="H435" s="121">
        <f>IF(G435="","",IF(ISNUMBER(SEARCH("CAPITA",UPPER(G435))),651110,IF(ISNUMBER(SEARCH("REFUERZO",UPPER(G435))),651110,IF(ISNUMBER(SEARCH("VACUNACION",UPPER(G435))),651110,IF(ISNUMBER(SEARCH("ENFERMERIA",UPPER(G435))),651110,IF(ISNUMBER(SEARCH("APORTES",UPPER(G435))),651110,IF(ISNUMBER(SEARCH("HONORARIOS",UPPER(G435))),702010,IF(ISNUMBER(SEARCH("ADMINISTRACION",UPPER(G435))),702010,IF(ISNUMBER(SEARCH("GERENCIAMIENTO",UPPER(G435))),702010,IF(ISNUMBER(SEARCH("ALQUILER",UPPER(G435))),702010,IF(ISNUMBER(SEARCH("AUDITORIA",UPPER(G435))),702010,IF(ISNUMBER(SEARCH("PRESTACIONAL",UPPER(G435))),702010,702010))))))))))))</f>
        <v/>
      </c>
      <c r="I435" s="122" t="n"/>
      <c r="J435" s="122" t="n"/>
      <c r="K435" s="123">
        <f>IF(N(I435)&gt;0,ROUND(N(I435)*IVA_general,2),0)</f>
        <v/>
      </c>
      <c r="L435" s="122" t="n">
        <v>0</v>
      </c>
      <c r="M435" s="122" t="n"/>
      <c r="N435" s="123">
        <f>IF(SUM(I435:M435)=0,"",SUM(I435:M435))</f>
        <v/>
      </c>
      <c r="O435" s="124">
        <f>IF(A435="","",TEXT(A435,"yyyy-mm"))</f>
        <v/>
      </c>
      <c r="P435" s="121">
        <f>IF(A435="","",YEAR(A435))</f>
        <v/>
      </c>
      <c r="Q435" s="121">
        <f>IF(A435="","",MONTH(A435))</f>
        <v/>
      </c>
      <c r="R435" s="116" t="n"/>
      <c r="S435" s="116" t="n"/>
      <c r="T435" s="120" t="n"/>
      <c r="U435" s="122" t="n">
        <v>0</v>
      </c>
      <c r="V435" s="123">
        <f>IF(B435="","",N435-U435)</f>
        <v/>
      </c>
      <c r="W435" s="116" t="n"/>
      <c r="X435" s="125">
        <f>IF(B435="","",IF(LEFT(B435,2)="NC",-1,1))</f>
        <v/>
      </c>
      <c r="Y435" s="123">
        <f>IF(B435="",0,N(I435)*X435)</f>
        <v/>
      </c>
      <c r="Z435" s="123">
        <f>IF(B435="",0,N(J435)*X435)</f>
        <v/>
      </c>
      <c r="AA435" s="123">
        <f>IF(B435="",0,N(K435)*X435)</f>
        <v/>
      </c>
      <c r="AB435" s="123">
        <f>IF(B435="",0,N(L435)*X435)</f>
        <v/>
      </c>
      <c r="AC435" s="123">
        <f>IF(B435="",0,N(N435)*X435)</f>
        <v/>
      </c>
    </row>
    <row r="436" ht="15" customHeight="1" s="83">
      <c r="A436" s="120" t="n"/>
      <c r="B436" s="116" t="n"/>
      <c r="C436" s="116" t="n"/>
      <c r="D436" s="116" t="n"/>
      <c r="E436" s="116" t="n"/>
      <c r="F436" s="116" t="n"/>
      <c r="G436" s="116" t="n"/>
      <c r="H436" s="121">
        <f>IF(G436="","",IF(ISNUMBER(SEARCH("CAPITA",UPPER(G436))),651110,IF(ISNUMBER(SEARCH("REFUERZO",UPPER(G436))),651110,IF(ISNUMBER(SEARCH("VACUNACION",UPPER(G436))),651110,IF(ISNUMBER(SEARCH("ENFERMERIA",UPPER(G436))),651110,IF(ISNUMBER(SEARCH("APORTES",UPPER(G436))),651110,IF(ISNUMBER(SEARCH("HONORARIOS",UPPER(G436))),702010,IF(ISNUMBER(SEARCH("ADMINISTRACION",UPPER(G436))),702010,IF(ISNUMBER(SEARCH("GERENCIAMIENTO",UPPER(G436))),702010,IF(ISNUMBER(SEARCH("ALQUILER",UPPER(G436))),702010,IF(ISNUMBER(SEARCH("AUDITORIA",UPPER(G436))),702010,IF(ISNUMBER(SEARCH("PRESTACIONAL",UPPER(G436))),702010,702010))))))))))))</f>
        <v/>
      </c>
      <c r="I436" s="122" t="n"/>
      <c r="J436" s="122" t="n"/>
      <c r="K436" s="123">
        <f>IF(N(I436)&gt;0,ROUND(N(I436)*IVA_general,2),0)</f>
        <v/>
      </c>
      <c r="L436" s="122" t="n">
        <v>0</v>
      </c>
      <c r="M436" s="122" t="n"/>
      <c r="N436" s="123">
        <f>IF(SUM(I436:M436)=0,"",SUM(I436:M436))</f>
        <v/>
      </c>
      <c r="O436" s="124">
        <f>IF(A436="","",TEXT(A436,"yyyy-mm"))</f>
        <v/>
      </c>
      <c r="P436" s="121">
        <f>IF(A436="","",YEAR(A436))</f>
        <v/>
      </c>
      <c r="Q436" s="121">
        <f>IF(A436="","",MONTH(A436))</f>
        <v/>
      </c>
      <c r="R436" s="116" t="n"/>
      <c r="S436" s="116" t="n"/>
      <c r="T436" s="120" t="n"/>
      <c r="U436" s="122" t="n">
        <v>0</v>
      </c>
      <c r="V436" s="123">
        <f>IF(B436="","",N436-U436)</f>
        <v/>
      </c>
      <c r="W436" s="116" t="n"/>
      <c r="X436" s="125">
        <f>IF(B436="","",IF(LEFT(B436,2)="NC",-1,1))</f>
        <v/>
      </c>
      <c r="Y436" s="123">
        <f>IF(B436="",0,N(I436)*X436)</f>
        <v/>
      </c>
      <c r="Z436" s="123">
        <f>IF(B436="",0,N(J436)*X436)</f>
        <v/>
      </c>
      <c r="AA436" s="123">
        <f>IF(B436="",0,N(K436)*X436)</f>
        <v/>
      </c>
      <c r="AB436" s="123">
        <f>IF(B436="",0,N(L436)*X436)</f>
        <v/>
      </c>
      <c r="AC436" s="123">
        <f>IF(B436="",0,N(N436)*X436)</f>
        <v/>
      </c>
    </row>
    <row r="437" ht="15" customHeight="1" s="83">
      <c r="A437" s="120" t="n"/>
      <c r="B437" s="116" t="n"/>
      <c r="C437" s="116" t="n"/>
      <c r="D437" s="116" t="n"/>
      <c r="E437" s="116" t="n"/>
      <c r="F437" s="116" t="n"/>
      <c r="G437" s="116" t="n"/>
      <c r="H437" s="121">
        <f>IF(G437="","",IF(ISNUMBER(SEARCH("CAPITA",UPPER(G437))),651110,IF(ISNUMBER(SEARCH("REFUERZO",UPPER(G437))),651110,IF(ISNUMBER(SEARCH("VACUNACION",UPPER(G437))),651110,IF(ISNUMBER(SEARCH("ENFERMERIA",UPPER(G437))),651110,IF(ISNUMBER(SEARCH("APORTES",UPPER(G437))),651110,IF(ISNUMBER(SEARCH("HONORARIOS",UPPER(G437))),702010,IF(ISNUMBER(SEARCH("ADMINISTRACION",UPPER(G437))),702010,IF(ISNUMBER(SEARCH("GERENCIAMIENTO",UPPER(G437))),702010,IF(ISNUMBER(SEARCH("ALQUILER",UPPER(G437))),702010,IF(ISNUMBER(SEARCH("AUDITORIA",UPPER(G437))),702010,IF(ISNUMBER(SEARCH("PRESTACIONAL",UPPER(G437))),702010,702010))))))))))))</f>
        <v/>
      </c>
      <c r="I437" s="122" t="n"/>
      <c r="J437" s="122" t="n"/>
      <c r="K437" s="123">
        <f>IF(N(I437)&gt;0,ROUND(N(I437)*IVA_general,2),0)</f>
        <v/>
      </c>
      <c r="L437" s="122" t="n">
        <v>0</v>
      </c>
      <c r="M437" s="122" t="n"/>
      <c r="N437" s="123">
        <f>IF(SUM(I437:M437)=0,"",SUM(I437:M437))</f>
        <v/>
      </c>
      <c r="O437" s="124">
        <f>IF(A437="","",TEXT(A437,"yyyy-mm"))</f>
        <v/>
      </c>
      <c r="P437" s="121">
        <f>IF(A437="","",YEAR(A437))</f>
        <v/>
      </c>
      <c r="Q437" s="121">
        <f>IF(A437="","",MONTH(A437))</f>
        <v/>
      </c>
      <c r="R437" s="116" t="n"/>
      <c r="S437" s="116" t="n"/>
      <c r="T437" s="120" t="n"/>
      <c r="U437" s="122" t="n">
        <v>0</v>
      </c>
      <c r="V437" s="123">
        <f>IF(B437="","",N437-U437)</f>
        <v/>
      </c>
      <c r="W437" s="116" t="n"/>
      <c r="X437" s="125">
        <f>IF(B437="","",IF(LEFT(B437,2)="NC",-1,1))</f>
        <v/>
      </c>
      <c r="Y437" s="123">
        <f>IF(B437="",0,N(I437)*X437)</f>
        <v/>
      </c>
      <c r="Z437" s="123">
        <f>IF(B437="",0,N(J437)*X437)</f>
        <v/>
      </c>
      <c r="AA437" s="123">
        <f>IF(B437="",0,N(K437)*X437)</f>
        <v/>
      </c>
      <c r="AB437" s="123">
        <f>IF(B437="",0,N(L437)*X437)</f>
        <v/>
      </c>
      <c r="AC437" s="123">
        <f>IF(B437="",0,N(N437)*X437)</f>
        <v/>
      </c>
    </row>
    <row r="438" ht="15" customHeight="1" s="83">
      <c r="A438" s="120" t="n"/>
      <c r="B438" s="116" t="n"/>
      <c r="C438" s="116" t="n"/>
      <c r="D438" s="116" t="n"/>
      <c r="E438" s="116" t="n"/>
      <c r="F438" s="116" t="n"/>
      <c r="G438" s="116" t="n"/>
      <c r="H438" s="121">
        <f>IF(G438="","",IF(ISNUMBER(SEARCH("CAPITA",UPPER(G438))),651110,IF(ISNUMBER(SEARCH("REFUERZO",UPPER(G438))),651110,IF(ISNUMBER(SEARCH("VACUNACION",UPPER(G438))),651110,IF(ISNUMBER(SEARCH("ENFERMERIA",UPPER(G438))),651110,IF(ISNUMBER(SEARCH("APORTES",UPPER(G438))),651110,IF(ISNUMBER(SEARCH("HONORARIOS",UPPER(G438))),702010,IF(ISNUMBER(SEARCH("ADMINISTRACION",UPPER(G438))),702010,IF(ISNUMBER(SEARCH("GERENCIAMIENTO",UPPER(G438))),702010,IF(ISNUMBER(SEARCH("ALQUILER",UPPER(G438))),702010,IF(ISNUMBER(SEARCH("AUDITORIA",UPPER(G438))),702010,IF(ISNUMBER(SEARCH("PRESTACIONAL",UPPER(G438))),702010,702010))))))))))))</f>
        <v/>
      </c>
      <c r="I438" s="122" t="n"/>
      <c r="J438" s="122" t="n"/>
      <c r="K438" s="123">
        <f>IF(N(I438)&gt;0,ROUND(N(I438)*IVA_general,2),0)</f>
        <v/>
      </c>
      <c r="L438" s="122" t="n">
        <v>0</v>
      </c>
      <c r="M438" s="122" t="n"/>
      <c r="N438" s="123">
        <f>IF(SUM(I438:M438)=0,"",SUM(I438:M438))</f>
        <v/>
      </c>
      <c r="O438" s="124">
        <f>IF(A438="","",TEXT(A438,"yyyy-mm"))</f>
        <v/>
      </c>
      <c r="P438" s="121">
        <f>IF(A438="","",YEAR(A438))</f>
        <v/>
      </c>
      <c r="Q438" s="121">
        <f>IF(A438="","",MONTH(A438))</f>
        <v/>
      </c>
      <c r="R438" s="116" t="n"/>
      <c r="S438" s="116" t="n"/>
      <c r="T438" s="120" t="n"/>
      <c r="U438" s="122" t="n">
        <v>0</v>
      </c>
      <c r="V438" s="123">
        <f>IF(B438="","",N438-U438)</f>
        <v/>
      </c>
      <c r="W438" s="116" t="n"/>
      <c r="X438" s="125">
        <f>IF(B438="","",IF(LEFT(B438,2)="NC",-1,1))</f>
        <v/>
      </c>
      <c r="Y438" s="123">
        <f>IF(B438="",0,N(I438)*X438)</f>
        <v/>
      </c>
      <c r="Z438" s="123">
        <f>IF(B438="",0,N(J438)*X438)</f>
        <v/>
      </c>
      <c r="AA438" s="123">
        <f>IF(B438="",0,N(K438)*X438)</f>
        <v/>
      </c>
      <c r="AB438" s="123">
        <f>IF(B438="",0,N(L438)*X438)</f>
        <v/>
      </c>
      <c r="AC438" s="123">
        <f>IF(B438="",0,N(N438)*X438)</f>
        <v/>
      </c>
    </row>
    <row r="439" ht="15" customHeight="1" s="83">
      <c r="A439" s="120" t="n"/>
      <c r="B439" s="116" t="n"/>
      <c r="C439" s="116" t="n"/>
      <c r="D439" s="116" t="n"/>
      <c r="E439" s="116" t="n"/>
      <c r="F439" s="116" t="n"/>
      <c r="G439" s="116" t="n"/>
      <c r="H439" s="121">
        <f>IF(G439="","",IF(ISNUMBER(SEARCH("CAPITA",UPPER(G439))),651110,IF(ISNUMBER(SEARCH("REFUERZO",UPPER(G439))),651110,IF(ISNUMBER(SEARCH("VACUNACION",UPPER(G439))),651110,IF(ISNUMBER(SEARCH("ENFERMERIA",UPPER(G439))),651110,IF(ISNUMBER(SEARCH("APORTES",UPPER(G439))),651110,IF(ISNUMBER(SEARCH("HONORARIOS",UPPER(G439))),702010,IF(ISNUMBER(SEARCH("ADMINISTRACION",UPPER(G439))),702010,IF(ISNUMBER(SEARCH("GERENCIAMIENTO",UPPER(G439))),702010,IF(ISNUMBER(SEARCH("ALQUILER",UPPER(G439))),702010,IF(ISNUMBER(SEARCH("AUDITORIA",UPPER(G439))),702010,IF(ISNUMBER(SEARCH("PRESTACIONAL",UPPER(G439))),702010,702010))))))))))))</f>
        <v/>
      </c>
      <c r="I439" s="122" t="n"/>
      <c r="J439" s="122" t="n"/>
      <c r="K439" s="123">
        <f>IF(N(I439)&gt;0,ROUND(N(I439)*IVA_general,2),0)</f>
        <v/>
      </c>
      <c r="L439" s="122" t="n">
        <v>0</v>
      </c>
      <c r="M439" s="122" t="n"/>
      <c r="N439" s="123">
        <f>IF(SUM(I439:M439)=0,"",SUM(I439:M439))</f>
        <v/>
      </c>
      <c r="O439" s="124">
        <f>IF(A439="","",TEXT(A439,"yyyy-mm"))</f>
        <v/>
      </c>
      <c r="P439" s="121">
        <f>IF(A439="","",YEAR(A439))</f>
        <v/>
      </c>
      <c r="Q439" s="121">
        <f>IF(A439="","",MONTH(A439))</f>
        <v/>
      </c>
      <c r="R439" s="116" t="n"/>
      <c r="S439" s="116" t="n"/>
      <c r="T439" s="120" t="n"/>
      <c r="U439" s="122" t="n">
        <v>0</v>
      </c>
      <c r="V439" s="123">
        <f>IF(B439="","",N439-U439)</f>
        <v/>
      </c>
      <c r="W439" s="116" t="n"/>
      <c r="X439" s="125">
        <f>IF(B439="","",IF(LEFT(B439,2)="NC",-1,1))</f>
        <v/>
      </c>
      <c r="Y439" s="123">
        <f>IF(B439="",0,N(I439)*X439)</f>
        <v/>
      </c>
      <c r="Z439" s="123">
        <f>IF(B439="",0,N(J439)*X439)</f>
        <v/>
      </c>
      <c r="AA439" s="123">
        <f>IF(B439="",0,N(K439)*X439)</f>
        <v/>
      </c>
      <c r="AB439" s="123">
        <f>IF(B439="",0,N(L439)*X439)</f>
        <v/>
      </c>
      <c r="AC439" s="123">
        <f>IF(B439="",0,N(N439)*X439)</f>
        <v/>
      </c>
    </row>
    <row r="440" ht="15" customHeight="1" s="83">
      <c r="A440" s="120" t="n"/>
      <c r="B440" s="116" t="n"/>
      <c r="C440" s="116" t="n"/>
      <c r="D440" s="116" t="n"/>
      <c r="E440" s="116" t="n"/>
      <c r="F440" s="116" t="n"/>
      <c r="G440" s="116" t="n"/>
      <c r="H440" s="121">
        <f>IF(G440="","",IF(ISNUMBER(SEARCH("CAPITA",UPPER(G440))),651110,IF(ISNUMBER(SEARCH("REFUERZO",UPPER(G440))),651110,IF(ISNUMBER(SEARCH("VACUNACION",UPPER(G440))),651110,IF(ISNUMBER(SEARCH("ENFERMERIA",UPPER(G440))),651110,IF(ISNUMBER(SEARCH("APORTES",UPPER(G440))),651110,IF(ISNUMBER(SEARCH("HONORARIOS",UPPER(G440))),702010,IF(ISNUMBER(SEARCH("ADMINISTRACION",UPPER(G440))),702010,IF(ISNUMBER(SEARCH("GERENCIAMIENTO",UPPER(G440))),702010,IF(ISNUMBER(SEARCH("ALQUILER",UPPER(G440))),702010,IF(ISNUMBER(SEARCH("AUDITORIA",UPPER(G440))),702010,IF(ISNUMBER(SEARCH("PRESTACIONAL",UPPER(G440))),702010,702010))))))))))))</f>
        <v/>
      </c>
      <c r="I440" s="122" t="n"/>
      <c r="J440" s="122" t="n"/>
      <c r="K440" s="123">
        <f>IF(N(I440)&gt;0,ROUND(N(I440)*IVA_general,2),0)</f>
        <v/>
      </c>
      <c r="L440" s="122" t="n">
        <v>0</v>
      </c>
      <c r="M440" s="122" t="n"/>
      <c r="N440" s="123">
        <f>IF(SUM(I440:M440)=0,"",SUM(I440:M440))</f>
        <v/>
      </c>
      <c r="O440" s="124">
        <f>IF(A440="","",TEXT(A440,"yyyy-mm"))</f>
        <v/>
      </c>
      <c r="P440" s="121">
        <f>IF(A440="","",YEAR(A440))</f>
        <v/>
      </c>
      <c r="Q440" s="121">
        <f>IF(A440="","",MONTH(A440))</f>
        <v/>
      </c>
      <c r="R440" s="116" t="n"/>
      <c r="S440" s="116" t="n"/>
      <c r="T440" s="120" t="n"/>
      <c r="U440" s="122" t="n">
        <v>0</v>
      </c>
      <c r="V440" s="123">
        <f>IF(B440="","",N440-U440)</f>
        <v/>
      </c>
      <c r="W440" s="116" t="n"/>
      <c r="X440" s="125">
        <f>IF(B440="","",IF(LEFT(B440,2)="NC",-1,1))</f>
        <v/>
      </c>
      <c r="Y440" s="123">
        <f>IF(B440="",0,N(I440)*X440)</f>
        <v/>
      </c>
      <c r="Z440" s="123">
        <f>IF(B440="",0,N(J440)*X440)</f>
        <v/>
      </c>
      <c r="AA440" s="123">
        <f>IF(B440="",0,N(K440)*X440)</f>
        <v/>
      </c>
      <c r="AB440" s="123">
        <f>IF(B440="",0,N(L440)*X440)</f>
        <v/>
      </c>
      <c r="AC440" s="123">
        <f>IF(B440="",0,N(N440)*X440)</f>
        <v/>
      </c>
    </row>
    <row r="441" ht="15" customHeight="1" s="83">
      <c r="A441" s="120" t="n"/>
      <c r="B441" s="116" t="n"/>
      <c r="C441" s="116" t="n"/>
      <c r="D441" s="116" t="n"/>
      <c r="E441" s="116" t="n"/>
      <c r="F441" s="116" t="n"/>
      <c r="G441" s="116" t="n"/>
      <c r="H441" s="121">
        <f>IF(G441="","",IF(ISNUMBER(SEARCH("CAPITA",UPPER(G441))),651110,IF(ISNUMBER(SEARCH("REFUERZO",UPPER(G441))),651110,IF(ISNUMBER(SEARCH("VACUNACION",UPPER(G441))),651110,IF(ISNUMBER(SEARCH("ENFERMERIA",UPPER(G441))),651110,IF(ISNUMBER(SEARCH("APORTES",UPPER(G441))),651110,IF(ISNUMBER(SEARCH("HONORARIOS",UPPER(G441))),702010,IF(ISNUMBER(SEARCH("ADMINISTRACION",UPPER(G441))),702010,IF(ISNUMBER(SEARCH("GERENCIAMIENTO",UPPER(G441))),702010,IF(ISNUMBER(SEARCH("ALQUILER",UPPER(G441))),702010,IF(ISNUMBER(SEARCH("AUDITORIA",UPPER(G441))),702010,IF(ISNUMBER(SEARCH("PRESTACIONAL",UPPER(G441))),702010,702010))))))))))))</f>
        <v/>
      </c>
      <c r="I441" s="122" t="n"/>
      <c r="J441" s="122" t="n"/>
      <c r="K441" s="123">
        <f>IF(N(I441)&gt;0,ROUND(N(I441)*IVA_general,2),0)</f>
        <v/>
      </c>
      <c r="L441" s="122" t="n">
        <v>0</v>
      </c>
      <c r="M441" s="122" t="n"/>
      <c r="N441" s="123">
        <f>IF(SUM(I441:M441)=0,"",SUM(I441:M441))</f>
        <v/>
      </c>
      <c r="O441" s="124">
        <f>IF(A441="","",TEXT(A441,"yyyy-mm"))</f>
        <v/>
      </c>
      <c r="P441" s="121">
        <f>IF(A441="","",YEAR(A441))</f>
        <v/>
      </c>
      <c r="Q441" s="121">
        <f>IF(A441="","",MONTH(A441))</f>
        <v/>
      </c>
      <c r="R441" s="116" t="n"/>
      <c r="S441" s="116" t="n"/>
      <c r="T441" s="120" t="n"/>
      <c r="U441" s="122" t="n">
        <v>0</v>
      </c>
      <c r="V441" s="123">
        <f>IF(B441="","",N441-U441)</f>
        <v/>
      </c>
      <c r="W441" s="116" t="n"/>
      <c r="X441" s="125">
        <f>IF(B441="","",IF(LEFT(B441,2)="NC",-1,1))</f>
        <v/>
      </c>
      <c r="Y441" s="123">
        <f>IF(B441="",0,N(I441)*X441)</f>
        <v/>
      </c>
      <c r="Z441" s="123">
        <f>IF(B441="",0,N(J441)*X441)</f>
        <v/>
      </c>
      <c r="AA441" s="123">
        <f>IF(B441="",0,N(K441)*X441)</f>
        <v/>
      </c>
      <c r="AB441" s="123">
        <f>IF(B441="",0,N(L441)*X441)</f>
        <v/>
      </c>
      <c r="AC441" s="123">
        <f>IF(B441="",0,N(N441)*X441)</f>
        <v/>
      </c>
    </row>
    <row r="442" ht="15" customHeight="1" s="83">
      <c r="A442" s="120" t="n"/>
      <c r="B442" s="116" t="n"/>
      <c r="C442" s="116" t="n"/>
      <c r="D442" s="116" t="n"/>
      <c r="E442" s="116" t="n"/>
      <c r="F442" s="116" t="n"/>
      <c r="G442" s="116" t="n"/>
      <c r="H442" s="121">
        <f>IF(G442="","",IF(ISNUMBER(SEARCH("CAPITA",UPPER(G442))),651110,IF(ISNUMBER(SEARCH("REFUERZO",UPPER(G442))),651110,IF(ISNUMBER(SEARCH("VACUNACION",UPPER(G442))),651110,IF(ISNUMBER(SEARCH("ENFERMERIA",UPPER(G442))),651110,IF(ISNUMBER(SEARCH("APORTES",UPPER(G442))),651110,IF(ISNUMBER(SEARCH("HONORARIOS",UPPER(G442))),702010,IF(ISNUMBER(SEARCH("ADMINISTRACION",UPPER(G442))),702010,IF(ISNUMBER(SEARCH("GERENCIAMIENTO",UPPER(G442))),702010,IF(ISNUMBER(SEARCH("ALQUILER",UPPER(G442))),702010,IF(ISNUMBER(SEARCH("AUDITORIA",UPPER(G442))),702010,IF(ISNUMBER(SEARCH("PRESTACIONAL",UPPER(G442))),702010,702010))))))))))))</f>
        <v/>
      </c>
      <c r="I442" s="122" t="n"/>
      <c r="J442" s="122" t="n"/>
      <c r="K442" s="123">
        <f>IF(N(I442)&gt;0,ROUND(N(I442)*IVA_general,2),0)</f>
        <v/>
      </c>
      <c r="L442" s="122" t="n">
        <v>0</v>
      </c>
      <c r="M442" s="122" t="n"/>
      <c r="N442" s="123">
        <f>IF(SUM(I442:M442)=0,"",SUM(I442:M442))</f>
        <v/>
      </c>
      <c r="O442" s="124">
        <f>IF(A442="","",TEXT(A442,"yyyy-mm"))</f>
        <v/>
      </c>
      <c r="P442" s="121">
        <f>IF(A442="","",YEAR(A442))</f>
        <v/>
      </c>
      <c r="Q442" s="121">
        <f>IF(A442="","",MONTH(A442))</f>
        <v/>
      </c>
      <c r="R442" s="116" t="n"/>
      <c r="S442" s="116" t="n"/>
      <c r="T442" s="120" t="n"/>
      <c r="U442" s="122" t="n">
        <v>0</v>
      </c>
      <c r="V442" s="123">
        <f>IF(B442="","",N442-U442)</f>
        <v/>
      </c>
      <c r="W442" s="116" t="n"/>
      <c r="X442" s="125">
        <f>IF(B442="","",IF(LEFT(B442,2)="NC",-1,1))</f>
        <v/>
      </c>
      <c r="Y442" s="123">
        <f>IF(B442="",0,N(I442)*X442)</f>
        <v/>
      </c>
      <c r="Z442" s="123">
        <f>IF(B442="",0,N(J442)*X442)</f>
        <v/>
      </c>
      <c r="AA442" s="123">
        <f>IF(B442="",0,N(K442)*X442)</f>
        <v/>
      </c>
      <c r="AB442" s="123">
        <f>IF(B442="",0,N(L442)*X442)</f>
        <v/>
      </c>
      <c r="AC442" s="123">
        <f>IF(B442="",0,N(N442)*X442)</f>
        <v/>
      </c>
    </row>
    <row r="443" ht="15" customHeight="1" s="83">
      <c r="A443" s="120" t="n"/>
      <c r="B443" s="116" t="n"/>
      <c r="C443" s="116" t="n"/>
      <c r="D443" s="116" t="n"/>
      <c r="E443" s="116" t="n"/>
      <c r="F443" s="116" t="n"/>
      <c r="G443" s="116" t="n"/>
      <c r="H443" s="121">
        <f>IF(G443="","",IF(ISNUMBER(SEARCH("CAPITA",UPPER(G443))),651110,IF(ISNUMBER(SEARCH("REFUERZO",UPPER(G443))),651110,IF(ISNUMBER(SEARCH("VACUNACION",UPPER(G443))),651110,IF(ISNUMBER(SEARCH("ENFERMERIA",UPPER(G443))),651110,IF(ISNUMBER(SEARCH("APORTES",UPPER(G443))),651110,IF(ISNUMBER(SEARCH("HONORARIOS",UPPER(G443))),702010,IF(ISNUMBER(SEARCH("ADMINISTRACION",UPPER(G443))),702010,IF(ISNUMBER(SEARCH("GERENCIAMIENTO",UPPER(G443))),702010,IF(ISNUMBER(SEARCH("ALQUILER",UPPER(G443))),702010,IF(ISNUMBER(SEARCH("AUDITORIA",UPPER(G443))),702010,IF(ISNUMBER(SEARCH("PRESTACIONAL",UPPER(G443))),702010,702010))))))))))))</f>
        <v/>
      </c>
      <c r="I443" s="122" t="n"/>
      <c r="J443" s="122" t="n"/>
      <c r="K443" s="123">
        <f>IF(N(I443)&gt;0,ROUND(N(I443)*IVA_general,2),0)</f>
        <v/>
      </c>
      <c r="L443" s="122" t="n">
        <v>0</v>
      </c>
      <c r="M443" s="122" t="n"/>
      <c r="N443" s="123">
        <f>IF(SUM(I443:M443)=0,"",SUM(I443:M443))</f>
        <v/>
      </c>
      <c r="O443" s="124">
        <f>IF(A443="","",TEXT(A443,"yyyy-mm"))</f>
        <v/>
      </c>
      <c r="P443" s="121">
        <f>IF(A443="","",YEAR(A443))</f>
        <v/>
      </c>
      <c r="Q443" s="121">
        <f>IF(A443="","",MONTH(A443))</f>
        <v/>
      </c>
      <c r="R443" s="116" t="n"/>
      <c r="S443" s="116" t="n"/>
      <c r="T443" s="120" t="n"/>
      <c r="U443" s="122" t="n">
        <v>0</v>
      </c>
      <c r="V443" s="123">
        <f>IF(B443="","",N443-U443)</f>
        <v/>
      </c>
      <c r="W443" s="116" t="n"/>
      <c r="X443" s="125">
        <f>IF(B443="","",IF(LEFT(B443,2)="NC",-1,1))</f>
        <v/>
      </c>
      <c r="Y443" s="123">
        <f>IF(B443="",0,N(I443)*X443)</f>
        <v/>
      </c>
      <c r="Z443" s="123">
        <f>IF(B443="",0,N(J443)*X443)</f>
        <v/>
      </c>
      <c r="AA443" s="123">
        <f>IF(B443="",0,N(K443)*X443)</f>
        <v/>
      </c>
      <c r="AB443" s="123">
        <f>IF(B443="",0,N(L443)*X443)</f>
        <v/>
      </c>
      <c r="AC443" s="123">
        <f>IF(B443="",0,N(N443)*X443)</f>
        <v/>
      </c>
    </row>
    <row r="444" ht="15" customHeight="1" s="83">
      <c r="A444" s="120" t="n"/>
      <c r="B444" s="116" t="n"/>
      <c r="C444" s="116" t="n"/>
      <c r="D444" s="116" t="n"/>
      <c r="E444" s="116" t="n"/>
      <c r="F444" s="116" t="n"/>
      <c r="G444" s="116" t="n"/>
      <c r="H444" s="121">
        <f>IF(G444="","",IF(ISNUMBER(SEARCH("CAPITA",UPPER(G444))),651110,IF(ISNUMBER(SEARCH("REFUERZO",UPPER(G444))),651110,IF(ISNUMBER(SEARCH("VACUNACION",UPPER(G444))),651110,IF(ISNUMBER(SEARCH("ENFERMERIA",UPPER(G444))),651110,IF(ISNUMBER(SEARCH("APORTES",UPPER(G444))),651110,IF(ISNUMBER(SEARCH("HONORARIOS",UPPER(G444))),702010,IF(ISNUMBER(SEARCH("ADMINISTRACION",UPPER(G444))),702010,IF(ISNUMBER(SEARCH("GERENCIAMIENTO",UPPER(G444))),702010,IF(ISNUMBER(SEARCH("ALQUILER",UPPER(G444))),702010,IF(ISNUMBER(SEARCH("AUDITORIA",UPPER(G444))),702010,IF(ISNUMBER(SEARCH("PRESTACIONAL",UPPER(G444))),702010,702010))))))))))))</f>
        <v/>
      </c>
      <c r="I444" s="122" t="n"/>
      <c r="J444" s="122" t="n"/>
      <c r="K444" s="123">
        <f>IF(N(I444)&gt;0,ROUND(N(I444)*IVA_general,2),0)</f>
        <v/>
      </c>
      <c r="L444" s="122" t="n">
        <v>0</v>
      </c>
      <c r="M444" s="122" t="n"/>
      <c r="N444" s="123">
        <f>IF(SUM(I444:M444)=0,"",SUM(I444:M444))</f>
        <v/>
      </c>
      <c r="O444" s="124">
        <f>IF(A444="","",TEXT(A444,"yyyy-mm"))</f>
        <v/>
      </c>
      <c r="P444" s="121">
        <f>IF(A444="","",YEAR(A444))</f>
        <v/>
      </c>
      <c r="Q444" s="121">
        <f>IF(A444="","",MONTH(A444))</f>
        <v/>
      </c>
      <c r="R444" s="116" t="n"/>
      <c r="S444" s="116" t="n"/>
      <c r="T444" s="120" t="n"/>
      <c r="U444" s="122" t="n">
        <v>0</v>
      </c>
      <c r="V444" s="123">
        <f>IF(B444="","",N444-U444)</f>
        <v/>
      </c>
      <c r="W444" s="116" t="n"/>
      <c r="X444" s="125">
        <f>IF(B444="","",IF(LEFT(B444,2)="NC",-1,1))</f>
        <v/>
      </c>
      <c r="Y444" s="123">
        <f>IF(B444="",0,N(I444)*X444)</f>
        <v/>
      </c>
      <c r="Z444" s="123">
        <f>IF(B444="",0,N(J444)*X444)</f>
        <v/>
      </c>
      <c r="AA444" s="123">
        <f>IF(B444="",0,N(K444)*X444)</f>
        <v/>
      </c>
      <c r="AB444" s="123">
        <f>IF(B444="",0,N(L444)*X444)</f>
        <v/>
      </c>
      <c r="AC444" s="123">
        <f>IF(B444="",0,N(N444)*X444)</f>
        <v/>
      </c>
    </row>
    <row r="445" ht="15" customHeight="1" s="83">
      <c r="A445" s="120" t="n"/>
      <c r="B445" s="116" t="n"/>
      <c r="C445" s="116" t="n"/>
      <c r="D445" s="116" t="n"/>
      <c r="E445" s="116" t="n"/>
      <c r="F445" s="116" t="n"/>
      <c r="G445" s="116" t="n"/>
      <c r="H445" s="121">
        <f>IF(G445="","",IF(ISNUMBER(SEARCH("CAPITA",UPPER(G445))),651110,IF(ISNUMBER(SEARCH("REFUERZO",UPPER(G445))),651110,IF(ISNUMBER(SEARCH("VACUNACION",UPPER(G445))),651110,IF(ISNUMBER(SEARCH("ENFERMERIA",UPPER(G445))),651110,IF(ISNUMBER(SEARCH("APORTES",UPPER(G445))),651110,IF(ISNUMBER(SEARCH("HONORARIOS",UPPER(G445))),702010,IF(ISNUMBER(SEARCH("ADMINISTRACION",UPPER(G445))),702010,IF(ISNUMBER(SEARCH("GERENCIAMIENTO",UPPER(G445))),702010,IF(ISNUMBER(SEARCH("ALQUILER",UPPER(G445))),702010,IF(ISNUMBER(SEARCH("AUDITORIA",UPPER(G445))),702010,IF(ISNUMBER(SEARCH("PRESTACIONAL",UPPER(G445))),702010,702010))))))))))))</f>
        <v/>
      </c>
      <c r="I445" s="122" t="n"/>
      <c r="J445" s="122" t="n"/>
      <c r="K445" s="123">
        <f>IF(N(I445)&gt;0,ROUND(N(I445)*IVA_general,2),0)</f>
        <v/>
      </c>
      <c r="L445" s="122" t="n">
        <v>0</v>
      </c>
      <c r="M445" s="122" t="n"/>
      <c r="N445" s="123">
        <f>IF(SUM(I445:M445)=0,"",SUM(I445:M445))</f>
        <v/>
      </c>
      <c r="O445" s="124">
        <f>IF(A445="","",TEXT(A445,"yyyy-mm"))</f>
        <v/>
      </c>
      <c r="P445" s="121">
        <f>IF(A445="","",YEAR(A445))</f>
        <v/>
      </c>
      <c r="Q445" s="121">
        <f>IF(A445="","",MONTH(A445))</f>
        <v/>
      </c>
      <c r="R445" s="116" t="n"/>
      <c r="S445" s="116" t="n"/>
      <c r="T445" s="120" t="n"/>
      <c r="U445" s="122" t="n">
        <v>0</v>
      </c>
      <c r="V445" s="123">
        <f>IF(B445="","",N445-U445)</f>
        <v/>
      </c>
      <c r="W445" s="116" t="n"/>
      <c r="X445" s="125">
        <f>IF(B445="","",IF(LEFT(B445,2)="NC",-1,1))</f>
        <v/>
      </c>
      <c r="Y445" s="123">
        <f>IF(B445="",0,N(I445)*X445)</f>
        <v/>
      </c>
      <c r="Z445" s="123">
        <f>IF(B445="",0,N(J445)*X445)</f>
        <v/>
      </c>
      <c r="AA445" s="123">
        <f>IF(B445="",0,N(K445)*X445)</f>
        <v/>
      </c>
      <c r="AB445" s="123">
        <f>IF(B445="",0,N(L445)*X445)</f>
        <v/>
      </c>
      <c r="AC445" s="123">
        <f>IF(B445="",0,N(N445)*X445)</f>
        <v/>
      </c>
    </row>
    <row r="446" ht="15" customHeight="1" s="83">
      <c r="A446" s="120" t="n"/>
      <c r="B446" s="116" t="n"/>
      <c r="C446" s="116" t="n"/>
      <c r="D446" s="116" t="n"/>
      <c r="E446" s="116" t="n"/>
      <c r="F446" s="116" t="n"/>
      <c r="G446" s="116" t="n"/>
      <c r="H446" s="121">
        <f>IF(G446="","",IF(ISNUMBER(SEARCH("CAPITA",UPPER(G446))),651110,IF(ISNUMBER(SEARCH("REFUERZO",UPPER(G446))),651110,IF(ISNUMBER(SEARCH("VACUNACION",UPPER(G446))),651110,IF(ISNUMBER(SEARCH("ENFERMERIA",UPPER(G446))),651110,IF(ISNUMBER(SEARCH("APORTES",UPPER(G446))),651110,IF(ISNUMBER(SEARCH("HONORARIOS",UPPER(G446))),702010,IF(ISNUMBER(SEARCH("ADMINISTRACION",UPPER(G446))),702010,IF(ISNUMBER(SEARCH("GERENCIAMIENTO",UPPER(G446))),702010,IF(ISNUMBER(SEARCH("ALQUILER",UPPER(G446))),702010,IF(ISNUMBER(SEARCH("AUDITORIA",UPPER(G446))),702010,IF(ISNUMBER(SEARCH("PRESTACIONAL",UPPER(G446))),702010,702010))))))))))))</f>
        <v/>
      </c>
      <c r="I446" s="122" t="n"/>
      <c r="J446" s="122" t="n"/>
      <c r="K446" s="123">
        <f>IF(N(I446)&gt;0,ROUND(N(I446)*IVA_general,2),0)</f>
        <v/>
      </c>
      <c r="L446" s="122" t="n">
        <v>0</v>
      </c>
      <c r="M446" s="122" t="n"/>
      <c r="N446" s="123">
        <f>IF(SUM(I446:M446)=0,"",SUM(I446:M446))</f>
        <v/>
      </c>
      <c r="O446" s="124">
        <f>IF(A446="","",TEXT(A446,"yyyy-mm"))</f>
        <v/>
      </c>
      <c r="P446" s="121">
        <f>IF(A446="","",YEAR(A446))</f>
        <v/>
      </c>
      <c r="Q446" s="121">
        <f>IF(A446="","",MONTH(A446))</f>
        <v/>
      </c>
      <c r="R446" s="116" t="n"/>
      <c r="S446" s="116" t="n"/>
      <c r="T446" s="120" t="n"/>
      <c r="U446" s="122" t="n">
        <v>0</v>
      </c>
      <c r="V446" s="123">
        <f>IF(B446="","",N446-U446)</f>
        <v/>
      </c>
      <c r="W446" s="116" t="n"/>
      <c r="X446" s="125">
        <f>IF(B446="","",IF(LEFT(B446,2)="NC",-1,1))</f>
        <v/>
      </c>
      <c r="Y446" s="123">
        <f>IF(B446="",0,N(I446)*X446)</f>
        <v/>
      </c>
      <c r="Z446" s="123">
        <f>IF(B446="",0,N(J446)*X446)</f>
        <v/>
      </c>
      <c r="AA446" s="123">
        <f>IF(B446="",0,N(K446)*X446)</f>
        <v/>
      </c>
      <c r="AB446" s="123">
        <f>IF(B446="",0,N(L446)*X446)</f>
        <v/>
      </c>
      <c r="AC446" s="123">
        <f>IF(B446="",0,N(N446)*X446)</f>
        <v/>
      </c>
    </row>
    <row r="447" ht="15" customHeight="1" s="83">
      <c r="A447" s="120" t="n"/>
      <c r="B447" s="116" t="n"/>
      <c r="C447" s="116" t="n"/>
      <c r="D447" s="116" t="n"/>
      <c r="E447" s="116" t="n"/>
      <c r="F447" s="116" t="n"/>
      <c r="G447" s="116" t="n"/>
      <c r="H447" s="121">
        <f>IF(G447="","",IF(ISNUMBER(SEARCH("CAPITA",UPPER(G447))),651110,IF(ISNUMBER(SEARCH("REFUERZO",UPPER(G447))),651110,IF(ISNUMBER(SEARCH("VACUNACION",UPPER(G447))),651110,IF(ISNUMBER(SEARCH("ENFERMERIA",UPPER(G447))),651110,IF(ISNUMBER(SEARCH("APORTES",UPPER(G447))),651110,IF(ISNUMBER(SEARCH("HONORARIOS",UPPER(G447))),702010,IF(ISNUMBER(SEARCH("ADMINISTRACION",UPPER(G447))),702010,IF(ISNUMBER(SEARCH("GERENCIAMIENTO",UPPER(G447))),702010,IF(ISNUMBER(SEARCH("ALQUILER",UPPER(G447))),702010,IF(ISNUMBER(SEARCH("AUDITORIA",UPPER(G447))),702010,IF(ISNUMBER(SEARCH("PRESTACIONAL",UPPER(G447))),702010,702010))))))))))))</f>
        <v/>
      </c>
      <c r="I447" s="122" t="n"/>
      <c r="J447" s="122" t="n"/>
      <c r="K447" s="123">
        <f>IF(N(I447)&gt;0,ROUND(N(I447)*IVA_general,2),0)</f>
        <v/>
      </c>
      <c r="L447" s="122" t="n">
        <v>0</v>
      </c>
      <c r="M447" s="122" t="n"/>
      <c r="N447" s="123">
        <f>IF(SUM(I447:M447)=0,"",SUM(I447:M447))</f>
        <v/>
      </c>
      <c r="O447" s="124">
        <f>IF(A447="","",TEXT(A447,"yyyy-mm"))</f>
        <v/>
      </c>
      <c r="P447" s="121">
        <f>IF(A447="","",YEAR(A447))</f>
        <v/>
      </c>
      <c r="Q447" s="121">
        <f>IF(A447="","",MONTH(A447))</f>
        <v/>
      </c>
      <c r="R447" s="116" t="n"/>
      <c r="S447" s="116" t="n"/>
      <c r="T447" s="120" t="n"/>
      <c r="U447" s="122" t="n">
        <v>0</v>
      </c>
      <c r="V447" s="123">
        <f>IF(B447="","",N447-U447)</f>
        <v/>
      </c>
      <c r="W447" s="116" t="n"/>
      <c r="X447" s="125">
        <f>IF(B447="","",IF(LEFT(B447,2)="NC",-1,1))</f>
        <v/>
      </c>
      <c r="Y447" s="123">
        <f>IF(B447="",0,N(I447)*X447)</f>
        <v/>
      </c>
      <c r="Z447" s="123">
        <f>IF(B447="",0,N(J447)*X447)</f>
        <v/>
      </c>
      <c r="AA447" s="123">
        <f>IF(B447="",0,N(K447)*X447)</f>
        <v/>
      </c>
      <c r="AB447" s="123">
        <f>IF(B447="",0,N(L447)*X447)</f>
        <v/>
      </c>
      <c r="AC447" s="123">
        <f>IF(B447="",0,N(N447)*X447)</f>
        <v/>
      </c>
    </row>
    <row r="448" ht="15" customHeight="1" s="83">
      <c r="A448" s="120" t="n"/>
      <c r="B448" s="116" t="n"/>
      <c r="C448" s="116" t="n"/>
      <c r="D448" s="116" t="n"/>
      <c r="E448" s="116" t="n"/>
      <c r="F448" s="116" t="n"/>
      <c r="G448" s="116" t="n"/>
      <c r="H448" s="121">
        <f>IF(G448="","",IF(ISNUMBER(SEARCH("CAPITA",UPPER(G448))),651110,IF(ISNUMBER(SEARCH("REFUERZO",UPPER(G448))),651110,IF(ISNUMBER(SEARCH("VACUNACION",UPPER(G448))),651110,IF(ISNUMBER(SEARCH("ENFERMERIA",UPPER(G448))),651110,IF(ISNUMBER(SEARCH("APORTES",UPPER(G448))),651110,IF(ISNUMBER(SEARCH("HONORARIOS",UPPER(G448))),702010,IF(ISNUMBER(SEARCH("ADMINISTRACION",UPPER(G448))),702010,IF(ISNUMBER(SEARCH("GERENCIAMIENTO",UPPER(G448))),702010,IF(ISNUMBER(SEARCH("ALQUILER",UPPER(G448))),702010,IF(ISNUMBER(SEARCH("AUDITORIA",UPPER(G448))),702010,IF(ISNUMBER(SEARCH("PRESTACIONAL",UPPER(G448))),702010,702010))))))))))))</f>
        <v/>
      </c>
      <c r="I448" s="122" t="n"/>
      <c r="J448" s="122" t="n"/>
      <c r="K448" s="123">
        <f>IF(N(I448)&gt;0,ROUND(N(I448)*IVA_general,2),0)</f>
        <v/>
      </c>
      <c r="L448" s="122" t="n">
        <v>0</v>
      </c>
      <c r="M448" s="122" t="n"/>
      <c r="N448" s="123">
        <f>IF(SUM(I448:M448)=0,"",SUM(I448:M448))</f>
        <v/>
      </c>
      <c r="O448" s="124">
        <f>IF(A448="","",TEXT(A448,"yyyy-mm"))</f>
        <v/>
      </c>
      <c r="P448" s="121">
        <f>IF(A448="","",YEAR(A448))</f>
        <v/>
      </c>
      <c r="Q448" s="121">
        <f>IF(A448="","",MONTH(A448))</f>
        <v/>
      </c>
      <c r="R448" s="116" t="n"/>
      <c r="S448" s="116" t="n"/>
      <c r="T448" s="120" t="n"/>
      <c r="U448" s="122" t="n">
        <v>0</v>
      </c>
      <c r="V448" s="123">
        <f>IF(B448="","",N448-U448)</f>
        <v/>
      </c>
      <c r="W448" s="116" t="n"/>
      <c r="X448" s="125">
        <f>IF(B448="","",IF(LEFT(B448,2)="NC",-1,1))</f>
        <v/>
      </c>
      <c r="Y448" s="123">
        <f>IF(B448="",0,N(I448)*X448)</f>
        <v/>
      </c>
      <c r="Z448" s="123">
        <f>IF(B448="",0,N(J448)*X448)</f>
        <v/>
      </c>
      <c r="AA448" s="123">
        <f>IF(B448="",0,N(K448)*X448)</f>
        <v/>
      </c>
      <c r="AB448" s="123">
        <f>IF(B448="",0,N(L448)*X448)</f>
        <v/>
      </c>
      <c r="AC448" s="123">
        <f>IF(B448="",0,N(N448)*X448)</f>
        <v/>
      </c>
    </row>
    <row r="449" ht="15" customHeight="1" s="83">
      <c r="A449" s="120" t="n"/>
      <c r="B449" s="116" t="n"/>
      <c r="C449" s="116" t="n"/>
      <c r="D449" s="116" t="n"/>
      <c r="E449" s="116" t="n"/>
      <c r="F449" s="116" t="n"/>
      <c r="G449" s="116" t="n"/>
      <c r="H449" s="121">
        <f>IF(G449="","",IF(ISNUMBER(SEARCH("CAPITA",UPPER(G449))),651110,IF(ISNUMBER(SEARCH("REFUERZO",UPPER(G449))),651110,IF(ISNUMBER(SEARCH("VACUNACION",UPPER(G449))),651110,IF(ISNUMBER(SEARCH("ENFERMERIA",UPPER(G449))),651110,IF(ISNUMBER(SEARCH("APORTES",UPPER(G449))),651110,IF(ISNUMBER(SEARCH("HONORARIOS",UPPER(G449))),702010,IF(ISNUMBER(SEARCH("ADMINISTRACION",UPPER(G449))),702010,IF(ISNUMBER(SEARCH("GERENCIAMIENTO",UPPER(G449))),702010,IF(ISNUMBER(SEARCH("ALQUILER",UPPER(G449))),702010,IF(ISNUMBER(SEARCH("AUDITORIA",UPPER(G449))),702010,IF(ISNUMBER(SEARCH("PRESTACIONAL",UPPER(G449))),702010,702010))))))))))))</f>
        <v/>
      </c>
      <c r="I449" s="122" t="n"/>
      <c r="J449" s="122" t="n"/>
      <c r="K449" s="123">
        <f>IF(N(I449)&gt;0,ROUND(N(I449)*IVA_general,2),0)</f>
        <v/>
      </c>
      <c r="L449" s="122" t="n">
        <v>0</v>
      </c>
      <c r="M449" s="122" t="n"/>
      <c r="N449" s="123">
        <f>IF(SUM(I449:M449)=0,"",SUM(I449:M449))</f>
        <v/>
      </c>
      <c r="O449" s="124">
        <f>IF(A449="","",TEXT(A449,"yyyy-mm"))</f>
        <v/>
      </c>
      <c r="P449" s="121">
        <f>IF(A449="","",YEAR(A449))</f>
        <v/>
      </c>
      <c r="Q449" s="121">
        <f>IF(A449="","",MONTH(A449))</f>
        <v/>
      </c>
      <c r="R449" s="116" t="n"/>
      <c r="S449" s="116" t="n"/>
      <c r="T449" s="120" t="n"/>
      <c r="U449" s="122" t="n">
        <v>0</v>
      </c>
      <c r="V449" s="123">
        <f>IF(B449="","",N449-U449)</f>
        <v/>
      </c>
      <c r="W449" s="116" t="n"/>
      <c r="X449" s="125">
        <f>IF(B449="","",IF(LEFT(B449,2)="NC",-1,1))</f>
        <v/>
      </c>
      <c r="Y449" s="123">
        <f>IF(B449="",0,N(I449)*X449)</f>
        <v/>
      </c>
      <c r="Z449" s="123">
        <f>IF(B449="",0,N(J449)*X449)</f>
        <v/>
      </c>
      <c r="AA449" s="123">
        <f>IF(B449="",0,N(K449)*X449)</f>
        <v/>
      </c>
      <c r="AB449" s="123">
        <f>IF(B449="",0,N(L449)*X449)</f>
        <v/>
      </c>
      <c r="AC449" s="123">
        <f>IF(B449="",0,N(N449)*X449)</f>
        <v/>
      </c>
    </row>
    <row r="450" ht="15" customHeight="1" s="83">
      <c r="A450" s="120" t="n"/>
      <c r="B450" s="116" t="n"/>
      <c r="C450" s="116" t="n"/>
      <c r="D450" s="116" t="n"/>
      <c r="E450" s="116" t="n"/>
      <c r="F450" s="116" t="n"/>
      <c r="G450" s="116" t="n"/>
      <c r="H450" s="121">
        <f>IF(G450="","",IF(ISNUMBER(SEARCH("CAPITA",UPPER(G450))),651110,IF(ISNUMBER(SEARCH("REFUERZO",UPPER(G450))),651110,IF(ISNUMBER(SEARCH("VACUNACION",UPPER(G450))),651110,IF(ISNUMBER(SEARCH("ENFERMERIA",UPPER(G450))),651110,IF(ISNUMBER(SEARCH("APORTES",UPPER(G450))),651110,IF(ISNUMBER(SEARCH("HONORARIOS",UPPER(G450))),702010,IF(ISNUMBER(SEARCH("ADMINISTRACION",UPPER(G450))),702010,IF(ISNUMBER(SEARCH("GERENCIAMIENTO",UPPER(G450))),702010,IF(ISNUMBER(SEARCH("ALQUILER",UPPER(G450))),702010,IF(ISNUMBER(SEARCH("AUDITORIA",UPPER(G450))),702010,IF(ISNUMBER(SEARCH("PRESTACIONAL",UPPER(G450))),702010,702010))))))))))))</f>
        <v/>
      </c>
      <c r="I450" s="122" t="n"/>
      <c r="J450" s="122" t="n"/>
      <c r="K450" s="123">
        <f>IF(N(I450)&gt;0,ROUND(N(I450)*IVA_general,2),0)</f>
        <v/>
      </c>
      <c r="L450" s="122" t="n">
        <v>0</v>
      </c>
      <c r="M450" s="122" t="n"/>
      <c r="N450" s="123">
        <f>IF(SUM(I450:M450)=0,"",SUM(I450:M450))</f>
        <v/>
      </c>
      <c r="O450" s="124">
        <f>IF(A450="","",TEXT(A450,"yyyy-mm"))</f>
        <v/>
      </c>
      <c r="P450" s="121">
        <f>IF(A450="","",YEAR(A450))</f>
        <v/>
      </c>
      <c r="Q450" s="121">
        <f>IF(A450="","",MONTH(A450))</f>
        <v/>
      </c>
      <c r="R450" s="116" t="n"/>
      <c r="S450" s="116" t="n"/>
      <c r="T450" s="120" t="n"/>
      <c r="U450" s="122" t="n">
        <v>0</v>
      </c>
      <c r="V450" s="123">
        <f>IF(B450="","",N450-U450)</f>
        <v/>
      </c>
      <c r="W450" s="116" t="n"/>
      <c r="X450" s="125">
        <f>IF(B450="","",IF(LEFT(B450,2)="NC",-1,1))</f>
        <v/>
      </c>
      <c r="Y450" s="123">
        <f>IF(B450="",0,N(I450)*X450)</f>
        <v/>
      </c>
      <c r="Z450" s="123">
        <f>IF(B450="",0,N(J450)*X450)</f>
        <v/>
      </c>
      <c r="AA450" s="123">
        <f>IF(B450="",0,N(K450)*X450)</f>
        <v/>
      </c>
      <c r="AB450" s="123">
        <f>IF(B450="",0,N(L450)*X450)</f>
        <v/>
      </c>
      <c r="AC450" s="123">
        <f>IF(B450="",0,N(N450)*X450)</f>
        <v/>
      </c>
    </row>
    <row r="451" ht="15" customHeight="1" s="83">
      <c r="A451" s="120" t="n"/>
      <c r="B451" s="116" t="n"/>
      <c r="C451" s="116" t="n"/>
      <c r="D451" s="116" t="n"/>
      <c r="E451" s="116" t="n"/>
      <c r="F451" s="116" t="n"/>
      <c r="G451" s="116" t="n"/>
      <c r="H451" s="121">
        <f>IF(G451="","",IF(ISNUMBER(SEARCH("CAPITA",UPPER(G451))),651110,IF(ISNUMBER(SEARCH("REFUERZO",UPPER(G451))),651110,IF(ISNUMBER(SEARCH("VACUNACION",UPPER(G451))),651110,IF(ISNUMBER(SEARCH("ENFERMERIA",UPPER(G451))),651110,IF(ISNUMBER(SEARCH("APORTES",UPPER(G451))),651110,IF(ISNUMBER(SEARCH("HONORARIOS",UPPER(G451))),702010,IF(ISNUMBER(SEARCH("ADMINISTRACION",UPPER(G451))),702010,IF(ISNUMBER(SEARCH("GERENCIAMIENTO",UPPER(G451))),702010,IF(ISNUMBER(SEARCH("ALQUILER",UPPER(G451))),702010,IF(ISNUMBER(SEARCH("AUDITORIA",UPPER(G451))),702010,IF(ISNUMBER(SEARCH("PRESTACIONAL",UPPER(G451))),702010,702010))))))))))))</f>
        <v/>
      </c>
      <c r="I451" s="122" t="n"/>
      <c r="J451" s="122" t="n"/>
      <c r="K451" s="123">
        <f>IF(N(I451)&gt;0,ROUND(N(I451)*IVA_general,2),0)</f>
        <v/>
      </c>
      <c r="L451" s="122" t="n">
        <v>0</v>
      </c>
      <c r="M451" s="122" t="n"/>
      <c r="N451" s="123">
        <f>IF(SUM(I451:M451)=0,"",SUM(I451:M451))</f>
        <v/>
      </c>
      <c r="O451" s="124">
        <f>IF(A451="","",TEXT(A451,"yyyy-mm"))</f>
        <v/>
      </c>
      <c r="P451" s="121">
        <f>IF(A451="","",YEAR(A451))</f>
        <v/>
      </c>
      <c r="Q451" s="121">
        <f>IF(A451="","",MONTH(A451))</f>
        <v/>
      </c>
      <c r="R451" s="116" t="n"/>
      <c r="S451" s="116" t="n"/>
      <c r="T451" s="120" t="n"/>
      <c r="U451" s="122" t="n">
        <v>0</v>
      </c>
      <c r="V451" s="123">
        <f>IF(B451="","",N451-U451)</f>
        <v/>
      </c>
      <c r="W451" s="116" t="n"/>
      <c r="X451" s="125">
        <f>IF(B451="","",IF(LEFT(B451,2)="NC",-1,1))</f>
        <v/>
      </c>
      <c r="Y451" s="123">
        <f>IF(B451="",0,N(I451)*X451)</f>
        <v/>
      </c>
      <c r="Z451" s="123">
        <f>IF(B451="",0,N(J451)*X451)</f>
        <v/>
      </c>
      <c r="AA451" s="123">
        <f>IF(B451="",0,N(K451)*X451)</f>
        <v/>
      </c>
      <c r="AB451" s="123">
        <f>IF(B451="",0,N(L451)*X451)</f>
        <v/>
      </c>
      <c r="AC451" s="123">
        <f>IF(B451="",0,N(N451)*X451)</f>
        <v/>
      </c>
    </row>
    <row r="452" ht="15" customHeight="1" s="83">
      <c r="A452" s="120" t="n"/>
      <c r="B452" s="116" t="n"/>
      <c r="C452" s="116" t="n"/>
      <c r="D452" s="116" t="n"/>
      <c r="E452" s="116" t="n"/>
      <c r="F452" s="116" t="n"/>
      <c r="G452" s="116" t="n"/>
      <c r="H452" s="121">
        <f>IF(G452="","",IF(ISNUMBER(SEARCH("CAPITA",UPPER(G452))),651110,IF(ISNUMBER(SEARCH("REFUERZO",UPPER(G452))),651110,IF(ISNUMBER(SEARCH("VACUNACION",UPPER(G452))),651110,IF(ISNUMBER(SEARCH("ENFERMERIA",UPPER(G452))),651110,IF(ISNUMBER(SEARCH("APORTES",UPPER(G452))),651110,IF(ISNUMBER(SEARCH("HONORARIOS",UPPER(G452))),702010,IF(ISNUMBER(SEARCH("ADMINISTRACION",UPPER(G452))),702010,IF(ISNUMBER(SEARCH("GERENCIAMIENTO",UPPER(G452))),702010,IF(ISNUMBER(SEARCH("ALQUILER",UPPER(G452))),702010,IF(ISNUMBER(SEARCH("AUDITORIA",UPPER(G452))),702010,IF(ISNUMBER(SEARCH("PRESTACIONAL",UPPER(G452))),702010,702010))))))))))))</f>
        <v/>
      </c>
      <c r="I452" s="122" t="n"/>
      <c r="J452" s="122" t="n"/>
      <c r="K452" s="123">
        <f>IF(N(I452)&gt;0,ROUND(N(I452)*IVA_general,2),0)</f>
        <v/>
      </c>
      <c r="L452" s="122" t="n">
        <v>0</v>
      </c>
      <c r="M452" s="122" t="n"/>
      <c r="N452" s="123">
        <f>IF(SUM(I452:M452)=0,"",SUM(I452:M452))</f>
        <v/>
      </c>
      <c r="O452" s="124">
        <f>IF(A452="","",TEXT(A452,"yyyy-mm"))</f>
        <v/>
      </c>
      <c r="P452" s="121">
        <f>IF(A452="","",YEAR(A452))</f>
        <v/>
      </c>
      <c r="Q452" s="121">
        <f>IF(A452="","",MONTH(A452))</f>
        <v/>
      </c>
      <c r="R452" s="116" t="n"/>
      <c r="S452" s="116" t="n"/>
      <c r="T452" s="120" t="n"/>
      <c r="U452" s="122" t="n">
        <v>0</v>
      </c>
      <c r="V452" s="123">
        <f>IF(B452="","",N452-U452)</f>
        <v/>
      </c>
      <c r="W452" s="116" t="n"/>
      <c r="X452" s="125">
        <f>IF(B452="","",IF(LEFT(B452,2)="NC",-1,1))</f>
        <v/>
      </c>
      <c r="Y452" s="123">
        <f>IF(B452="",0,N(I452)*X452)</f>
        <v/>
      </c>
      <c r="Z452" s="123">
        <f>IF(B452="",0,N(J452)*X452)</f>
        <v/>
      </c>
      <c r="AA452" s="123">
        <f>IF(B452="",0,N(K452)*X452)</f>
        <v/>
      </c>
      <c r="AB452" s="123">
        <f>IF(B452="",0,N(L452)*X452)</f>
        <v/>
      </c>
      <c r="AC452" s="123">
        <f>IF(B452="",0,N(N452)*X452)</f>
        <v/>
      </c>
    </row>
    <row r="453" ht="15" customHeight="1" s="83">
      <c r="A453" s="120" t="n"/>
      <c r="B453" s="116" t="n"/>
      <c r="C453" s="116" t="n"/>
      <c r="D453" s="116" t="n"/>
      <c r="E453" s="116" t="n"/>
      <c r="F453" s="116" t="n"/>
      <c r="G453" s="116" t="n"/>
      <c r="H453" s="121">
        <f>IF(G453="","",IF(ISNUMBER(SEARCH("CAPITA",UPPER(G453))),651110,IF(ISNUMBER(SEARCH("REFUERZO",UPPER(G453))),651110,IF(ISNUMBER(SEARCH("VACUNACION",UPPER(G453))),651110,IF(ISNUMBER(SEARCH("ENFERMERIA",UPPER(G453))),651110,IF(ISNUMBER(SEARCH("APORTES",UPPER(G453))),651110,IF(ISNUMBER(SEARCH("HONORARIOS",UPPER(G453))),702010,IF(ISNUMBER(SEARCH("ADMINISTRACION",UPPER(G453))),702010,IF(ISNUMBER(SEARCH("GERENCIAMIENTO",UPPER(G453))),702010,IF(ISNUMBER(SEARCH("ALQUILER",UPPER(G453))),702010,IF(ISNUMBER(SEARCH("AUDITORIA",UPPER(G453))),702010,IF(ISNUMBER(SEARCH("PRESTACIONAL",UPPER(G453))),702010,702010))))))))))))</f>
        <v/>
      </c>
      <c r="I453" s="122" t="n"/>
      <c r="J453" s="122" t="n"/>
      <c r="K453" s="123">
        <f>IF(N(I453)&gt;0,ROUND(N(I453)*IVA_general,2),0)</f>
        <v/>
      </c>
      <c r="L453" s="122" t="n">
        <v>0</v>
      </c>
      <c r="M453" s="122" t="n"/>
      <c r="N453" s="123">
        <f>IF(SUM(I453:M453)=0,"",SUM(I453:M453))</f>
        <v/>
      </c>
      <c r="O453" s="124">
        <f>IF(A453="","",TEXT(A453,"yyyy-mm"))</f>
        <v/>
      </c>
      <c r="P453" s="121">
        <f>IF(A453="","",YEAR(A453))</f>
        <v/>
      </c>
      <c r="Q453" s="121">
        <f>IF(A453="","",MONTH(A453))</f>
        <v/>
      </c>
      <c r="R453" s="116" t="n"/>
      <c r="S453" s="116" t="n"/>
      <c r="T453" s="120" t="n"/>
      <c r="U453" s="122" t="n">
        <v>0</v>
      </c>
      <c r="V453" s="123">
        <f>IF(B453="","",N453-U453)</f>
        <v/>
      </c>
      <c r="W453" s="116" t="n"/>
      <c r="X453" s="125">
        <f>IF(B453="","",IF(LEFT(B453,2)="NC",-1,1))</f>
        <v/>
      </c>
      <c r="Y453" s="123">
        <f>IF(B453="",0,N(I453)*X453)</f>
        <v/>
      </c>
      <c r="Z453" s="123">
        <f>IF(B453="",0,N(J453)*X453)</f>
        <v/>
      </c>
      <c r="AA453" s="123">
        <f>IF(B453="",0,N(K453)*X453)</f>
        <v/>
      </c>
      <c r="AB453" s="123">
        <f>IF(B453="",0,N(L453)*X453)</f>
        <v/>
      </c>
      <c r="AC453" s="123">
        <f>IF(B453="",0,N(N453)*X453)</f>
        <v/>
      </c>
    </row>
    <row r="454" ht="15" customHeight="1" s="83">
      <c r="A454" s="120" t="n"/>
      <c r="B454" s="116" t="n"/>
      <c r="C454" s="116" t="n"/>
      <c r="D454" s="116" t="n"/>
      <c r="E454" s="116" t="n"/>
      <c r="F454" s="116" t="n"/>
      <c r="G454" s="116" t="n"/>
      <c r="H454" s="121">
        <f>IF(G454="","",IF(ISNUMBER(SEARCH("CAPITA",UPPER(G454))),651110,IF(ISNUMBER(SEARCH("REFUERZO",UPPER(G454))),651110,IF(ISNUMBER(SEARCH("VACUNACION",UPPER(G454))),651110,IF(ISNUMBER(SEARCH("ENFERMERIA",UPPER(G454))),651110,IF(ISNUMBER(SEARCH("APORTES",UPPER(G454))),651110,IF(ISNUMBER(SEARCH("HONORARIOS",UPPER(G454))),702010,IF(ISNUMBER(SEARCH("ADMINISTRACION",UPPER(G454))),702010,IF(ISNUMBER(SEARCH("GERENCIAMIENTO",UPPER(G454))),702010,IF(ISNUMBER(SEARCH("ALQUILER",UPPER(G454))),702010,IF(ISNUMBER(SEARCH("AUDITORIA",UPPER(G454))),702010,IF(ISNUMBER(SEARCH("PRESTACIONAL",UPPER(G454))),702010,702010))))))))))))</f>
        <v/>
      </c>
      <c r="I454" s="122" t="n"/>
      <c r="J454" s="122" t="n"/>
      <c r="K454" s="123">
        <f>IF(N(I454)&gt;0,ROUND(N(I454)*IVA_general,2),0)</f>
        <v/>
      </c>
      <c r="L454" s="122" t="n">
        <v>0</v>
      </c>
      <c r="M454" s="122" t="n"/>
      <c r="N454" s="123">
        <f>IF(SUM(I454:M454)=0,"",SUM(I454:M454))</f>
        <v/>
      </c>
      <c r="O454" s="124">
        <f>IF(A454="","",TEXT(A454,"yyyy-mm"))</f>
        <v/>
      </c>
      <c r="P454" s="121">
        <f>IF(A454="","",YEAR(A454))</f>
        <v/>
      </c>
      <c r="Q454" s="121">
        <f>IF(A454="","",MONTH(A454))</f>
        <v/>
      </c>
      <c r="R454" s="116" t="n"/>
      <c r="S454" s="116" t="n"/>
      <c r="T454" s="120" t="n"/>
      <c r="U454" s="122" t="n">
        <v>0</v>
      </c>
      <c r="V454" s="123">
        <f>IF(B454="","",N454-U454)</f>
        <v/>
      </c>
      <c r="W454" s="116" t="n"/>
      <c r="X454" s="125">
        <f>IF(B454="","",IF(LEFT(B454,2)="NC",-1,1))</f>
        <v/>
      </c>
      <c r="Y454" s="123">
        <f>IF(B454="",0,N(I454)*X454)</f>
        <v/>
      </c>
      <c r="Z454" s="123">
        <f>IF(B454="",0,N(J454)*X454)</f>
        <v/>
      </c>
      <c r="AA454" s="123">
        <f>IF(B454="",0,N(K454)*X454)</f>
        <v/>
      </c>
      <c r="AB454" s="123">
        <f>IF(B454="",0,N(L454)*X454)</f>
        <v/>
      </c>
      <c r="AC454" s="123">
        <f>IF(B454="",0,N(N454)*X454)</f>
        <v/>
      </c>
    </row>
    <row r="455" ht="15" customHeight="1" s="83">
      <c r="A455" s="120" t="n"/>
      <c r="B455" s="116" t="n"/>
      <c r="C455" s="116" t="n"/>
      <c r="D455" s="116" t="n"/>
      <c r="E455" s="116" t="n"/>
      <c r="F455" s="116" t="n"/>
      <c r="G455" s="116" t="n"/>
      <c r="H455" s="121">
        <f>IF(G455="","",IF(ISNUMBER(SEARCH("CAPITA",UPPER(G455))),651110,IF(ISNUMBER(SEARCH("REFUERZO",UPPER(G455))),651110,IF(ISNUMBER(SEARCH("VACUNACION",UPPER(G455))),651110,IF(ISNUMBER(SEARCH("ENFERMERIA",UPPER(G455))),651110,IF(ISNUMBER(SEARCH("APORTES",UPPER(G455))),651110,IF(ISNUMBER(SEARCH("HONORARIOS",UPPER(G455))),702010,IF(ISNUMBER(SEARCH("ADMINISTRACION",UPPER(G455))),702010,IF(ISNUMBER(SEARCH("GERENCIAMIENTO",UPPER(G455))),702010,IF(ISNUMBER(SEARCH("ALQUILER",UPPER(G455))),702010,IF(ISNUMBER(SEARCH("AUDITORIA",UPPER(G455))),702010,IF(ISNUMBER(SEARCH("PRESTACIONAL",UPPER(G455))),702010,702010))))))))))))</f>
        <v/>
      </c>
      <c r="I455" s="122" t="n"/>
      <c r="J455" s="122" t="n"/>
      <c r="K455" s="123">
        <f>IF(N(I455)&gt;0,ROUND(N(I455)*IVA_general,2),0)</f>
        <v/>
      </c>
      <c r="L455" s="122" t="n">
        <v>0</v>
      </c>
      <c r="M455" s="122" t="n"/>
      <c r="N455" s="123">
        <f>IF(SUM(I455:M455)=0,"",SUM(I455:M455))</f>
        <v/>
      </c>
      <c r="O455" s="124">
        <f>IF(A455="","",TEXT(A455,"yyyy-mm"))</f>
        <v/>
      </c>
      <c r="P455" s="121">
        <f>IF(A455="","",YEAR(A455))</f>
        <v/>
      </c>
      <c r="Q455" s="121">
        <f>IF(A455="","",MONTH(A455))</f>
        <v/>
      </c>
      <c r="R455" s="116" t="n"/>
      <c r="S455" s="116" t="n"/>
      <c r="T455" s="120" t="n"/>
      <c r="U455" s="122" t="n">
        <v>0</v>
      </c>
      <c r="V455" s="123">
        <f>IF(B455="","",N455-U455)</f>
        <v/>
      </c>
      <c r="W455" s="116" t="n"/>
      <c r="X455" s="125">
        <f>IF(B455="","",IF(LEFT(B455,2)="NC",-1,1))</f>
        <v/>
      </c>
      <c r="Y455" s="123">
        <f>IF(B455="",0,N(I455)*X455)</f>
        <v/>
      </c>
      <c r="Z455" s="123">
        <f>IF(B455="",0,N(J455)*X455)</f>
        <v/>
      </c>
      <c r="AA455" s="123">
        <f>IF(B455="",0,N(K455)*X455)</f>
        <v/>
      </c>
      <c r="AB455" s="123">
        <f>IF(B455="",0,N(L455)*X455)</f>
        <v/>
      </c>
      <c r="AC455" s="123">
        <f>IF(B455="",0,N(N455)*X455)</f>
        <v/>
      </c>
    </row>
    <row r="456" ht="15" customHeight="1" s="83">
      <c r="A456" s="120" t="n"/>
      <c r="B456" s="116" t="n"/>
      <c r="C456" s="116" t="n"/>
      <c r="D456" s="116" t="n"/>
      <c r="E456" s="116" t="n"/>
      <c r="F456" s="116" t="n"/>
      <c r="G456" s="116" t="n"/>
      <c r="H456" s="121">
        <f>IF(G456="","",IF(ISNUMBER(SEARCH("CAPITA",UPPER(G456))),651110,IF(ISNUMBER(SEARCH("REFUERZO",UPPER(G456))),651110,IF(ISNUMBER(SEARCH("VACUNACION",UPPER(G456))),651110,IF(ISNUMBER(SEARCH("ENFERMERIA",UPPER(G456))),651110,IF(ISNUMBER(SEARCH("APORTES",UPPER(G456))),651110,IF(ISNUMBER(SEARCH("HONORARIOS",UPPER(G456))),702010,IF(ISNUMBER(SEARCH("ADMINISTRACION",UPPER(G456))),702010,IF(ISNUMBER(SEARCH("GERENCIAMIENTO",UPPER(G456))),702010,IF(ISNUMBER(SEARCH("ALQUILER",UPPER(G456))),702010,IF(ISNUMBER(SEARCH("AUDITORIA",UPPER(G456))),702010,IF(ISNUMBER(SEARCH("PRESTACIONAL",UPPER(G456))),702010,702010))))))))))))</f>
        <v/>
      </c>
      <c r="I456" s="122" t="n"/>
      <c r="J456" s="122" t="n"/>
      <c r="K456" s="123">
        <f>IF(N(I456)&gt;0,ROUND(N(I456)*IVA_general,2),0)</f>
        <v/>
      </c>
      <c r="L456" s="122" t="n">
        <v>0</v>
      </c>
      <c r="M456" s="122" t="n"/>
      <c r="N456" s="123">
        <f>IF(SUM(I456:M456)=0,"",SUM(I456:M456))</f>
        <v/>
      </c>
      <c r="O456" s="124">
        <f>IF(A456="","",TEXT(A456,"yyyy-mm"))</f>
        <v/>
      </c>
      <c r="P456" s="121">
        <f>IF(A456="","",YEAR(A456))</f>
        <v/>
      </c>
      <c r="Q456" s="121">
        <f>IF(A456="","",MONTH(A456))</f>
        <v/>
      </c>
      <c r="R456" s="116" t="n"/>
      <c r="S456" s="116" t="n"/>
      <c r="T456" s="120" t="n"/>
      <c r="U456" s="122" t="n">
        <v>0</v>
      </c>
      <c r="V456" s="123">
        <f>IF(B456="","",N456-U456)</f>
        <v/>
      </c>
      <c r="W456" s="116" t="n"/>
      <c r="X456" s="125">
        <f>IF(B456="","",IF(LEFT(B456,2)="NC",-1,1))</f>
        <v/>
      </c>
      <c r="Y456" s="123">
        <f>IF(B456="",0,N(I456)*X456)</f>
        <v/>
      </c>
      <c r="Z456" s="123">
        <f>IF(B456="",0,N(J456)*X456)</f>
        <v/>
      </c>
      <c r="AA456" s="123">
        <f>IF(B456="",0,N(K456)*X456)</f>
        <v/>
      </c>
      <c r="AB456" s="123">
        <f>IF(B456="",0,N(L456)*X456)</f>
        <v/>
      </c>
      <c r="AC456" s="123">
        <f>IF(B456="",0,N(N456)*X456)</f>
        <v/>
      </c>
    </row>
    <row r="457" ht="15" customHeight="1" s="83">
      <c r="A457" s="120" t="n"/>
      <c r="B457" s="116" t="n"/>
      <c r="C457" s="116" t="n"/>
      <c r="D457" s="116" t="n"/>
      <c r="E457" s="116" t="n"/>
      <c r="F457" s="116" t="n"/>
      <c r="G457" s="116" t="n"/>
      <c r="H457" s="121">
        <f>IF(G457="","",IF(ISNUMBER(SEARCH("CAPITA",UPPER(G457))),651110,IF(ISNUMBER(SEARCH("REFUERZO",UPPER(G457))),651110,IF(ISNUMBER(SEARCH("VACUNACION",UPPER(G457))),651110,IF(ISNUMBER(SEARCH("ENFERMERIA",UPPER(G457))),651110,IF(ISNUMBER(SEARCH("APORTES",UPPER(G457))),651110,IF(ISNUMBER(SEARCH("HONORARIOS",UPPER(G457))),702010,IF(ISNUMBER(SEARCH("ADMINISTRACION",UPPER(G457))),702010,IF(ISNUMBER(SEARCH("GERENCIAMIENTO",UPPER(G457))),702010,IF(ISNUMBER(SEARCH("ALQUILER",UPPER(G457))),702010,IF(ISNUMBER(SEARCH("AUDITORIA",UPPER(G457))),702010,IF(ISNUMBER(SEARCH("PRESTACIONAL",UPPER(G457))),702010,702010))))))))))))</f>
        <v/>
      </c>
      <c r="I457" s="122" t="n"/>
      <c r="J457" s="122" t="n"/>
      <c r="K457" s="123">
        <f>IF(N(I457)&gt;0,ROUND(N(I457)*IVA_general,2),0)</f>
        <v/>
      </c>
      <c r="L457" s="122" t="n">
        <v>0</v>
      </c>
      <c r="M457" s="122" t="n"/>
      <c r="N457" s="123">
        <f>IF(SUM(I457:M457)=0,"",SUM(I457:M457))</f>
        <v/>
      </c>
      <c r="O457" s="124">
        <f>IF(A457="","",TEXT(A457,"yyyy-mm"))</f>
        <v/>
      </c>
      <c r="P457" s="121">
        <f>IF(A457="","",YEAR(A457))</f>
        <v/>
      </c>
      <c r="Q457" s="121">
        <f>IF(A457="","",MONTH(A457))</f>
        <v/>
      </c>
      <c r="R457" s="116" t="n"/>
      <c r="S457" s="116" t="n"/>
      <c r="T457" s="120" t="n"/>
      <c r="U457" s="122" t="n">
        <v>0</v>
      </c>
      <c r="V457" s="123">
        <f>IF(B457="","",N457-U457)</f>
        <v/>
      </c>
      <c r="W457" s="116" t="n"/>
      <c r="X457" s="125">
        <f>IF(B457="","",IF(LEFT(B457,2)="NC",-1,1))</f>
        <v/>
      </c>
      <c r="Y457" s="123">
        <f>IF(B457="",0,N(I457)*X457)</f>
        <v/>
      </c>
      <c r="Z457" s="123">
        <f>IF(B457="",0,N(J457)*X457)</f>
        <v/>
      </c>
      <c r="AA457" s="123">
        <f>IF(B457="",0,N(K457)*X457)</f>
        <v/>
      </c>
      <c r="AB457" s="123">
        <f>IF(B457="",0,N(L457)*X457)</f>
        <v/>
      </c>
      <c r="AC457" s="123">
        <f>IF(B457="",0,N(N457)*X457)</f>
        <v/>
      </c>
    </row>
    <row r="458" ht="15" customHeight="1" s="83">
      <c r="A458" s="120" t="n"/>
      <c r="B458" s="116" t="n"/>
      <c r="C458" s="116" t="n"/>
      <c r="D458" s="116" t="n"/>
      <c r="E458" s="116" t="n"/>
      <c r="F458" s="116" t="n"/>
      <c r="G458" s="116" t="n"/>
      <c r="H458" s="121">
        <f>IF(G458="","",IF(ISNUMBER(SEARCH("CAPITA",UPPER(G458))),651110,IF(ISNUMBER(SEARCH("REFUERZO",UPPER(G458))),651110,IF(ISNUMBER(SEARCH("VACUNACION",UPPER(G458))),651110,IF(ISNUMBER(SEARCH("ENFERMERIA",UPPER(G458))),651110,IF(ISNUMBER(SEARCH("APORTES",UPPER(G458))),651110,IF(ISNUMBER(SEARCH("HONORARIOS",UPPER(G458))),702010,IF(ISNUMBER(SEARCH("ADMINISTRACION",UPPER(G458))),702010,IF(ISNUMBER(SEARCH("GERENCIAMIENTO",UPPER(G458))),702010,IF(ISNUMBER(SEARCH("ALQUILER",UPPER(G458))),702010,IF(ISNUMBER(SEARCH("AUDITORIA",UPPER(G458))),702010,IF(ISNUMBER(SEARCH("PRESTACIONAL",UPPER(G458))),702010,702010))))))))))))</f>
        <v/>
      </c>
      <c r="I458" s="122" t="n"/>
      <c r="J458" s="122" t="n"/>
      <c r="K458" s="123">
        <f>IF(N(I458)&gt;0,ROUND(N(I458)*IVA_general,2),0)</f>
        <v/>
      </c>
      <c r="L458" s="122" t="n">
        <v>0</v>
      </c>
      <c r="M458" s="122" t="n"/>
      <c r="N458" s="123">
        <f>IF(SUM(I458:M458)=0,"",SUM(I458:M458))</f>
        <v/>
      </c>
      <c r="O458" s="124">
        <f>IF(A458="","",TEXT(A458,"yyyy-mm"))</f>
        <v/>
      </c>
      <c r="P458" s="121">
        <f>IF(A458="","",YEAR(A458))</f>
        <v/>
      </c>
      <c r="Q458" s="121">
        <f>IF(A458="","",MONTH(A458))</f>
        <v/>
      </c>
      <c r="R458" s="116" t="n"/>
      <c r="S458" s="116" t="n"/>
      <c r="T458" s="120" t="n"/>
      <c r="U458" s="122" t="n">
        <v>0</v>
      </c>
      <c r="V458" s="123">
        <f>IF(B458="","",N458-U458)</f>
        <v/>
      </c>
      <c r="W458" s="116" t="n"/>
      <c r="X458" s="125">
        <f>IF(B458="","",IF(LEFT(B458,2)="NC",-1,1))</f>
        <v/>
      </c>
      <c r="Y458" s="123">
        <f>IF(B458="",0,N(I458)*X458)</f>
        <v/>
      </c>
      <c r="Z458" s="123">
        <f>IF(B458="",0,N(J458)*X458)</f>
        <v/>
      </c>
      <c r="AA458" s="123">
        <f>IF(B458="",0,N(K458)*X458)</f>
        <v/>
      </c>
      <c r="AB458" s="123">
        <f>IF(B458="",0,N(L458)*X458)</f>
        <v/>
      </c>
      <c r="AC458" s="123">
        <f>IF(B458="",0,N(N458)*X458)</f>
        <v/>
      </c>
    </row>
    <row r="459" ht="15" customHeight="1" s="83">
      <c r="A459" s="120" t="n"/>
      <c r="B459" s="116" t="n"/>
      <c r="C459" s="116" t="n"/>
      <c r="D459" s="116" t="n"/>
      <c r="E459" s="116" t="n"/>
      <c r="F459" s="116" t="n"/>
      <c r="G459" s="116" t="n"/>
      <c r="H459" s="121">
        <f>IF(G459="","",IF(ISNUMBER(SEARCH("CAPITA",UPPER(G459))),651110,IF(ISNUMBER(SEARCH("REFUERZO",UPPER(G459))),651110,IF(ISNUMBER(SEARCH("VACUNACION",UPPER(G459))),651110,IF(ISNUMBER(SEARCH("ENFERMERIA",UPPER(G459))),651110,IF(ISNUMBER(SEARCH("APORTES",UPPER(G459))),651110,IF(ISNUMBER(SEARCH("HONORARIOS",UPPER(G459))),702010,IF(ISNUMBER(SEARCH("ADMINISTRACION",UPPER(G459))),702010,IF(ISNUMBER(SEARCH("GERENCIAMIENTO",UPPER(G459))),702010,IF(ISNUMBER(SEARCH("ALQUILER",UPPER(G459))),702010,IF(ISNUMBER(SEARCH("AUDITORIA",UPPER(G459))),702010,IF(ISNUMBER(SEARCH("PRESTACIONAL",UPPER(G459))),702010,702010))))))))))))</f>
        <v/>
      </c>
      <c r="I459" s="122" t="n"/>
      <c r="J459" s="122" t="n"/>
      <c r="K459" s="123">
        <f>IF(N(I459)&gt;0,ROUND(N(I459)*IVA_general,2),0)</f>
        <v/>
      </c>
      <c r="L459" s="122" t="n">
        <v>0</v>
      </c>
      <c r="M459" s="122" t="n"/>
      <c r="N459" s="123">
        <f>IF(SUM(I459:M459)=0,"",SUM(I459:M459))</f>
        <v/>
      </c>
      <c r="O459" s="124">
        <f>IF(A459="","",TEXT(A459,"yyyy-mm"))</f>
        <v/>
      </c>
      <c r="P459" s="121">
        <f>IF(A459="","",YEAR(A459))</f>
        <v/>
      </c>
      <c r="Q459" s="121">
        <f>IF(A459="","",MONTH(A459))</f>
        <v/>
      </c>
      <c r="R459" s="116" t="n"/>
      <c r="S459" s="116" t="n"/>
      <c r="T459" s="120" t="n"/>
      <c r="U459" s="122" t="n">
        <v>0</v>
      </c>
      <c r="V459" s="123">
        <f>IF(B459="","",N459-U459)</f>
        <v/>
      </c>
      <c r="W459" s="116" t="n"/>
      <c r="X459" s="125">
        <f>IF(B459="","",IF(LEFT(B459,2)="NC",-1,1))</f>
        <v/>
      </c>
      <c r="Y459" s="123">
        <f>IF(B459="",0,N(I459)*X459)</f>
        <v/>
      </c>
      <c r="Z459" s="123">
        <f>IF(B459="",0,N(J459)*X459)</f>
        <v/>
      </c>
      <c r="AA459" s="123">
        <f>IF(B459="",0,N(K459)*X459)</f>
        <v/>
      </c>
      <c r="AB459" s="123">
        <f>IF(B459="",0,N(L459)*X459)</f>
        <v/>
      </c>
      <c r="AC459" s="123">
        <f>IF(B459="",0,N(N459)*X459)</f>
        <v/>
      </c>
    </row>
    <row r="460" ht="15" customHeight="1" s="83">
      <c r="A460" s="120" t="n"/>
      <c r="B460" s="116" t="n"/>
      <c r="C460" s="116" t="n"/>
      <c r="D460" s="116" t="n"/>
      <c r="E460" s="116" t="n"/>
      <c r="F460" s="116" t="n"/>
      <c r="G460" s="116" t="n"/>
      <c r="H460" s="121">
        <f>IF(G460="","",IF(ISNUMBER(SEARCH("CAPITA",UPPER(G460))),651110,IF(ISNUMBER(SEARCH("REFUERZO",UPPER(G460))),651110,IF(ISNUMBER(SEARCH("VACUNACION",UPPER(G460))),651110,IF(ISNUMBER(SEARCH("ENFERMERIA",UPPER(G460))),651110,IF(ISNUMBER(SEARCH("APORTES",UPPER(G460))),651110,IF(ISNUMBER(SEARCH("HONORARIOS",UPPER(G460))),702010,IF(ISNUMBER(SEARCH("ADMINISTRACION",UPPER(G460))),702010,IF(ISNUMBER(SEARCH("GERENCIAMIENTO",UPPER(G460))),702010,IF(ISNUMBER(SEARCH("ALQUILER",UPPER(G460))),702010,IF(ISNUMBER(SEARCH("AUDITORIA",UPPER(G460))),702010,IF(ISNUMBER(SEARCH("PRESTACIONAL",UPPER(G460))),702010,702010))))))))))))</f>
        <v/>
      </c>
      <c r="I460" s="122" t="n"/>
      <c r="J460" s="122" t="n"/>
      <c r="K460" s="123">
        <f>IF(N(I460)&gt;0,ROUND(N(I460)*IVA_general,2),0)</f>
        <v/>
      </c>
      <c r="L460" s="122" t="n">
        <v>0</v>
      </c>
      <c r="M460" s="122" t="n"/>
      <c r="N460" s="123">
        <f>IF(SUM(I460:M460)=0,"",SUM(I460:M460))</f>
        <v/>
      </c>
      <c r="O460" s="124">
        <f>IF(A460="","",TEXT(A460,"yyyy-mm"))</f>
        <v/>
      </c>
      <c r="P460" s="121">
        <f>IF(A460="","",YEAR(A460))</f>
        <v/>
      </c>
      <c r="Q460" s="121">
        <f>IF(A460="","",MONTH(A460))</f>
        <v/>
      </c>
      <c r="R460" s="116" t="n"/>
      <c r="S460" s="116" t="n"/>
      <c r="T460" s="120" t="n"/>
      <c r="U460" s="122" t="n">
        <v>0</v>
      </c>
      <c r="V460" s="123">
        <f>IF(B460="","",N460-U460)</f>
        <v/>
      </c>
      <c r="W460" s="116" t="n"/>
      <c r="X460" s="125">
        <f>IF(B460="","",IF(LEFT(B460,2)="NC",-1,1))</f>
        <v/>
      </c>
      <c r="Y460" s="123">
        <f>IF(B460="",0,N(I460)*X460)</f>
        <v/>
      </c>
      <c r="Z460" s="123">
        <f>IF(B460="",0,N(J460)*X460)</f>
        <v/>
      </c>
      <c r="AA460" s="123">
        <f>IF(B460="",0,N(K460)*X460)</f>
        <v/>
      </c>
      <c r="AB460" s="123">
        <f>IF(B460="",0,N(L460)*X460)</f>
        <v/>
      </c>
      <c r="AC460" s="123">
        <f>IF(B460="",0,N(N460)*X460)</f>
        <v/>
      </c>
    </row>
    <row r="461" ht="15" customHeight="1" s="83">
      <c r="A461" s="120" t="n"/>
      <c r="B461" s="116" t="n"/>
      <c r="C461" s="116" t="n"/>
      <c r="D461" s="116" t="n"/>
      <c r="E461" s="116" t="n"/>
      <c r="F461" s="116" t="n"/>
      <c r="G461" s="116" t="n"/>
      <c r="H461" s="121">
        <f>IF(G461="","",IF(ISNUMBER(SEARCH("CAPITA",UPPER(G461))),651110,IF(ISNUMBER(SEARCH("REFUERZO",UPPER(G461))),651110,IF(ISNUMBER(SEARCH("VACUNACION",UPPER(G461))),651110,IF(ISNUMBER(SEARCH("ENFERMERIA",UPPER(G461))),651110,IF(ISNUMBER(SEARCH("APORTES",UPPER(G461))),651110,IF(ISNUMBER(SEARCH("HONORARIOS",UPPER(G461))),702010,IF(ISNUMBER(SEARCH("ADMINISTRACION",UPPER(G461))),702010,IF(ISNUMBER(SEARCH("GERENCIAMIENTO",UPPER(G461))),702010,IF(ISNUMBER(SEARCH("ALQUILER",UPPER(G461))),702010,IF(ISNUMBER(SEARCH("AUDITORIA",UPPER(G461))),702010,IF(ISNUMBER(SEARCH("PRESTACIONAL",UPPER(G461))),702010,702010))))))))))))</f>
        <v/>
      </c>
      <c r="I461" s="122" t="n"/>
      <c r="J461" s="122" t="n"/>
      <c r="K461" s="123">
        <f>IF(N(I461)&gt;0,ROUND(N(I461)*IVA_general,2),0)</f>
        <v/>
      </c>
      <c r="L461" s="122" t="n">
        <v>0</v>
      </c>
      <c r="M461" s="122" t="n"/>
      <c r="N461" s="123">
        <f>IF(SUM(I461:M461)=0,"",SUM(I461:M461))</f>
        <v/>
      </c>
      <c r="O461" s="124">
        <f>IF(A461="","",TEXT(A461,"yyyy-mm"))</f>
        <v/>
      </c>
      <c r="P461" s="121">
        <f>IF(A461="","",YEAR(A461))</f>
        <v/>
      </c>
      <c r="Q461" s="121">
        <f>IF(A461="","",MONTH(A461))</f>
        <v/>
      </c>
      <c r="R461" s="116" t="n"/>
      <c r="S461" s="116" t="n"/>
      <c r="T461" s="120" t="n"/>
      <c r="U461" s="122" t="n">
        <v>0</v>
      </c>
      <c r="V461" s="123">
        <f>IF(B461="","",N461-U461)</f>
        <v/>
      </c>
      <c r="W461" s="116" t="n"/>
      <c r="X461" s="125">
        <f>IF(B461="","",IF(LEFT(B461,2)="NC",-1,1))</f>
        <v/>
      </c>
      <c r="Y461" s="123">
        <f>IF(B461="",0,N(I461)*X461)</f>
        <v/>
      </c>
      <c r="Z461" s="123">
        <f>IF(B461="",0,N(J461)*X461)</f>
        <v/>
      </c>
      <c r="AA461" s="123">
        <f>IF(B461="",0,N(K461)*X461)</f>
        <v/>
      </c>
      <c r="AB461" s="123">
        <f>IF(B461="",0,N(L461)*X461)</f>
        <v/>
      </c>
      <c r="AC461" s="123">
        <f>IF(B461="",0,N(N461)*X461)</f>
        <v/>
      </c>
    </row>
    <row r="462" ht="15" customHeight="1" s="83">
      <c r="A462" s="120" t="n"/>
      <c r="B462" s="116" t="n"/>
      <c r="C462" s="116" t="n"/>
      <c r="D462" s="116" t="n"/>
      <c r="E462" s="116" t="n"/>
      <c r="F462" s="116" t="n"/>
      <c r="G462" s="116" t="n"/>
      <c r="H462" s="121">
        <f>IF(G462="","",IF(ISNUMBER(SEARCH("CAPITA",UPPER(G462))),651110,IF(ISNUMBER(SEARCH("REFUERZO",UPPER(G462))),651110,IF(ISNUMBER(SEARCH("VACUNACION",UPPER(G462))),651110,IF(ISNUMBER(SEARCH("ENFERMERIA",UPPER(G462))),651110,IF(ISNUMBER(SEARCH("APORTES",UPPER(G462))),651110,IF(ISNUMBER(SEARCH("HONORARIOS",UPPER(G462))),702010,IF(ISNUMBER(SEARCH("ADMINISTRACION",UPPER(G462))),702010,IF(ISNUMBER(SEARCH("GERENCIAMIENTO",UPPER(G462))),702010,IF(ISNUMBER(SEARCH("ALQUILER",UPPER(G462))),702010,IF(ISNUMBER(SEARCH("AUDITORIA",UPPER(G462))),702010,IF(ISNUMBER(SEARCH("PRESTACIONAL",UPPER(G462))),702010,702010))))))))))))</f>
        <v/>
      </c>
      <c r="I462" s="122" t="n"/>
      <c r="J462" s="122" t="n"/>
      <c r="K462" s="123">
        <f>IF(N(I462)&gt;0,ROUND(N(I462)*IVA_general,2),0)</f>
        <v/>
      </c>
      <c r="L462" s="122" t="n">
        <v>0</v>
      </c>
      <c r="M462" s="122" t="n"/>
      <c r="N462" s="123">
        <f>IF(SUM(I462:M462)=0,"",SUM(I462:M462))</f>
        <v/>
      </c>
      <c r="O462" s="124">
        <f>IF(A462="","",TEXT(A462,"yyyy-mm"))</f>
        <v/>
      </c>
      <c r="P462" s="121">
        <f>IF(A462="","",YEAR(A462))</f>
        <v/>
      </c>
      <c r="Q462" s="121">
        <f>IF(A462="","",MONTH(A462))</f>
        <v/>
      </c>
      <c r="R462" s="116" t="n"/>
      <c r="S462" s="116" t="n"/>
      <c r="T462" s="120" t="n"/>
      <c r="U462" s="122" t="n">
        <v>0</v>
      </c>
      <c r="V462" s="123">
        <f>IF(B462="","",N462-U462)</f>
        <v/>
      </c>
      <c r="W462" s="116" t="n"/>
      <c r="X462" s="125">
        <f>IF(B462="","",IF(LEFT(B462,2)="NC",-1,1))</f>
        <v/>
      </c>
      <c r="Y462" s="123">
        <f>IF(B462="",0,N(I462)*X462)</f>
        <v/>
      </c>
      <c r="Z462" s="123">
        <f>IF(B462="",0,N(J462)*X462)</f>
        <v/>
      </c>
      <c r="AA462" s="123">
        <f>IF(B462="",0,N(K462)*X462)</f>
        <v/>
      </c>
      <c r="AB462" s="123">
        <f>IF(B462="",0,N(L462)*X462)</f>
        <v/>
      </c>
      <c r="AC462" s="123">
        <f>IF(B462="",0,N(N462)*X462)</f>
        <v/>
      </c>
    </row>
    <row r="463" ht="15" customHeight="1" s="83">
      <c r="A463" s="120" t="n"/>
      <c r="B463" s="116" t="n"/>
      <c r="C463" s="116" t="n"/>
      <c r="D463" s="116" t="n"/>
      <c r="E463" s="116" t="n"/>
      <c r="F463" s="116" t="n"/>
      <c r="G463" s="116" t="n"/>
      <c r="H463" s="121">
        <f>IF(G463="","",IF(ISNUMBER(SEARCH("CAPITA",UPPER(G463))),651110,IF(ISNUMBER(SEARCH("REFUERZO",UPPER(G463))),651110,IF(ISNUMBER(SEARCH("VACUNACION",UPPER(G463))),651110,IF(ISNUMBER(SEARCH("ENFERMERIA",UPPER(G463))),651110,IF(ISNUMBER(SEARCH("APORTES",UPPER(G463))),651110,IF(ISNUMBER(SEARCH("HONORARIOS",UPPER(G463))),702010,IF(ISNUMBER(SEARCH("ADMINISTRACION",UPPER(G463))),702010,IF(ISNUMBER(SEARCH("GERENCIAMIENTO",UPPER(G463))),702010,IF(ISNUMBER(SEARCH("ALQUILER",UPPER(G463))),702010,IF(ISNUMBER(SEARCH("AUDITORIA",UPPER(G463))),702010,IF(ISNUMBER(SEARCH("PRESTACIONAL",UPPER(G463))),702010,702010))))))))))))</f>
        <v/>
      </c>
      <c r="I463" s="122" t="n"/>
      <c r="J463" s="122" t="n"/>
      <c r="K463" s="123">
        <f>IF(N(I463)&gt;0,ROUND(N(I463)*IVA_general,2),0)</f>
        <v/>
      </c>
      <c r="L463" s="122" t="n">
        <v>0</v>
      </c>
      <c r="M463" s="122" t="n"/>
      <c r="N463" s="123">
        <f>IF(SUM(I463:M463)=0,"",SUM(I463:M463))</f>
        <v/>
      </c>
      <c r="O463" s="124">
        <f>IF(A463="","",TEXT(A463,"yyyy-mm"))</f>
        <v/>
      </c>
      <c r="P463" s="121">
        <f>IF(A463="","",YEAR(A463))</f>
        <v/>
      </c>
      <c r="Q463" s="121">
        <f>IF(A463="","",MONTH(A463))</f>
        <v/>
      </c>
      <c r="R463" s="116" t="n"/>
      <c r="S463" s="116" t="n"/>
      <c r="T463" s="120" t="n"/>
      <c r="U463" s="122" t="n">
        <v>0</v>
      </c>
      <c r="V463" s="123">
        <f>IF(B463="","",N463-U463)</f>
        <v/>
      </c>
      <c r="W463" s="116" t="n"/>
      <c r="X463" s="125">
        <f>IF(B463="","",IF(LEFT(B463,2)="NC",-1,1))</f>
        <v/>
      </c>
      <c r="Y463" s="123">
        <f>IF(B463="",0,N(I463)*X463)</f>
        <v/>
      </c>
      <c r="Z463" s="123">
        <f>IF(B463="",0,N(J463)*X463)</f>
        <v/>
      </c>
      <c r="AA463" s="123">
        <f>IF(B463="",0,N(K463)*X463)</f>
        <v/>
      </c>
      <c r="AB463" s="123">
        <f>IF(B463="",0,N(L463)*X463)</f>
        <v/>
      </c>
      <c r="AC463" s="123">
        <f>IF(B463="",0,N(N463)*X463)</f>
        <v/>
      </c>
    </row>
    <row r="464" ht="15" customHeight="1" s="83">
      <c r="A464" s="120" t="n"/>
      <c r="B464" s="116" t="n"/>
      <c r="C464" s="116" t="n"/>
      <c r="D464" s="116" t="n"/>
      <c r="E464" s="116" t="n"/>
      <c r="F464" s="116" t="n"/>
      <c r="G464" s="116" t="n"/>
      <c r="H464" s="121">
        <f>IF(G464="","",IF(ISNUMBER(SEARCH("CAPITA",UPPER(G464))),651110,IF(ISNUMBER(SEARCH("REFUERZO",UPPER(G464))),651110,IF(ISNUMBER(SEARCH("VACUNACION",UPPER(G464))),651110,IF(ISNUMBER(SEARCH("ENFERMERIA",UPPER(G464))),651110,IF(ISNUMBER(SEARCH("APORTES",UPPER(G464))),651110,IF(ISNUMBER(SEARCH("HONORARIOS",UPPER(G464))),702010,IF(ISNUMBER(SEARCH("ADMINISTRACION",UPPER(G464))),702010,IF(ISNUMBER(SEARCH("GERENCIAMIENTO",UPPER(G464))),702010,IF(ISNUMBER(SEARCH("ALQUILER",UPPER(G464))),702010,IF(ISNUMBER(SEARCH("AUDITORIA",UPPER(G464))),702010,IF(ISNUMBER(SEARCH("PRESTACIONAL",UPPER(G464))),702010,702010))))))))))))</f>
        <v/>
      </c>
      <c r="I464" s="122" t="n"/>
      <c r="J464" s="122" t="n"/>
      <c r="K464" s="123">
        <f>IF(N(I464)&gt;0,ROUND(N(I464)*IVA_general,2),0)</f>
        <v/>
      </c>
      <c r="L464" s="122" t="n">
        <v>0</v>
      </c>
      <c r="M464" s="122" t="n"/>
      <c r="N464" s="123">
        <f>IF(SUM(I464:M464)=0,"",SUM(I464:M464))</f>
        <v/>
      </c>
      <c r="O464" s="124">
        <f>IF(A464="","",TEXT(A464,"yyyy-mm"))</f>
        <v/>
      </c>
      <c r="P464" s="121">
        <f>IF(A464="","",YEAR(A464))</f>
        <v/>
      </c>
      <c r="Q464" s="121">
        <f>IF(A464="","",MONTH(A464))</f>
        <v/>
      </c>
      <c r="R464" s="116" t="n"/>
      <c r="S464" s="116" t="n"/>
      <c r="T464" s="120" t="n"/>
      <c r="U464" s="122" t="n">
        <v>0</v>
      </c>
      <c r="V464" s="123">
        <f>IF(B464="","",N464-U464)</f>
        <v/>
      </c>
      <c r="W464" s="116" t="n"/>
      <c r="X464" s="125">
        <f>IF(B464="","",IF(LEFT(B464,2)="NC",-1,1))</f>
        <v/>
      </c>
      <c r="Y464" s="123">
        <f>IF(B464="",0,N(I464)*X464)</f>
        <v/>
      </c>
      <c r="Z464" s="123">
        <f>IF(B464="",0,N(J464)*X464)</f>
        <v/>
      </c>
      <c r="AA464" s="123">
        <f>IF(B464="",0,N(K464)*X464)</f>
        <v/>
      </c>
      <c r="AB464" s="123">
        <f>IF(B464="",0,N(L464)*X464)</f>
        <v/>
      </c>
      <c r="AC464" s="123">
        <f>IF(B464="",0,N(N464)*X464)</f>
        <v/>
      </c>
    </row>
    <row r="465" ht="15" customHeight="1" s="83">
      <c r="A465" s="120" t="n"/>
      <c r="B465" s="116" t="n"/>
      <c r="C465" s="116" t="n"/>
      <c r="D465" s="116" t="n"/>
      <c r="E465" s="116" t="n"/>
      <c r="F465" s="116" t="n"/>
      <c r="G465" s="116" t="n"/>
      <c r="H465" s="121">
        <f>IF(G465="","",IF(ISNUMBER(SEARCH("CAPITA",UPPER(G465))),651110,IF(ISNUMBER(SEARCH("REFUERZO",UPPER(G465))),651110,IF(ISNUMBER(SEARCH("VACUNACION",UPPER(G465))),651110,IF(ISNUMBER(SEARCH("ENFERMERIA",UPPER(G465))),651110,IF(ISNUMBER(SEARCH("APORTES",UPPER(G465))),651110,IF(ISNUMBER(SEARCH("HONORARIOS",UPPER(G465))),702010,IF(ISNUMBER(SEARCH("ADMINISTRACION",UPPER(G465))),702010,IF(ISNUMBER(SEARCH("GERENCIAMIENTO",UPPER(G465))),702010,IF(ISNUMBER(SEARCH("ALQUILER",UPPER(G465))),702010,IF(ISNUMBER(SEARCH("AUDITORIA",UPPER(G465))),702010,IF(ISNUMBER(SEARCH("PRESTACIONAL",UPPER(G465))),702010,702010))))))))))))</f>
        <v/>
      </c>
      <c r="I465" s="122" t="n"/>
      <c r="J465" s="122" t="n"/>
      <c r="K465" s="123">
        <f>IF(N(I465)&gt;0,ROUND(N(I465)*IVA_general,2),0)</f>
        <v/>
      </c>
      <c r="L465" s="122" t="n">
        <v>0</v>
      </c>
      <c r="M465" s="122" t="n"/>
      <c r="N465" s="123">
        <f>IF(SUM(I465:M465)=0,"",SUM(I465:M465))</f>
        <v/>
      </c>
      <c r="O465" s="124">
        <f>IF(A465="","",TEXT(A465,"yyyy-mm"))</f>
        <v/>
      </c>
      <c r="P465" s="121">
        <f>IF(A465="","",YEAR(A465))</f>
        <v/>
      </c>
      <c r="Q465" s="121">
        <f>IF(A465="","",MONTH(A465))</f>
        <v/>
      </c>
      <c r="R465" s="116" t="n"/>
      <c r="S465" s="116" t="n"/>
      <c r="T465" s="120" t="n"/>
      <c r="U465" s="122" t="n">
        <v>0</v>
      </c>
      <c r="V465" s="123">
        <f>IF(B465="","",N465-U465)</f>
        <v/>
      </c>
      <c r="W465" s="116" t="n"/>
      <c r="X465" s="125">
        <f>IF(B465="","",IF(LEFT(B465,2)="NC",-1,1))</f>
        <v/>
      </c>
      <c r="Y465" s="123">
        <f>IF(B465="",0,N(I465)*X465)</f>
        <v/>
      </c>
      <c r="Z465" s="123">
        <f>IF(B465="",0,N(J465)*X465)</f>
        <v/>
      </c>
      <c r="AA465" s="123">
        <f>IF(B465="",0,N(K465)*X465)</f>
        <v/>
      </c>
      <c r="AB465" s="123">
        <f>IF(B465="",0,N(L465)*X465)</f>
        <v/>
      </c>
      <c r="AC465" s="123">
        <f>IF(B465="",0,N(N465)*X465)</f>
        <v/>
      </c>
    </row>
    <row r="466" ht="15" customHeight="1" s="83">
      <c r="A466" s="120" t="n"/>
      <c r="B466" s="116" t="n"/>
      <c r="C466" s="116" t="n"/>
      <c r="D466" s="116" t="n"/>
      <c r="E466" s="116" t="n"/>
      <c r="F466" s="116" t="n"/>
      <c r="G466" s="116" t="n"/>
      <c r="H466" s="121">
        <f>IF(G466="","",IF(ISNUMBER(SEARCH("CAPITA",UPPER(G466))),651110,IF(ISNUMBER(SEARCH("REFUERZO",UPPER(G466))),651110,IF(ISNUMBER(SEARCH("VACUNACION",UPPER(G466))),651110,IF(ISNUMBER(SEARCH("ENFERMERIA",UPPER(G466))),651110,IF(ISNUMBER(SEARCH("APORTES",UPPER(G466))),651110,IF(ISNUMBER(SEARCH("HONORARIOS",UPPER(G466))),702010,IF(ISNUMBER(SEARCH("ADMINISTRACION",UPPER(G466))),702010,IF(ISNUMBER(SEARCH("GERENCIAMIENTO",UPPER(G466))),702010,IF(ISNUMBER(SEARCH("ALQUILER",UPPER(G466))),702010,IF(ISNUMBER(SEARCH("AUDITORIA",UPPER(G466))),702010,IF(ISNUMBER(SEARCH("PRESTACIONAL",UPPER(G466))),702010,702010))))))))))))</f>
        <v/>
      </c>
      <c r="I466" s="122" t="n"/>
      <c r="J466" s="122" t="n"/>
      <c r="K466" s="123">
        <f>IF(N(I466)&gt;0,ROUND(N(I466)*IVA_general,2),0)</f>
        <v/>
      </c>
      <c r="L466" s="122" t="n">
        <v>0</v>
      </c>
      <c r="M466" s="122" t="n"/>
      <c r="N466" s="123">
        <f>IF(SUM(I466:M466)=0,"",SUM(I466:M466))</f>
        <v/>
      </c>
      <c r="O466" s="124">
        <f>IF(A466="","",TEXT(A466,"yyyy-mm"))</f>
        <v/>
      </c>
      <c r="P466" s="121">
        <f>IF(A466="","",YEAR(A466))</f>
        <v/>
      </c>
      <c r="Q466" s="121">
        <f>IF(A466="","",MONTH(A466))</f>
        <v/>
      </c>
      <c r="R466" s="116" t="n"/>
      <c r="S466" s="116" t="n"/>
      <c r="T466" s="120" t="n"/>
      <c r="U466" s="122" t="n">
        <v>0</v>
      </c>
      <c r="V466" s="123">
        <f>IF(B466="","",N466-U466)</f>
        <v/>
      </c>
      <c r="W466" s="116" t="n"/>
      <c r="X466" s="125">
        <f>IF(B466="","",IF(LEFT(B466,2)="NC",-1,1))</f>
        <v/>
      </c>
      <c r="Y466" s="123">
        <f>IF(B466="",0,N(I466)*X466)</f>
        <v/>
      </c>
      <c r="Z466" s="123">
        <f>IF(B466="",0,N(J466)*X466)</f>
        <v/>
      </c>
      <c r="AA466" s="123">
        <f>IF(B466="",0,N(K466)*X466)</f>
        <v/>
      </c>
      <c r="AB466" s="123">
        <f>IF(B466="",0,N(L466)*X466)</f>
        <v/>
      </c>
      <c r="AC466" s="123">
        <f>IF(B466="",0,N(N466)*X466)</f>
        <v/>
      </c>
    </row>
    <row r="467" ht="15" customHeight="1" s="83">
      <c r="A467" s="120" t="n"/>
      <c r="B467" s="116" t="n"/>
      <c r="C467" s="116" t="n"/>
      <c r="D467" s="116" t="n"/>
      <c r="E467" s="116" t="n"/>
      <c r="F467" s="116" t="n"/>
      <c r="G467" s="116" t="n"/>
      <c r="H467" s="121">
        <f>IF(G467="","",IF(ISNUMBER(SEARCH("CAPITA",UPPER(G467))),651110,IF(ISNUMBER(SEARCH("REFUERZO",UPPER(G467))),651110,IF(ISNUMBER(SEARCH("VACUNACION",UPPER(G467))),651110,IF(ISNUMBER(SEARCH("ENFERMERIA",UPPER(G467))),651110,IF(ISNUMBER(SEARCH("APORTES",UPPER(G467))),651110,IF(ISNUMBER(SEARCH("HONORARIOS",UPPER(G467))),702010,IF(ISNUMBER(SEARCH("ADMINISTRACION",UPPER(G467))),702010,IF(ISNUMBER(SEARCH("GERENCIAMIENTO",UPPER(G467))),702010,IF(ISNUMBER(SEARCH("ALQUILER",UPPER(G467))),702010,IF(ISNUMBER(SEARCH("AUDITORIA",UPPER(G467))),702010,IF(ISNUMBER(SEARCH("PRESTACIONAL",UPPER(G467))),702010,702010))))))))))))</f>
        <v/>
      </c>
      <c r="I467" s="122" t="n"/>
      <c r="J467" s="122" t="n"/>
      <c r="K467" s="123">
        <f>IF(N(I467)&gt;0,ROUND(N(I467)*IVA_general,2),0)</f>
        <v/>
      </c>
      <c r="L467" s="122" t="n">
        <v>0</v>
      </c>
      <c r="M467" s="122" t="n"/>
      <c r="N467" s="123">
        <f>IF(SUM(I467:M467)=0,"",SUM(I467:M467))</f>
        <v/>
      </c>
      <c r="O467" s="124">
        <f>IF(A467="","",TEXT(A467,"yyyy-mm"))</f>
        <v/>
      </c>
      <c r="P467" s="121">
        <f>IF(A467="","",YEAR(A467))</f>
        <v/>
      </c>
      <c r="Q467" s="121">
        <f>IF(A467="","",MONTH(A467))</f>
        <v/>
      </c>
      <c r="R467" s="116" t="n"/>
      <c r="S467" s="116" t="n"/>
      <c r="T467" s="120" t="n"/>
      <c r="U467" s="122" t="n">
        <v>0</v>
      </c>
      <c r="V467" s="123">
        <f>IF(B467="","",N467-U467)</f>
        <v/>
      </c>
      <c r="W467" s="116" t="n"/>
      <c r="X467" s="125">
        <f>IF(B467="","",IF(LEFT(B467,2)="NC",-1,1))</f>
        <v/>
      </c>
      <c r="Y467" s="123">
        <f>IF(B467="",0,N(I467)*X467)</f>
        <v/>
      </c>
      <c r="Z467" s="123">
        <f>IF(B467="",0,N(J467)*X467)</f>
        <v/>
      </c>
      <c r="AA467" s="123">
        <f>IF(B467="",0,N(K467)*X467)</f>
        <v/>
      </c>
      <c r="AB467" s="123">
        <f>IF(B467="",0,N(L467)*X467)</f>
        <v/>
      </c>
      <c r="AC467" s="123">
        <f>IF(B467="",0,N(N467)*X467)</f>
        <v/>
      </c>
    </row>
    <row r="468" ht="15" customHeight="1" s="83">
      <c r="A468" s="120" t="n"/>
      <c r="B468" s="116" t="n"/>
      <c r="C468" s="116" t="n"/>
      <c r="D468" s="116" t="n"/>
      <c r="E468" s="116" t="n"/>
      <c r="F468" s="116" t="n"/>
      <c r="G468" s="116" t="n"/>
      <c r="H468" s="121">
        <f>IF(G468="","",IF(ISNUMBER(SEARCH("CAPITA",UPPER(G468))),651110,IF(ISNUMBER(SEARCH("REFUERZO",UPPER(G468))),651110,IF(ISNUMBER(SEARCH("VACUNACION",UPPER(G468))),651110,IF(ISNUMBER(SEARCH("ENFERMERIA",UPPER(G468))),651110,IF(ISNUMBER(SEARCH("APORTES",UPPER(G468))),651110,IF(ISNUMBER(SEARCH("HONORARIOS",UPPER(G468))),702010,IF(ISNUMBER(SEARCH("ADMINISTRACION",UPPER(G468))),702010,IF(ISNUMBER(SEARCH("GERENCIAMIENTO",UPPER(G468))),702010,IF(ISNUMBER(SEARCH("ALQUILER",UPPER(G468))),702010,IF(ISNUMBER(SEARCH("AUDITORIA",UPPER(G468))),702010,IF(ISNUMBER(SEARCH("PRESTACIONAL",UPPER(G468))),702010,702010))))))))))))</f>
        <v/>
      </c>
      <c r="I468" s="122" t="n"/>
      <c r="J468" s="122" t="n"/>
      <c r="K468" s="123">
        <f>IF(N(I468)&gt;0,ROUND(N(I468)*IVA_general,2),0)</f>
        <v/>
      </c>
      <c r="L468" s="122" t="n">
        <v>0</v>
      </c>
      <c r="M468" s="122" t="n"/>
      <c r="N468" s="123">
        <f>IF(SUM(I468:M468)=0,"",SUM(I468:M468))</f>
        <v/>
      </c>
      <c r="O468" s="124">
        <f>IF(A468="","",TEXT(A468,"yyyy-mm"))</f>
        <v/>
      </c>
      <c r="P468" s="121">
        <f>IF(A468="","",YEAR(A468))</f>
        <v/>
      </c>
      <c r="Q468" s="121">
        <f>IF(A468="","",MONTH(A468))</f>
        <v/>
      </c>
      <c r="R468" s="116" t="n"/>
      <c r="S468" s="116" t="n"/>
      <c r="T468" s="120" t="n"/>
      <c r="U468" s="122" t="n">
        <v>0</v>
      </c>
      <c r="V468" s="123">
        <f>IF(B468="","",N468-U468)</f>
        <v/>
      </c>
      <c r="W468" s="116" t="n"/>
      <c r="X468" s="125">
        <f>IF(B468="","",IF(LEFT(B468,2)="NC",-1,1))</f>
        <v/>
      </c>
      <c r="Y468" s="123">
        <f>IF(B468="",0,N(I468)*X468)</f>
        <v/>
      </c>
      <c r="Z468" s="123">
        <f>IF(B468="",0,N(J468)*X468)</f>
        <v/>
      </c>
      <c r="AA468" s="123">
        <f>IF(B468="",0,N(K468)*X468)</f>
        <v/>
      </c>
      <c r="AB468" s="123">
        <f>IF(B468="",0,N(L468)*X468)</f>
        <v/>
      </c>
      <c r="AC468" s="123">
        <f>IF(B468="",0,N(N468)*X468)</f>
        <v/>
      </c>
    </row>
    <row r="469" ht="15" customHeight="1" s="83">
      <c r="A469" s="120" t="n"/>
      <c r="B469" s="116" t="n"/>
      <c r="C469" s="116" t="n"/>
      <c r="D469" s="116" t="n"/>
      <c r="E469" s="116" t="n"/>
      <c r="F469" s="116" t="n"/>
      <c r="G469" s="116" t="n"/>
      <c r="H469" s="121">
        <f>IF(G469="","",IF(ISNUMBER(SEARCH("CAPITA",UPPER(G469))),651110,IF(ISNUMBER(SEARCH("REFUERZO",UPPER(G469))),651110,IF(ISNUMBER(SEARCH("VACUNACION",UPPER(G469))),651110,IF(ISNUMBER(SEARCH("ENFERMERIA",UPPER(G469))),651110,IF(ISNUMBER(SEARCH("APORTES",UPPER(G469))),651110,IF(ISNUMBER(SEARCH("HONORARIOS",UPPER(G469))),702010,IF(ISNUMBER(SEARCH("ADMINISTRACION",UPPER(G469))),702010,IF(ISNUMBER(SEARCH("GERENCIAMIENTO",UPPER(G469))),702010,IF(ISNUMBER(SEARCH("ALQUILER",UPPER(G469))),702010,IF(ISNUMBER(SEARCH("AUDITORIA",UPPER(G469))),702010,IF(ISNUMBER(SEARCH("PRESTACIONAL",UPPER(G469))),702010,702010))))))))))))</f>
        <v/>
      </c>
      <c r="I469" s="122" t="n"/>
      <c r="J469" s="122" t="n"/>
      <c r="K469" s="123">
        <f>IF(N(I469)&gt;0,ROUND(N(I469)*IVA_general,2),0)</f>
        <v/>
      </c>
      <c r="L469" s="122" t="n">
        <v>0</v>
      </c>
      <c r="M469" s="122" t="n"/>
      <c r="N469" s="123">
        <f>IF(SUM(I469:M469)=0,"",SUM(I469:M469))</f>
        <v/>
      </c>
      <c r="O469" s="124">
        <f>IF(A469="","",TEXT(A469,"yyyy-mm"))</f>
        <v/>
      </c>
      <c r="P469" s="121">
        <f>IF(A469="","",YEAR(A469))</f>
        <v/>
      </c>
      <c r="Q469" s="121">
        <f>IF(A469="","",MONTH(A469))</f>
        <v/>
      </c>
      <c r="R469" s="116" t="n"/>
      <c r="S469" s="116" t="n"/>
      <c r="T469" s="120" t="n"/>
      <c r="U469" s="122" t="n">
        <v>0</v>
      </c>
      <c r="V469" s="123">
        <f>IF(B469="","",N469-U469)</f>
        <v/>
      </c>
      <c r="W469" s="116" t="n"/>
      <c r="X469" s="125">
        <f>IF(B469="","",IF(LEFT(B469,2)="NC",-1,1))</f>
        <v/>
      </c>
      <c r="Y469" s="123">
        <f>IF(B469="",0,N(I469)*X469)</f>
        <v/>
      </c>
      <c r="Z469" s="123">
        <f>IF(B469="",0,N(J469)*X469)</f>
        <v/>
      </c>
      <c r="AA469" s="123">
        <f>IF(B469="",0,N(K469)*X469)</f>
        <v/>
      </c>
      <c r="AB469" s="123">
        <f>IF(B469="",0,N(L469)*X469)</f>
        <v/>
      </c>
      <c r="AC469" s="123">
        <f>IF(B469="",0,N(N469)*X469)</f>
        <v/>
      </c>
    </row>
    <row r="470" ht="15" customHeight="1" s="83">
      <c r="A470" s="120" t="n"/>
      <c r="B470" s="116" t="n"/>
      <c r="C470" s="116" t="n"/>
      <c r="D470" s="116" t="n"/>
      <c r="E470" s="116" t="n"/>
      <c r="F470" s="116" t="n"/>
      <c r="G470" s="116" t="n"/>
      <c r="H470" s="121">
        <f>IF(G470="","",IF(ISNUMBER(SEARCH("CAPITA",UPPER(G470))),651110,IF(ISNUMBER(SEARCH("REFUERZO",UPPER(G470))),651110,IF(ISNUMBER(SEARCH("VACUNACION",UPPER(G470))),651110,IF(ISNUMBER(SEARCH("ENFERMERIA",UPPER(G470))),651110,IF(ISNUMBER(SEARCH("APORTES",UPPER(G470))),651110,IF(ISNUMBER(SEARCH("HONORARIOS",UPPER(G470))),702010,IF(ISNUMBER(SEARCH("ADMINISTRACION",UPPER(G470))),702010,IF(ISNUMBER(SEARCH("GERENCIAMIENTO",UPPER(G470))),702010,IF(ISNUMBER(SEARCH("ALQUILER",UPPER(G470))),702010,IF(ISNUMBER(SEARCH("AUDITORIA",UPPER(G470))),702010,IF(ISNUMBER(SEARCH("PRESTACIONAL",UPPER(G470))),702010,702010))))))))))))</f>
        <v/>
      </c>
      <c r="I470" s="122" t="n"/>
      <c r="J470" s="122" t="n"/>
      <c r="K470" s="123">
        <f>IF(N(I470)&gt;0,ROUND(N(I470)*IVA_general,2),0)</f>
        <v/>
      </c>
      <c r="L470" s="122" t="n">
        <v>0</v>
      </c>
      <c r="M470" s="122" t="n"/>
      <c r="N470" s="123">
        <f>IF(SUM(I470:M470)=0,"",SUM(I470:M470))</f>
        <v/>
      </c>
      <c r="O470" s="124">
        <f>IF(A470="","",TEXT(A470,"yyyy-mm"))</f>
        <v/>
      </c>
      <c r="P470" s="121">
        <f>IF(A470="","",YEAR(A470))</f>
        <v/>
      </c>
      <c r="Q470" s="121">
        <f>IF(A470="","",MONTH(A470))</f>
        <v/>
      </c>
      <c r="R470" s="116" t="n"/>
      <c r="S470" s="116" t="n"/>
      <c r="T470" s="120" t="n"/>
      <c r="U470" s="122" t="n">
        <v>0</v>
      </c>
      <c r="V470" s="123">
        <f>IF(B470="","",N470-U470)</f>
        <v/>
      </c>
      <c r="W470" s="116" t="n"/>
      <c r="X470" s="125">
        <f>IF(B470="","",IF(LEFT(B470,2)="NC",-1,1))</f>
        <v/>
      </c>
      <c r="Y470" s="123">
        <f>IF(B470="",0,N(I470)*X470)</f>
        <v/>
      </c>
      <c r="Z470" s="123">
        <f>IF(B470="",0,N(J470)*X470)</f>
        <v/>
      </c>
      <c r="AA470" s="123">
        <f>IF(B470="",0,N(K470)*X470)</f>
        <v/>
      </c>
      <c r="AB470" s="123">
        <f>IF(B470="",0,N(L470)*X470)</f>
        <v/>
      </c>
      <c r="AC470" s="123">
        <f>IF(B470="",0,N(N470)*X470)</f>
        <v/>
      </c>
    </row>
    <row r="471" ht="15" customHeight="1" s="83">
      <c r="A471" s="120" t="n"/>
      <c r="B471" s="116" t="n"/>
      <c r="C471" s="116" t="n"/>
      <c r="D471" s="116" t="n"/>
      <c r="E471" s="116" t="n"/>
      <c r="F471" s="116" t="n"/>
      <c r="G471" s="116" t="n"/>
      <c r="H471" s="121">
        <f>IF(G471="","",IF(ISNUMBER(SEARCH("CAPITA",UPPER(G471))),651110,IF(ISNUMBER(SEARCH("REFUERZO",UPPER(G471))),651110,IF(ISNUMBER(SEARCH("VACUNACION",UPPER(G471))),651110,IF(ISNUMBER(SEARCH("ENFERMERIA",UPPER(G471))),651110,IF(ISNUMBER(SEARCH("APORTES",UPPER(G471))),651110,IF(ISNUMBER(SEARCH("HONORARIOS",UPPER(G471))),702010,IF(ISNUMBER(SEARCH("ADMINISTRACION",UPPER(G471))),702010,IF(ISNUMBER(SEARCH("GERENCIAMIENTO",UPPER(G471))),702010,IF(ISNUMBER(SEARCH("ALQUILER",UPPER(G471))),702010,IF(ISNUMBER(SEARCH("AUDITORIA",UPPER(G471))),702010,IF(ISNUMBER(SEARCH("PRESTACIONAL",UPPER(G471))),702010,702010))))))))))))</f>
        <v/>
      </c>
      <c r="I471" s="122" t="n"/>
      <c r="J471" s="122" t="n"/>
      <c r="K471" s="123">
        <f>IF(N(I471)&gt;0,ROUND(N(I471)*IVA_general,2),0)</f>
        <v/>
      </c>
      <c r="L471" s="122" t="n">
        <v>0</v>
      </c>
      <c r="M471" s="122" t="n"/>
      <c r="N471" s="123">
        <f>IF(SUM(I471:M471)=0,"",SUM(I471:M471))</f>
        <v/>
      </c>
      <c r="O471" s="124">
        <f>IF(A471="","",TEXT(A471,"yyyy-mm"))</f>
        <v/>
      </c>
      <c r="P471" s="121">
        <f>IF(A471="","",YEAR(A471))</f>
        <v/>
      </c>
      <c r="Q471" s="121">
        <f>IF(A471="","",MONTH(A471))</f>
        <v/>
      </c>
      <c r="R471" s="116" t="n"/>
      <c r="S471" s="116" t="n"/>
      <c r="T471" s="120" t="n"/>
      <c r="U471" s="122" t="n">
        <v>0</v>
      </c>
      <c r="V471" s="123">
        <f>IF(B471="","",N471-U471)</f>
        <v/>
      </c>
      <c r="W471" s="116" t="n"/>
      <c r="X471" s="125">
        <f>IF(B471="","",IF(LEFT(B471,2)="NC",-1,1))</f>
        <v/>
      </c>
      <c r="Y471" s="123">
        <f>IF(B471="",0,N(I471)*X471)</f>
        <v/>
      </c>
      <c r="Z471" s="123">
        <f>IF(B471="",0,N(J471)*X471)</f>
        <v/>
      </c>
      <c r="AA471" s="123">
        <f>IF(B471="",0,N(K471)*X471)</f>
        <v/>
      </c>
      <c r="AB471" s="123">
        <f>IF(B471="",0,N(L471)*X471)</f>
        <v/>
      </c>
      <c r="AC471" s="123">
        <f>IF(B471="",0,N(N471)*X471)</f>
        <v/>
      </c>
    </row>
    <row r="472" ht="15" customHeight="1" s="83">
      <c r="A472" s="120" t="n"/>
      <c r="B472" s="116" t="n"/>
      <c r="C472" s="116" t="n"/>
      <c r="D472" s="116" t="n"/>
      <c r="E472" s="116" t="n"/>
      <c r="F472" s="116" t="n"/>
      <c r="G472" s="116" t="n"/>
      <c r="H472" s="121">
        <f>IF(G472="","",IF(ISNUMBER(SEARCH("CAPITA",UPPER(G472))),651110,IF(ISNUMBER(SEARCH("REFUERZO",UPPER(G472))),651110,IF(ISNUMBER(SEARCH("VACUNACION",UPPER(G472))),651110,IF(ISNUMBER(SEARCH("ENFERMERIA",UPPER(G472))),651110,IF(ISNUMBER(SEARCH("APORTES",UPPER(G472))),651110,IF(ISNUMBER(SEARCH("HONORARIOS",UPPER(G472))),702010,IF(ISNUMBER(SEARCH("ADMINISTRACION",UPPER(G472))),702010,IF(ISNUMBER(SEARCH("GERENCIAMIENTO",UPPER(G472))),702010,IF(ISNUMBER(SEARCH("ALQUILER",UPPER(G472))),702010,IF(ISNUMBER(SEARCH("AUDITORIA",UPPER(G472))),702010,IF(ISNUMBER(SEARCH("PRESTACIONAL",UPPER(G472))),702010,702010))))))))))))</f>
        <v/>
      </c>
      <c r="I472" s="122" t="n"/>
      <c r="J472" s="122" t="n"/>
      <c r="K472" s="123">
        <f>IF(N(I472)&gt;0,ROUND(N(I472)*IVA_general,2),0)</f>
        <v/>
      </c>
      <c r="L472" s="122" t="n">
        <v>0</v>
      </c>
      <c r="M472" s="122" t="n"/>
      <c r="N472" s="123">
        <f>IF(SUM(I472:M472)=0,"",SUM(I472:M472))</f>
        <v/>
      </c>
      <c r="O472" s="124">
        <f>IF(A472="","",TEXT(A472,"yyyy-mm"))</f>
        <v/>
      </c>
      <c r="P472" s="121">
        <f>IF(A472="","",YEAR(A472))</f>
        <v/>
      </c>
      <c r="Q472" s="121">
        <f>IF(A472="","",MONTH(A472))</f>
        <v/>
      </c>
      <c r="R472" s="116" t="n"/>
      <c r="S472" s="116" t="n"/>
      <c r="T472" s="120" t="n"/>
      <c r="U472" s="122" t="n">
        <v>0</v>
      </c>
      <c r="V472" s="123">
        <f>IF(B472="","",N472-U472)</f>
        <v/>
      </c>
      <c r="W472" s="116" t="n"/>
      <c r="X472" s="125">
        <f>IF(B472="","",IF(LEFT(B472,2)="NC",-1,1))</f>
        <v/>
      </c>
      <c r="Y472" s="123">
        <f>IF(B472="",0,N(I472)*X472)</f>
        <v/>
      </c>
      <c r="Z472" s="123">
        <f>IF(B472="",0,N(J472)*X472)</f>
        <v/>
      </c>
      <c r="AA472" s="123">
        <f>IF(B472="",0,N(K472)*X472)</f>
        <v/>
      </c>
      <c r="AB472" s="123">
        <f>IF(B472="",0,N(L472)*X472)</f>
        <v/>
      </c>
      <c r="AC472" s="123">
        <f>IF(B472="",0,N(N472)*X472)</f>
        <v/>
      </c>
    </row>
    <row r="473" ht="15" customHeight="1" s="83">
      <c r="A473" s="120" t="n"/>
      <c r="B473" s="116" t="n"/>
      <c r="C473" s="116" t="n"/>
      <c r="D473" s="116" t="n"/>
      <c r="E473" s="116" t="n"/>
      <c r="F473" s="116" t="n"/>
      <c r="G473" s="116" t="n"/>
      <c r="H473" s="121">
        <f>IF(G473="","",IF(ISNUMBER(SEARCH("CAPITA",UPPER(G473))),651110,IF(ISNUMBER(SEARCH("REFUERZO",UPPER(G473))),651110,IF(ISNUMBER(SEARCH("VACUNACION",UPPER(G473))),651110,IF(ISNUMBER(SEARCH("ENFERMERIA",UPPER(G473))),651110,IF(ISNUMBER(SEARCH("APORTES",UPPER(G473))),651110,IF(ISNUMBER(SEARCH("HONORARIOS",UPPER(G473))),702010,IF(ISNUMBER(SEARCH("ADMINISTRACION",UPPER(G473))),702010,IF(ISNUMBER(SEARCH("GERENCIAMIENTO",UPPER(G473))),702010,IF(ISNUMBER(SEARCH("ALQUILER",UPPER(G473))),702010,IF(ISNUMBER(SEARCH("AUDITORIA",UPPER(G473))),702010,IF(ISNUMBER(SEARCH("PRESTACIONAL",UPPER(G473))),702010,702010))))))))))))</f>
        <v/>
      </c>
      <c r="I473" s="122" t="n"/>
      <c r="J473" s="122" t="n"/>
      <c r="K473" s="123">
        <f>IF(N(I473)&gt;0,ROUND(N(I473)*IVA_general,2),0)</f>
        <v/>
      </c>
      <c r="L473" s="122" t="n">
        <v>0</v>
      </c>
      <c r="M473" s="122" t="n"/>
      <c r="N473" s="123">
        <f>IF(SUM(I473:M473)=0,"",SUM(I473:M473))</f>
        <v/>
      </c>
      <c r="O473" s="124">
        <f>IF(A473="","",TEXT(A473,"yyyy-mm"))</f>
        <v/>
      </c>
      <c r="P473" s="121">
        <f>IF(A473="","",YEAR(A473))</f>
        <v/>
      </c>
      <c r="Q473" s="121">
        <f>IF(A473="","",MONTH(A473))</f>
        <v/>
      </c>
      <c r="R473" s="116" t="n"/>
      <c r="S473" s="116" t="n"/>
      <c r="T473" s="120" t="n"/>
      <c r="U473" s="122" t="n">
        <v>0</v>
      </c>
      <c r="V473" s="123">
        <f>IF(B473="","",N473-U473)</f>
        <v/>
      </c>
      <c r="W473" s="116" t="n"/>
      <c r="X473" s="125">
        <f>IF(B473="","",IF(LEFT(B473,2)="NC",-1,1))</f>
        <v/>
      </c>
      <c r="Y473" s="123">
        <f>IF(B473="",0,N(I473)*X473)</f>
        <v/>
      </c>
      <c r="Z473" s="123">
        <f>IF(B473="",0,N(J473)*X473)</f>
        <v/>
      </c>
      <c r="AA473" s="123">
        <f>IF(B473="",0,N(K473)*X473)</f>
        <v/>
      </c>
      <c r="AB473" s="123">
        <f>IF(B473="",0,N(L473)*X473)</f>
        <v/>
      </c>
      <c r="AC473" s="123">
        <f>IF(B473="",0,N(N473)*X473)</f>
        <v/>
      </c>
    </row>
    <row r="474" ht="15" customHeight="1" s="83">
      <c r="A474" s="120" t="n"/>
      <c r="B474" s="116" t="n"/>
      <c r="C474" s="116" t="n"/>
      <c r="D474" s="116" t="n"/>
      <c r="E474" s="116" t="n"/>
      <c r="F474" s="116" t="n"/>
      <c r="G474" s="116" t="n"/>
      <c r="H474" s="121">
        <f>IF(G474="","",IF(ISNUMBER(SEARCH("CAPITA",UPPER(G474))),651110,IF(ISNUMBER(SEARCH("REFUERZO",UPPER(G474))),651110,IF(ISNUMBER(SEARCH("VACUNACION",UPPER(G474))),651110,IF(ISNUMBER(SEARCH("ENFERMERIA",UPPER(G474))),651110,IF(ISNUMBER(SEARCH("APORTES",UPPER(G474))),651110,IF(ISNUMBER(SEARCH("HONORARIOS",UPPER(G474))),702010,IF(ISNUMBER(SEARCH("ADMINISTRACION",UPPER(G474))),702010,IF(ISNUMBER(SEARCH("GERENCIAMIENTO",UPPER(G474))),702010,IF(ISNUMBER(SEARCH("ALQUILER",UPPER(G474))),702010,IF(ISNUMBER(SEARCH("AUDITORIA",UPPER(G474))),702010,IF(ISNUMBER(SEARCH("PRESTACIONAL",UPPER(G474))),702010,702010))))))))))))</f>
        <v/>
      </c>
      <c r="I474" s="122" t="n"/>
      <c r="J474" s="122" t="n"/>
      <c r="K474" s="123">
        <f>IF(N(I474)&gt;0,ROUND(N(I474)*IVA_general,2),0)</f>
        <v/>
      </c>
      <c r="L474" s="122" t="n">
        <v>0</v>
      </c>
      <c r="M474" s="122" t="n"/>
      <c r="N474" s="123">
        <f>IF(SUM(I474:M474)=0,"",SUM(I474:M474))</f>
        <v/>
      </c>
      <c r="O474" s="124">
        <f>IF(A474="","",TEXT(A474,"yyyy-mm"))</f>
        <v/>
      </c>
      <c r="P474" s="121">
        <f>IF(A474="","",YEAR(A474))</f>
        <v/>
      </c>
      <c r="Q474" s="121">
        <f>IF(A474="","",MONTH(A474))</f>
        <v/>
      </c>
      <c r="R474" s="116" t="n"/>
      <c r="S474" s="116" t="n"/>
      <c r="T474" s="120" t="n"/>
      <c r="U474" s="122" t="n">
        <v>0</v>
      </c>
      <c r="V474" s="123">
        <f>IF(B474="","",N474-U474)</f>
        <v/>
      </c>
      <c r="W474" s="116" t="n"/>
      <c r="X474" s="125">
        <f>IF(B474="","",IF(LEFT(B474,2)="NC",-1,1))</f>
        <v/>
      </c>
      <c r="Y474" s="123">
        <f>IF(B474="",0,N(I474)*X474)</f>
        <v/>
      </c>
      <c r="Z474" s="123">
        <f>IF(B474="",0,N(J474)*X474)</f>
        <v/>
      </c>
      <c r="AA474" s="123">
        <f>IF(B474="",0,N(K474)*X474)</f>
        <v/>
      </c>
      <c r="AB474" s="123">
        <f>IF(B474="",0,N(L474)*X474)</f>
        <v/>
      </c>
      <c r="AC474" s="123">
        <f>IF(B474="",0,N(N474)*X474)</f>
        <v/>
      </c>
    </row>
    <row r="475" ht="15" customHeight="1" s="83">
      <c r="A475" s="120" t="n"/>
      <c r="B475" s="116" t="n"/>
      <c r="C475" s="116" t="n"/>
      <c r="D475" s="116" t="n"/>
      <c r="E475" s="116" t="n"/>
      <c r="F475" s="116" t="n"/>
      <c r="G475" s="116" t="n"/>
      <c r="H475" s="121">
        <f>IF(G475="","",IF(ISNUMBER(SEARCH("CAPITA",UPPER(G475))),651110,IF(ISNUMBER(SEARCH("REFUERZO",UPPER(G475))),651110,IF(ISNUMBER(SEARCH("VACUNACION",UPPER(G475))),651110,IF(ISNUMBER(SEARCH("ENFERMERIA",UPPER(G475))),651110,IF(ISNUMBER(SEARCH("APORTES",UPPER(G475))),651110,IF(ISNUMBER(SEARCH("HONORARIOS",UPPER(G475))),702010,IF(ISNUMBER(SEARCH("ADMINISTRACION",UPPER(G475))),702010,IF(ISNUMBER(SEARCH("GERENCIAMIENTO",UPPER(G475))),702010,IF(ISNUMBER(SEARCH("ALQUILER",UPPER(G475))),702010,IF(ISNUMBER(SEARCH("AUDITORIA",UPPER(G475))),702010,IF(ISNUMBER(SEARCH("PRESTACIONAL",UPPER(G475))),702010,702010))))))))))))</f>
        <v/>
      </c>
      <c r="I475" s="122" t="n"/>
      <c r="J475" s="122" t="n"/>
      <c r="K475" s="123">
        <f>IF(N(I475)&gt;0,ROUND(N(I475)*IVA_general,2),0)</f>
        <v/>
      </c>
      <c r="L475" s="122" t="n">
        <v>0</v>
      </c>
      <c r="M475" s="122" t="n"/>
      <c r="N475" s="123">
        <f>IF(SUM(I475:M475)=0,"",SUM(I475:M475))</f>
        <v/>
      </c>
      <c r="O475" s="124">
        <f>IF(A475="","",TEXT(A475,"yyyy-mm"))</f>
        <v/>
      </c>
      <c r="P475" s="121">
        <f>IF(A475="","",YEAR(A475))</f>
        <v/>
      </c>
      <c r="Q475" s="121">
        <f>IF(A475="","",MONTH(A475))</f>
        <v/>
      </c>
      <c r="R475" s="116" t="n"/>
      <c r="S475" s="116" t="n"/>
      <c r="T475" s="120" t="n"/>
      <c r="U475" s="122" t="n">
        <v>0</v>
      </c>
      <c r="V475" s="123">
        <f>IF(B475="","",N475-U475)</f>
        <v/>
      </c>
      <c r="W475" s="116" t="n"/>
      <c r="X475" s="125">
        <f>IF(B475="","",IF(LEFT(B475,2)="NC",-1,1))</f>
        <v/>
      </c>
      <c r="Y475" s="123">
        <f>IF(B475="",0,N(I475)*X475)</f>
        <v/>
      </c>
      <c r="Z475" s="123">
        <f>IF(B475="",0,N(J475)*X475)</f>
        <v/>
      </c>
      <c r="AA475" s="123">
        <f>IF(B475="",0,N(K475)*X475)</f>
        <v/>
      </c>
      <c r="AB475" s="123">
        <f>IF(B475="",0,N(L475)*X475)</f>
        <v/>
      </c>
      <c r="AC475" s="123">
        <f>IF(B475="",0,N(N475)*X475)</f>
        <v/>
      </c>
    </row>
    <row r="476" ht="15" customHeight="1" s="83">
      <c r="A476" s="120" t="n"/>
      <c r="B476" s="116" t="n"/>
      <c r="C476" s="116" t="n"/>
      <c r="D476" s="116" t="n"/>
      <c r="E476" s="116" t="n"/>
      <c r="F476" s="116" t="n"/>
      <c r="G476" s="116" t="n"/>
      <c r="H476" s="121">
        <f>IF(G476="","",IF(ISNUMBER(SEARCH("CAPITA",UPPER(G476))),651110,IF(ISNUMBER(SEARCH("REFUERZO",UPPER(G476))),651110,IF(ISNUMBER(SEARCH("VACUNACION",UPPER(G476))),651110,IF(ISNUMBER(SEARCH("ENFERMERIA",UPPER(G476))),651110,IF(ISNUMBER(SEARCH("APORTES",UPPER(G476))),651110,IF(ISNUMBER(SEARCH("HONORARIOS",UPPER(G476))),702010,IF(ISNUMBER(SEARCH("ADMINISTRACION",UPPER(G476))),702010,IF(ISNUMBER(SEARCH("GERENCIAMIENTO",UPPER(G476))),702010,IF(ISNUMBER(SEARCH("ALQUILER",UPPER(G476))),702010,IF(ISNUMBER(SEARCH("AUDITORIA",UPPER(G476))),702010,IF(ISNUMBER(SEARCH("PRESTACIONAL",UPPER(G476))),702010,702010))))))))))))</f>
        <v/>
      </c>
      <c r="I476" s="122" t="n"/>
      <c r="J476" s="122" t="n"/>
      <c r="K476" s="123">
        <f>IF(N(I476)&gt;0,ROUND(N(I476)*IVA_general,2),0)</f>
        <v/>
      </c>
      <c r="L476" s="122" t="n">
        <v>0</v>
      </c>
      <c r="M476" s="122" t="n"/>
      <c r="N476" s="123">
        <f>IF(SUM(I476:M476)=0,"",SUM(I476:M476))</f>
        <v/>
      </c>
      <c r="O476" s="124">
        <f>IF(A476="","",TEXT(A476,"yyyy-mm"))</f>
        <v/>
      </c>
      <c r="P476" s="121">
        <f>IF(A476="","",YEAR(A476))</f>
        <v/>
      </c>
      <c r="Q476" s="121">
        <f>IF(A476="","",MONTH(A476))</f>
        <v/>
      </c>
      <c r="R476" s="116" t="n"/>
      <c r="S476" s="116" t="n"/>
      <c r="T476" s="120" t="n"/>
      <c r="U476" s="122" t="n">
        <v>0</v>
      </c>
      <c r="V476" s="123">
        <f>IF(B476="","",N476-U476)</f>
        <v/>
      </c>
      <c r="W476" s="116" t="n"/>
      <c r="X476" s="125">
        <f>IF(B476="","",IF(LEFT(B476,2)="NC",-1,1))</f>
        <v/>
      </c>
      <c r="Y476" s="123">
        <f>IF(B476="",0,N(I476)*X476)</f>
        <v/>
      </c>
      <c r="Z476" s="123">
        <f>IF(B476="",0,N(J476)*X476)</f>
        <v/>
      </c>
      <c r="AA476" s="123">
        <f>IF(B476="",0,N(K476)*X476)</f>
        <v/>
      </c>
      <c r="AB476" s="123">
        <f>IF(B476="",0,N(L476)*X476)</f>
        <v/>
      </c>
      <c r="AC476" s="123">
        <f>IF(B476="",0,N(N476)*X476)</f>
        <v/>
      </c>
    </row>
    <row r="477" ht="15" customHeight="1" s="83">
      <c r="A477" s="120" t="n"/>
      <c r="B477" s="116" t="n"/>
      <c r="C477" s="116" t="n"/>
      <c r="D477" s="116" t="n"/>
      <c r="E477" s="116" t="n"/>
      <c r="F477" s="116" t="n"/>
      <c r="G477" s="116" t="n"/>
      <c r="H477" s="121">
        <f>IF(G477="","",IF(ISNUMBER(SEARCH("CAPITA",UPPER(G477))),651110,IF(ISNUMBER(SEARCH("REFUERZO",UPPER(G477))),651110,IF(ISNUMBER(SEARCH("VACUNACION",UPPER(G477))),651110,IF(ISNUMBER(SEARCH("ENFERMERIA",UPPER(G477))),651110,IF(ISNUMBER(SEARCH("APORTES",UPPER(G477))),651110,IF(ISNUMBER(SEARCH("HONORARIOS",UPPER(G477))),702010,IF(ISNUMBER(SEARCH("ADMINISTRACION",UPPER(G477))),702010,IF(ISNUMBER(SEARCH("GERENCIAMIENTO",UPPER(G477))),702010,IF(ISNUMBER(SEARCH("ALQUILER",UPPER(G477))),702010,IF(ISNUMBER(SEARCH("AUDITORIA",UPPER(G477))),702010,IF(ISNUMBER(SEARCH("PRESTACIONAL",UPPER(G477))),702010,702010))))))))))))</f>
        <v/>
      </c>
      <c r="I477" s="122" t="n"/>
      <c r="J477" s="122" t="n"/>
      <c r="K477" s="123">
        <f>IF(N(I477)&gt;0,ROUND(N(I477)*IVA_general,2),0)</f>
        <v/>
      </c>
      <c r="L477" s="122" t="n">
        <v>0</v>
      </c>
      <c r="M477" s="122" t="n"/>
      <c r="N477" s="123">
        <f>IF(SUM(I477:M477)=0,"",SUM(I477:M477))</f>
        <v/>
      </c>
      <c r="O477" s="124">
        <f>IF(A477="","",TEXT(A477,"yyyy-mm"))</f>
        <v/>
      </c>
      <c r="P477" s="121">
        <f>IF(A477="","",YEAR(A477))</f>
        <v/>
      </c>
      <c r="Q477" s="121">
        <f>IF(A477="","",MONTH(A477))</f>
        <v/>
      </c>
      <c r="R477" s="116" t="n"/>
      <c r="S477" s="116" t="n"/>
      <c r="T477" s="120" t="n"/>
      <c r="U477" s="122" t="n">
        <v>0</v>
      </c>
      <c r="V477" s="123">
        <f>IF(B477="","",N477-U477)</f>
        <v/>
      </c>
      <c r="W477" s="116" t="n"/>
      <c r="X477" s="125">
        <f>IF(B477="","",IF(LEFT(B477,2)="NC",-1,1))</f>
        <v/>
      </c>
      <c r="Y477" s="123">
        <f>IF(B477="",0,N(I477)*X477)</f>
        <v/>
      </c>
      <c r="Z477" s="123">
        <f>IF(B477="",0,N(J477)*X477)</f>
        <v/>
      </c>
      <c r="AA477" s="123">
        <f>IF(B477="",0,N(K477)*X477)</f>
        <v/>
      </c>
      <c r="AB477" s="123">
        <f>IF(B477="",0,N(L477)*X477)</f>
        <v/>
      </c>
      <c r="AC477" s="123">
        <f>IF(B477="",0,N(N477)*X477)</f>
        <v/>
      </c>
    </row>
    <row r="478" ht="15" customHeight="1" s="83">
      <c r="A478" s="120" t="n"/>
      <c r="B478" s="116" t="n"/>
      <c r="C478" s="116" t="n"/>
      <c r="D478" s="116" t="n"/>
      <c r="E478" s="116" t="n"/>
      <c r="F478" s="116" t="n"/>
      <c r="G478" s="116" t="n"/>
      <c r="H478" s="121">
        <f>IF(G478="","",IF(ISNUMBER(SEARCH("CAPITA",UPPER(G478))),651110,IF(ISNUMBER(SEARCH("REFUERZO",UPPER(G478))),651110,IF(ISNUMBER(SEARCH("VACUNACION",UPPER(G478))),651110,IF(ISNUMBER(SEARCH("ENFERMERIA",UPPER(G478))),651110,IF(ISNUMBER(SEARCH("APORTES",UPPER(G478))),651110,IF(ISNUMBER(SEARCH("HONORARIOS",UPPER(G478))),702010,IF(ISNUMBER(SEARCH("ADMINISTRACION",UPPER(G478))),702010,IF(ISNUMBER(SEARCH("GERENCIAMIENTO",UPPER(G478))),702010,IF(ISNUMBER(SEARCH("ALQUILER",UPPER(G478))),702010,IF(ISNUMBER(SEARCH("AUDITORIA",UPPER(G478))),702010,IF(ISNUMBER(SEARCH("PRESTACIONAL",UPPER(G478))),702010,702010))))))))))))</f>
        <v/>
      </c>
      <c r="I478" s="122" t="n"/>
      <c r="J478" s="122" t="n"/>
      <c r="K478" s="123">
        <f>IF(N(I478)&gt;0,ROUND(N(I478)*IVA_general,2),0)</f>
        <v/>
      </c>
      <c r="L478" s="122" t="n">
        <v>0</v>
      </c>
      <c r="M478" s="122" t="n"/>
      <c r="N478" s="123">
        <f>IF(SUM(I478:M478)=0,"",SUM(I478:M478))</f>
        <v/>
      </c>
      <c r="O478" s="124">
        <f>IF(A478="","",TEXT(A478,"yyyy-mm"))</f>
        <v/>
      </c>
      <c r="P478" s="121">
        <f>IF(A478="","",YEAR(A478))</f>
        <v/>
      </c>
      <c r="Q478" s="121">
        <f>IF(A478="","",MONTH(A478))</f>
        <v/>
      </c>
      <c r="R478" s="116" t="n"/>
      <c r="S478" s="116" t="n"/>
      <c r="T478" s="120" t="n"/>
      <c r="U478" s="122" t="n">
        <v>0</v>
      </c>
      <c r="V478" s="123">
        <f>IF(B478="","",N478-U478)</f>
        <v/>
      </c>
      <c r="W478" s="116" t="n"/>
      <c r="X478" s="125">
        <f>IF(B478="","",IF(LEFT(B478,2)="NC",-1,1))</f>
        <v/>
      </c>
      <c r="Y478" s="123">
        <f>IF(B478="",0,N(I478)*X478)</f>
        <v/>
      </c>
      <c r="Z478" s="123">
        <f>IF(B478="",0,N(J478)*X478)</f>
        <v/>
      </c>
      <c r="AA478" s="123">
        <f>IF(B478="",0,N(K478)*X478)</f>
        <v/>
      </c>
      <c r="AB478" s="123">
        <f>IF(B478="",0,N(L478)*X478)</f>
        <v/>
      </c>
      <c r="AC478" s="123">
        <f>IF(B478="",0,N(N478)*X478)</f>
        <v/>
      </c>
    </row>
    <row r="479" ht="15" customHeight="1" s="83">
      <c r="A479" s="120" t="n"/>
      <c r="B479" s="116" t="n"/>
      <c r="C479" s="116" t="n"/>
      <c r="D479" s="116" t="n"/>
      <c r="E479" s="116" t="n"/>
      <c r="F479" s="116" t="n"/>
      <c r="G479" s="116" t="n"/>
      <c r="H479" s="121">
        <f>IF(G479="","",IF(ISNUMBER(SEARCH("CAPITA",UPPER(G479))),651110,IF(ISNUMBER(SEARCH("REFUERZO",UPPER(G479))),651110,IF(ISNUMBER(SEARCH("VACUNACION",UPPER(G479))),651110,IF(ISNUMBER(SEARCH("ENFERMERIA",UPPER(G479))),651110,IF(ISNUMBER(SEARCH("APORTES",UPPER(G479))),651110,IF(ISNUMBER(SEARCH("HONORARIOS",UPPER(G479))),702010,IF(ISNUMBER(SEARCH("ADMINISTRACION",UPPER(G479))),702010,IF(ISNUMBER(SEARCH("GERENCIAMIENTO",UPPER(G479))),702010,IF(ISNUMBER(SEARCH("ALQUILER",UPPER(G479))),702010,IF(ISNUMBER(SEARCH("AUDITORIA",UPPER(G479))),702010,IF(ISNUMBER(SEARCH("PRESTACIONAL",UPPER(G479))),702010,702010))))))))))))</f>
        <v/>
      </c>
      <c r="I479" s="122" t="n"/>
      <c r="J479" s="122" t="n"/>
      <c r="K479" s="123">
        <f>IF(N(I479)&gt;0,ROUND(N(I479)*IVA_general,2),0)</f>
        <v/>
      </c>
      <c r="L479" s="122" t="n">
        <v>0</v>
      </c>
      <c r="M479" s="122" t="n"/>
      <c r="N479" s="123">
        <f>IF(SUM(I479:M479)=0,"",SUM(I479:M479))</f>
        <v/>
      </c>
      <c r="O479" s="124">
        <f>IF(A479="","",TEXT(A479,"yyyy-mm"))</f>
        <v/>
      </c>
      <c r="P479" s="121">
        <f>IF(A479="","",YEAR(A479))</f>
        <v/>
      </c>
      <c r="Q479" s="121">
        <f>IF(A479="","",MONTH(A479))</f>
        <v/>
      </c>
      <c r="R479" s="116" t="n"/>
      <c r="S479" s="116" t="n"/>
      <c r="T479" s="120" t="n"/>
      <c r="U479" s="122" t="n">
        <v>0</v>
      </c>
      <c r="V479" s="123">
        <f>IF(B479="","",N479-U479)</f>
        <v/>
      </c>
      <c r="W479" s="116" t="n"/>
      <c r="X479" s="125">
        <f>IF(B479="","",IF(LEFT(B479,2)="NC",-1,1))</f>
        <v/>
      </c>
      <c r="Y479" s="123">
        <f>IF(B479="",0,N(I479)*X479)</f>
        <v/>
      </c>
      <c r="Z479" s="123">
        <f>IF(B479="",0,N(J479)*X479)</f>
        <v/>
      </c>
      <c r="AA479" s="123">
        <f>IF(B479="",0,N(K479)*X479)</f>
        <v/>
      </c>
      <c r="AB479" s="123">
        <f>IF(B479="",0,N(L479)*X479)</f>
        <v/>
      </c>
      <c r="AC479" s="123">
        <f>IF(B479="",0,N(N479)*X479)</f>
        <v/>
      </c>
    </row>
    <row r="480" ht="15" customHeight="1" s="83">
      <c r="A480" s="120" t="n"/>
      <c r="B480" s="116" t="n"/>
      <c r="C480" s="116" t="n"/>
      <c r="D480" s="116" t="n"/>
      <c r="E480" s="116" t="n"/>
      <c r="F480" s="116" t="n"/>
      <c r="G480" s="116" t="n"/>
      <c r="H480" s="121">
        <f>IF(G480="","",IF(ISNUMBER(SEARCH("CAPITA",UPPER(G480))),651110,IF(ISNUMBER(SEARCH("REFUERZO",UPPER(G480))),651110,IF(ISNUMBER(SEARCH("VACUNACION",UPPER(G480))),651110,IF(ISNUMBER(SEARCH("ENFERMERIA",UPPER(G480))),651110,IF(ISNUMBER(SEARCH("APORTES",UPPER(G480))),651110,IF(ISNUMBER(SEARCH("HONORARIOS",UPPER(G480))),702010,IF(ISNUMBER(SEARCH("ADMINISTRACION",UPPER(G480))),702010,IF(ISNUMBER(SEARCH("GERENCIAMIENTO",UPPER(G480))),702010,IF(ISNUMBER(SEARCH("ALQUILER",UPPER(G480))),702010,IF(ISNUMBER(SEARCH("AUDITORIA",UPPER(G480))),702010,IF(ISNUMBER(SEARCH("PRESTACIONAL",UPPER(G480))),702010,702010))))))))))))</f>
        <v/>
      </c>
      <c r="I480" s="122" t="n"/>
      <c r="J480" s="122" t="n"/>
      <c r="K480" s="123">
        <f>IF(N(I480)&gt;0,ROUND(N(I480)*IVA_general,2),0)</f>
        <v/>
      </c>
      <c r="L480" s="122" t="n">
        <v>0</v>
      </c>
      <c r="M480" s="122" t="n"/>
      <c r="N480" s="123">
        <f>IF(SUM(I480:M480)=0,"",SUM(I480:M480))</f>
        <v/>
      </c>
      <c r="O480" s="124">
        <f>IF(A480="","",TEXT(A480,"yyyy-mm"))</f>
        <v/>
      </c>
      <c r="P480" s="121">
        <f>IF(A480="","",YEAR(A480))</f>
        <v/>
      </c>
      <c r="Q480" s="121">
        <f>IF(A480="","",MONTH(A480))</f>
        <v/>
      </c>
      <c r="R480" s="116" t="n"/>
      <c r="S480" s="116" t="n"/>
      <c r="T480" s="120" t="n"/>
      <c r="U480" s="122" t="n">
        <v>0</v>
      </c>
      <c r="V480" s="123">
        <f>IF(B480="","",N480-U480)</f>
        <v/>
      </c>
      <c r="W480" s="116" t="n"/>
      <c r="X480" s="125">
        <f>IF(B480="","",IF(LEFT(B480,2)="NC",-1,1))</f>
        <v/>
      </c>
      <c r="Y480" s="123">
        <f>IF(B480="",0,N(I480)*X480)</f>
        <v/>
      </c>
      <c r="Z480" s="123">
        <f>IF(B480="",0,N(J480)*X480)</f>
        <v/>
      </c>
      <c r="AA480" s="123">
        <f>IF(B480="",0,N(K480)*X480)</f>
        <v/>
      </c>
      <c r="AB480" s="123">
        <f>IF(B480="",0,N(L480)*X480)</f>
        <v/>
      </c>
      <c r="AC480" s="123">
        <f>IF(B480="",0,N(N480)*X480)</f>
        <v/>
      </c>
    </row>
    <row r="481" ht="15" customHeight="1" s="83">
      <c r="A481" s="120" t="n"/>
      <c r="B481" s="116" t="n"/>
      <c r="C481" s="116" t="n"/>
      <c r="D481" s="116" t="n"/>
      <c r="E481" s="116" t="n"/>
      <c r="F481" s="116" t="n"/>
      <c r="G481" s="116" t="n"/>
      <c r="H481" s="121">
        <f>IF(G481="","",IF(ISNUMBER(SEARCH("CAPITA",UPPER(G481))),651110,IF(ISNUMBER(SEARCH("REFUERZO",UPPER(G481))),651110,IF(ISNUMBER(SEARCH("VACUNACION",UPPER(G481))),651110,IF(ISNUMBER(SEARCH("ENFERMERIA",UPPER(G481))),651110,IF(ISNUMBER(SEARCH("APORTES",UPPER(G481))),651110,IF(ISNUMBER(SEARCH("HONORARIOS",UPPER(G481))),702010,IF(ISNUMBER(SEARCH("ADMINISTRACION",UPPER(G481))),702010,IF(ISNUMBER(SEARCH("GERENCIAMIENTO",UPPER(G481))),702010,IF(ISNUMBER(SEARCH("ALQUILER",UPPER(G481))),702010,IF(ISNUMBER(SEARCH("AUDITORIA",UPPER(G481))),702010,IF(ISNUMBER(SEARCH("PRESTACIONAL",UPPER(G481))),702010,702010))))))))))))</f>
        <v/>
      </c>
      <c r="I481" s="122" t="n"/>
      <c r="J481" s="122" t="n"/>
      <c r="K481" s="123">
        <f>IF(N(I481)&gt;0,ROUND(N(I481)*IVA_general,2),0)</f>
        <v/>
      </c>
      <c r="L481" s="122" t="n">
        <v>0</v>
      </c>
      <c r="M481" s="122" t="n"/>
      <c r="N481" s="123">
        <f>IF(SUM(I481:M481)=0,"",SUM(I481:M481))</f>
        <v/>
      </c>
      <c r="O481" s="124">
        <f>IF(A481="","",TEXT(A481,"yyyy-mm"))</f>
        <v/>
      </c>
      <c r="P481" s="121">
        <f>IF(A481="","",YEAR(A481))</f>
        <v/>
      </c>
      <c r="Q481" s="121">
        <f>IF(A481="","",MONTH(A481))</f>
        <v/>
      </c>
      <c r="R481" s="116" t="n"/>
      <c r="S481" s="116" t="n"/>
      <c r="T481" s="120" t="n"/>
      <c r="U481" s="122" t="n">
        <v>0</v>
      </c>
      <c r="V481" s="123">
        <f>IF(B481="","",N481-U481)</f>
        <v/>
      </c>
      <c r="W481" s="116" t="n"/>
      <c r="X481" s="125">
        <f>IF(B481="","",IF(LEFT(B481,2)="NC",-1,1))</f>
        <v/>
      </c>
      <c r="Y481" s="123">
        <f>IF(B481="",0,N(I481)*X481)</f>
        <v/>
      </c>
      <c r="Z481" s="123">
        <f>IF(B481="",0,N(J481)*X481)</f>
        <v/>
      </c>
      <c r="AA481" s="123">
        <f>IF(B481="",0,N(K481)*X481)</f>
        <v/>
      </c>
      <c r="AB481" s="123">
        <f>IF(B481="",0,N(L481)*X481)</f>
        <v/>
      </c>
      <c r="AC481" s="123">
        <f>IF(B481="",0,N(N481)*X481)</f>
        <v/>
      </c>
    </row>
    <row r="482" ht="15" customHeight="1" s="83">
      <c r="A482" s="120" t="n"/>
      <c r="B482" s="116" t="n"/>
      <c r="C482" s="116" t="n"/>
      <c r="D482" s="116" t="n"/>
      <c r="E482" s="116" t="n"/>
      <c r="F482" s="116" t="n"/>
      <c r="G482" s="116" t="n"/>
      <c r="H482" s="121">
        <f>IF(G482="","",IF(ISNUMBER(SEARCH("CAPITA",UPPER(G482))),651110,IF(ISNUMBER(SEARCH("REFUERZO",UPPER(G482))),651110,IF(ISNUMBER(SEARCH("VACUNACION",UPPER(G482))),651110,IF(ISNUMBER(SEARCH("ENFERMERIA",UPPER(G482))),651110,IF(ISNUMBER(SEARCH("APORTES",UPPER(G482))),651110,IF(ISNUMBER(SEARCH("HONORARIOS",UPPER(G482))),702010,IF(ISNUMBER(SEARCH("ADMINISTRACION",UPPER(G482))),702010,IF(ISNUMBER(SEARCH("GERENCIAMIENTO",UPPER(G482))),702010,IF(ISNUMBER(SEARCH("ALQUILER",UPPER(G482))),702010,IF(ISNUMBER(SEARCH("AUDITORIA",UPPER(G482))),702010,IF(ISNUMBER(SEARCH("PRESTACIONAL",UPPER(G482))),702010,702010))))))))))))</f>
        <v/>
      </c>
      <c r="I482" s="122" t="n"/>
      <c r="J482" s="122" t="n"/>
      <c r="K482" s="123">
        <f>IF(N(I482)&gt;0,ROUND(N(I482)*IVA_general,2),0)</f>
        <v/>
      </c>
      <c r="L482" s="122" t="n">
        <v>0</v>
      </c>
      <c r="M482" s="122" t="n"/>
      <c r="N482" s="123">
        <f>IF(SUM(I482:M482)=0,"",SUM(I482:M482))</f>
        <v/>
      </c>
      <c r="O482" s="124">
        <f>IF(A482="","",TEXT(A482,"yyyy-mm"))</f>
        <v/>
      </c>
      <c r="P482" s="121">
        <f>IF(A482="","",YEAR(A482))</f>
        <v/>
      </c>
      <c r="Q482" s="121">
        <f>IF(A482="","",MONTH(A482))</f>
        <v/>
      </c>
      <c r="R482" s="116" t="n"/>
      <c r="S482" s="116" t="n"/>
      <c r="T482" s="120" t="n"/>
      <c r="U482" s="122" t="n">
        <v>0</v>
      </c>
      <c r="V482" s="123">
        <f>IF(B482="","",N482-U482)</f>
        <v/>
      </c>
      <c r="W482" s="116" t="n"/>
      <c r="X482" s="125">
        <f>IF(B482="","",IF(LEFT(B482,2)="NC",-1,1))</f>
        <v/>
      </c>
      <c r="Y482" s="123">
        <f>IF(B482="",0,N(I482)*X482)</f>
        <v/>
      </c>
      <c r="Z482" s="123">
        <f>IF(B482="",0,N(J482)*X482)</f>
        <v/>
      </c>
      <c r="AA482" s="123">
        <f>IF(B482="",0,N(K482)*X482)</f>
        <v/>
      </c>
      <c r="AB482" s="123">
        <f>IF(B482="",0,N(L482)*X482)</f>
        <v/>
      </c>
      <c r="AC482" s="123">
        <f>IF(B482="",0,N(N482)*X482)</f>
        <v/>
      </c>
    </row>
    <row r="483" ht="15" customHeight="1" s="83">
      <c r="A483" s="120" t="n"/>
      <c r="B483" s="116" t="n"/>
      <c r="C483" s="116" t="n"/>
      <c r="D483" s="116" t="n"/>
      <c r="E483" s="116" t="n"/>
      <c r="F483" s="116" t="n"/>
      <c r="G483" s="116" t="n"/>
      <c r="H483" s="121">
        <f>IF(G483="","",IF(ISNUMBER(SEARCH("CAPITA",UPPER(G483))),651110,IF(ISNUMBER(SEARCH("REFUERZO",UPPER(G483))),651110,IF(ISNUMBER(SEARCH("VACUNACION",UPPER(G483))),651110,IF(ISNUMBER(SEARCH("ENFERMERIA",UPPER(G483))),651110,IF(ISNUMBER(SEARCH("APORTES",UPPER(G483))),651110,IF(ISNUMBER(SEARCH("HONORARIOS",UPPER(G483))),702010,IF(ISNUMBER(SEARCH("ADMINISTRACION",UPPER(G483))),702010,IF(ISNUMBER(SEARCH("GERENCIAMIENTO",UPPER(G483))),702010,IF(ISNUMBER(SEARCH("ALQUILER",UPPER(G483))),702010,IF(ISNUMBER(SEARCH("AUDITORIA",UPPER(G483))),702010,IF(ISNUMBER(SEARCH("PRESTACIONAL",UPPER(G483))),702010,702010))))))))))))</f>
        <v/>
      </c>
      <c r="I483" s="122" t="n"/>
      <c r="J483" s="122" t="n"/>
      <c r="K483" s="123">
        <f>IF(N(I483)&gt;0,ROUND(N(I483)*IVA_general,2),0)</f>
        <v/>
      </c>
      <c r="L483" s="122" t="n">
        <v>0</v>
      </c>
      <c r="M483" s="122" t="n"/>
      <c r="N483" s="123">
        <f>IF(SUM(I483:M483)=0,"",SUM(I483:M483))</f>
        <v/>
      </c>
      <c r="O483" s="124">
        <f>IF(A483="","",TEXT(A483,"yyyy-mm"))</f>
        <v/>
      </c>
      <c r="P483" s="121">
        <f>IF(A483="","",YEAR(A483))</f>
        <v/>
      </c>
      <c r="Q483" s="121">
        <f>IF(A483="","",MONTH(A483))</f>
        <v/>
      </c>
      <c r="R483" s="116" t="n"/>
      <c r="S483" s="116" t="n"/>
      <c r="T483" s="120" t="n"/>
      <c r="U483" s="122" t="n">
        <v>0</v>
      </c>
      <c r="V483" s="123">
        <f>IF(B483="","",N483-U483)</f>
        <v/>
      </c>
      <c r="W483" s="116" t="n"/>
      <c r="X483" s="125">
        <f>IF(B483="","",IF(LEFT(B483,2)="NC",-1,1))</f>
        <v/>
      </c>
      <c r="Y483" s="123">
        <f>IF(B483="",0,N(I483)*X483)</f>
        <v/>
      </c>
      <c r="Z483" s="123">
        <f>IF(B483="",0,N(J483)*X483)</f>
        <v/>
      </c>
      <c r="AA483" s="123">
        <f>IF(B483="",0,N(K483)*X483)</f>
        <v/>
      </c>
      <c r="AB483" s="123">
        <f>IF(B483="",0,N(L483)*X483)</f>
        <v/>
      </c>
      <c r="AC483" s="123">
        <f>IF(B483="",0,N(N483)*X483)</f>
        <v/>
      </c>
    </row>
    <row r="484" ht="15" customHeight="1" s="83">
      <c r="A484" s="120" t="n"/>
      <c r="B484" s="116" t="n"/>
      <c r="C484" s="116" t="n"/>
      <c r="D484" s="116" t="n"/>
      <c r="E484" s="116" t="n"/>
      <c r="F484" s="116" t="n"/>
      <c r="G484" s="116" t="n"/>
      <c r="H484" s="121">
        <f>IF(G484="","",IF(ISNUMBER(SEARCH("CAPITA",UPPER(G484))),651110,IF(ISNUMBER(SEARCH("REFUERZO",UPPER(G484))),651110,IF(ISNUMBER(SEARCH("VACUNACION",UPPER(G484))),651110,IF(ISNUMBER(SEARCH("ENFERMERIA",UPPER(G484))),651110,IF(ISNUMBER(SEARCH("APORTES",UPPER(G484))),651110,IF(ISNUMBER(SEARCH("HONORARIOS",UPPER(G484))),702010,IF(ISNUMBER(SEARCH("ADMINISTRACION",UPPER(G484))),702010,IF(ISNUMBER(SEARCH("GERENCIAMIENTO",UPPER(G484))),702010,IF(ISNUMBER(SEARCH("ALQUILER",UPPER(G484))),702010,IF(ISNUMBER(SEARCH("AUDITORIA",UPPER(G484))),702010,IF(ISNUMBER(SEARCH("PRESTACIONAL",UPPER(G484))),702010,702010))))))))))))</f>
        <v/>
      </c>
      <c r="I484" s="122" t="n"/>
      <c r="J484" s="122" t="n"/>
      <c r="K484" s="123">
        <f>IF(N(I484)&gt;0,ROUND(N(I484)*IVA_general,2),0)</f>
        <v/>
      </c>
      <c r="L484" s="122" t="n">
        <v>0</v>
      </c>
      <c r="M484" s="122" t="n"/>
      <c r="N484" s="123">
        <f>IF(SUM(I484:M484)=0,"",SUM(I484:M484))</f>
        <v/>
      </c>
      <c r="O484" s="124">
        <f>IF(A484="","",TEXT(A484,"yyyy-mm"))</f>
        <v/>
      </c>
      <c r="P484" s="121">
        <f>IF(A484="","",YEAR(A484))</f>
        <v/>
      </c>
      <c r="Q484" s="121">
        <f>IF(A484="","",MONTH(A484))</f>
        <v/>
      </c>
      <c r="R484" s="116" t="n"/>
      <c r="S484" s="116" t="n"/>
      <c r="T484" s="120" t="n"/>
      <c r="U484" s="122" t="n">
        <v>0</v>
      </c>
      <c r="V484" s="123">
        <f>IF(B484="","",N484-U484)</f>
        <v/>
      </c>
      <c r="W484" s="116" t="n"/>
      <c r="X484" s="125">
        <f>IF(B484="","",IF(LEFT(B484,2)="NC",-1,1))</f>
        <v/>
      </c>
      <c r="Y484" s="123">
        <f>IF(B484="",0,N(I484)*X484)</f>
        <v/>
      </c>
      <c r="Z484" s="123">
        <f>IF(B484="",0,N(J484)*X484)</f>
        <v/>
      </c>
      <c r="AA484" s="123">
        <f>IF(B484="",0,N(K484)*X484)</f>
        <v/>
      </c>
      <c r="AB484" s="123">
        <f>IF(B484="",0,N(L484)*X484)</f>
        <v/>
      </c>
      <c r="AC484" s="123">
        <f>IF(B484="",0,N(N484)*X484)</f>
        <v/>
      </c>
    </row>
    <row r="485" ht="15" customHeight="1" s="83">
      <c r="A485" s="120" t="n"/>
      <c r="B485" s="116" t="n"/>
      <c r="C485" s="116" t="n"/>
      <c r="D485" s="116" t="n"/>
      <c r="E485" s="116" t="n"/>
      <c r="F485" s="116" t="n"/>
      <c r="G485" s="116" t="n"/>
      <c r="H485" s="121">
        <f>IF(G485="","",IF(ISNUMBER(SEARCH("CAPITA",UPPER(G485))),651110,IF(ISNUMBER(SEARCH("REFUERZO",UPPER(G485))),651110,IF(ISNUMBER(SEARCH("VACUNACION",UPPER(G485))),651110,IF(ISNUMBER(SEARCH("ENFERMERIA",UPPER(G485))),651110,IF(ISNUMBER(SEARCH("APORTES",UPPER(G485))),651110,IF(ISNUMBER(SEARCH("HONORARIOS",UPPER(G485))),702010,IF(ISNUMBER(SEARCH("ADMINISTRACION",UPPER(G485))),702010,IF(ISNUMBER(SEARCH("GERENCIAMIENTO",UPPER(G485))),702010,IF(ISNUMBER(SEARCH("ALQUILER",UPPER(G485))),702010,IF(ISNUMBER(SEARCH("AUDITORIA",UPPER(G485))),702010,IF(ISNUMBER(SEARCH("PRESTACIONAL",UPPER(G485))),702010,702010))))))))))))</f>
        <v/>
      </c>
      <c r="I485" s="122" t="n"/>
      <c r="J485" s="122" t="n"/>
      <c r="K485" s="123">
        <f>IF(N(I485)&gt;0,ROUND(N(I485)*IVA_general,2),0)</f>
        <v/>
      </c>
      <c r="L485" s="122" t="n">
        <v>0</v>
      </c>
      <c r="M485" s="122" t="n"/>
      <c r="N485" s="123">
        <f>IF(SUM(I485:M485)=0,"",SUM(I485:M485))</f>
        <v/>
      </c>
      <c r="O485" s="124">
        <f>IF(A485="","",TEXT(A485,"yyyy-mm"))</f>
        <v/>
      </c>
      <c r="P485" s="121">
        <f>IF(A485="","",YEAR(A485))</f>
        <v/>
      </c>
      <c r="Q485" s="121">
        <f>IF(A485="","",MONTH(A485))</f>
        <v/>
      </c>
      <c r="R485" s="116" t="n"/>
      <c r="S485" s="116" t="n"/>
      <c r="T485" s="120" t="n"/>
      <c r="U485" s="122" t="n">
        <v>0</v>
      </c>
      <c r="V485" s="123">
        <f>IF(B485="","",N485-U485)</f>
        <v/>
      </c>
      <c r="W485" s="116" t="n"/>
      <c r="X485" s="125">
        <f>IF(B485="","",IF(LEFT(B485,2)="NC",-1,1))</f>
        <v/>
      </c>
      <c r="Y485" s="123">
        <f>IF(B485="",0,N(I485)*X485)</f>
        <v/>
      </c>
      <c r="Z485" s="123">
        <f>IF(B485="",0,N(J485)*X485)</f>
        <v/>
      </c>
      <c r="AA485" s="123">
        <f>IF(B485="",0,N(K485)*X485)</f>
        <v/>
      </c>
      <c r="AB485" s="123">
        <f>IF(B485="",0,N(L485)*X485)</f>
        <v/>
      </c>
      <c r="AC485" s="123">
        <f>IF(B485="",0,N(N485)*X485)</f>
        <v/>
      </c>
    </row>
    <row r="486" ht="15" customHeight="1" s="83">
      <c r="A486" s="120" t="n"/>
      <c r="B486" s="116" t="n"/>
      <c r="C486" s="116" t="n"/>
      <c r="D486" s="116" t="n"/>
      <c r="E486" s="116" t="n"/>
      <c r="F486" s="116" t="n"/>
      <c r="G486" s="116" t="n"/>
      <c r="H486" s="121">
        <f>IF(G486="","",IF(ISNUMBER(SEARCH("CAPITA",UPPER(G486))),651110,IF(ISNUMBER(SEARCH("REFUERZO",UPPER(G486))),651110,IF(ISNUMBER(SEARCH("VACUNACION",UPPER(G486))),651110,IF(ISNUMBER(SEARCH("ENFERMERIA",UPPER(G486))),651110,IF(ISNUMBER(SEARCH("APORTES",UPPER(G486))),651110,IF(ISNUMBER(SEARCH("HONORARIOS",UPPER(G486))),702010,IF(ISNUMBER(SEARCH("ADMINISTRACION",UPPER(G486))),702010,IF(ISNUMBER(SEARCH("GERENCIAMIENTO",UPPER(G486))),702010,IF(ISNUMBER(SEARCH("ALQUILER",UPPER(G486))),702010,IF(ISNUMBER(SEARCH("AUDITORIA",UPPER(G486))),702010,IF(ISNUMBER(SEARCH("PRESTACIONAL",UPPER(G486))),702010,702010))))))))))))</f>
        <v/>
      </c>
      <c r="I486" s="122" t="n"/>
      <c r="J486" s="122" t="n"/>
      <c r="K486" s="123">
        <f>IF(N(I486)&gt;0,ROUND(N(I486)*IVA_general,2),0)</f>
        <v/>
      </c>
      <c r="L486" s="122" t="n">
        <v>0</v>
      </c>
      <c r="M486" s="122" t="n"/>
      <c r="N486" s="123">
        <f>IF(SUM(I486:M486)=0,"",SUM(I486:M486))</f>
        <v/>
      </c>
      <c r="O486" s="124">
        <f>IF(A486="","",TEXT(A486,"yyyy-mm"))</f>
        <v/>
      </c>
      <c r="P486" s="121">
        <f>IF(A486="","",YEAR(A486))</f>
        <v/>
      </c>
      <c r="Q486" s="121">
        <f>IF(A486="","",MONTH(A486))</f>
        <v/>
      </c>
      <c r="R486" s="116" t="n"/>
      <c r="S486" s="116" t="n"/>
      <c r="T486" s="120" t="n"/>
      <c r="U486" s="122" t="n">
        <v>0</v>
      </c>
      <c r="V486" s="123">
        <f>IF(B486="","",N486-U486)</f>
        <v/>
      </c>
      <c r="W486" s="116" t="n"/>
      <c r="X486" s="125">
        <f>IF(B486="","",IF(LEFT(B486,2)="NC",-1,1))</f>
        <v/>
      </c>
      <c r="Y486" s="123">
        <f>IF(B486="",0,N(I486)*X486)</f>
        <v/>
      </c>
      <c r="Z486" s="123">
        <f>IF(B486="",0,N(J486)*X486)</f>
        <v/>
      </c>
      <c r="AA486" s="123">
        <f>IF(B486="",0,N(K486)*X486)</f>
        <v/>
      </c>
      <c r="AB486" s="123">
        <f>IF(B486="",0,N(L486)*X486)</f>
        <v/>
      </c>
      <c r="AC486" s="123">
        <f>IF(B486="",0,N(N486)*X486)</f>
        <v/>
      </c>
    </row>
    <row r="487" ht="15" customHeight="1" s="83">
      <c r="A487" s="120" t="n"/>
      <c r="B487" s="116" t="n"/>
      <c r="C487" s="116" t="n"/>
      <c r="D487" s="116" t="n"/>
      <c r="E487" s="116" t="n"/>
      <c r="F487" s="116" t="n"/>
      <c r="G487" s="116" t="n"/>
      <c r="H487" s="121">
        <f>IF(G487="","",IF(ISNUMBER(SEARCH("CAPITA",UPPER(G487))),651110,IF(ISNUMBER(SEARCH("REFUERZO",UPPER(G487))),651110,IF(ISNUMBER(SEARCH("VACUNACION",UPPER(G487))),651110,IF(ISNUMBER(SEARCH("ENFERMERIA",UPPER(G487))),651110,IF(ISNUMBER(SEARCH("APORTES",UPPER(G487))),651110,IF(ISNUMBER(SEARCH("HONORARIOS",UPPER(G487))),702010,IF(ISNUMBER(SEARCH("ADMINISTRACION",UPPER(G487))),702010,IF(ISNUMBER(SEARCH("GERENCIAMIENTO",UPPER(G487))),702010,IF(ISNUMBER(SEARCH("ALQUILER",UPPER(G487))),702010,IF(ISNUMBER(SEARCH("AUDITORIA",UPPER(G487))),702010,IF(ISNUMBER(SEARCH("PRESTACIONAL",UPPER(G487))),702010,702010))))))))))))</f>
        <v/>
      </c>
      <c r="I487" s="122" t="n"/>
      <c r="J487" s="122" t="n"/>
      <c r="K487" s="123">
        <f>IF(N(I487)&gt;0,ROUND(N(I487)*IVA_general,2),0)</f>
        <v/>
      </c>
      <c r="L487" s="122" t="n">
        <v>0</v>
      </c>
      <c r="M487" s="122" t="n"/>
      <c r="N487" s="123">
        <f>IF(SUM(I487:M487)=0,"",SUM(I487:M487))</f>
        <v/>
      </c>
      <c r="O487" s="124">
        <f>IF(A487="","",TEXT(A487,"yyyy-mm"))</f>
        <v/>
      </c>
      <c r="P487" s="121">
        <f>IF(A487="","",YEAR(A487))</f>
        <v/>
      </c>
      <c r="Q487" s="121">
        <f>IF(A487="","",MONTH(A487))</f>
        <v/>
      </c>
      <c r="R487" s="116" t="n"/>
      <c r="S487" s="116" t="n"/>
      <c r="T487" s="120" t="n"/>
      <c r="U487" s="122" t="n">
        <v>0</v>
      </c>
      <c r="V487" s="123">
        <f>IF(B487="","",N487-U487)</f>
        <v/>
      </c>
      <c r="W487" s="116" t="n"/>
      <c r="X487" s="125">
        <f>IF(B487="","",IF(LEFT(B487,2)="NC",-1,1))</f>
        <v/>
      </c>
      <c r="Y487" s="123">
        <f>IF(B487="",0,N(I487)*X487)</f>
        <v/>
      </c>
      <c r="Z487" s="123">
        <f>IF(B487="",0,N(J487)*X487)</f>
        <v/>
      </c>
      <c r="AA487" s="123">
        <f>IF(B487="",0,N(K487)*X487)</f>
        <v/>
      </c>
      <c r="AB487" s="123">
        <f>IF(B487="",0,N(L487)*X487)</f>
        <v/>
      </c>
      <c r="AC487" s="123">
        <f>IF(B487="",0,N(N487)*X487)</f>
        <v/>
      </c>
    </row>
    <row r="488" ht="15" customHeight="1" s="83">
      <c r="A488" s="120" t="n"/>
      <c r="B488" s="116" t="n"/>
      <c r="C488" s="116" t="n"/>
      <c r="D488" s="116" t="n"/>
      <c r="E488" s="116" t="n"/>
      <c r="F488" s="116" t="n"/>
      <c r="G488" s="116" t="n"/>
      <c r="H488" s="121">
        <f>IF(G488="","",IF(ISNUMBER(SEARCH("CAPITA",UPPER(G488))),651110,IF(ISNUMBER(SEARCH("REFUERZO",UPPER(G488))),651110,IF(ISNUMBER(SEARCH("VACUNACION",UPPER(G488))),651110,IF(ISNUMBER(SEARCH("ENFERMERIA",UPPER(G488))),651110,IF(ISNUMBER(SEARCH("APORTES",UPPER(G488))),651110,IF(ISNUMBER(SEARCH("HONORARIOS",UPPER(G488))),702010,IF(ISNUMBER(SEARCH("ADMINISTRACION",UPPER(G488))),702010,IF(ISNUMBER(SEARCH("GERENCIAMIENTO",UPPER(G488))),702010,IF(ISNUMBER(SEARCH("ALQUILER",UPPER(G488))),702010,IF(ISNUMBER(SEARCH("AUDITORIA",UPPER(G488))),702010,IF(ISNUMBER(SEARCH("PRESTACIONAL",UPPER(G488))),702010,702010))))))))))))</f>
        <v/>
      </c>
      <c r="I488" s="122" t="n"/>
      <c r="J488" s="122" t="n"/>
      <c r="K488" s="123">
        <f>IF(N(I488)&gt;0,ROUND(N(I488)*IVA_general,2),0)</f>
        <v/>
      </c>
      <c r="L488" s="122" t="n">
        <v>0</v>
      </c>
      <c r="M488" s="122" t="n"/>
      <c r="N488" s="123">
        <f>IF(SUM(I488:M488)=0,"",SUM(I488:M488))</f>
        <v/>
      </c>
      <c r="O488" s="124">
        <f>IF(A488="","",TEXT(A488,"yyyy-mm"))</f>
        <v/>
      </c>
      <c r="P488" s="121">
        <f>IF(A488="","",YEAR(A488))</f>
        <v/>
      </c>
      <c r="Q488" s="121">
        <f>IF(A488="","",MONTH(A488))</f>
        <v/>
      </c>
      <c r="R488" s="116" t="n"/>
      <c r="S488" s="116" t="n"/>
      <c r="T488" s="120" t="n"/>
      <c r="U488" s="122" t="n">
        <v>0</v>
      </c>
      <c r="V488" s="123">
        <f>IF(B488="","",N488-U488)</f>
        <v/>
      </c>
      <c r="W488" s="116" t="n"/>
      <c r="X488" s="125">
        <f>IF(B488="","",IF(LEFT(B488,2)="NC",-1,1))</f>
        <v/>
      </c>
      <c r="Y488" s="123">
        <f>IF(B488="",0,N(I488)*X488)</f>
        <v/>
      </c>
      <c r="Z488" s="123">
        <f>IF(B488="",0,N(J488)*X488)</f>
        <v/>
      </c>
      <c r="AA488" s="123">
        <f>IF(B488="",0,N(K488)*X488)</f>
        <v/>
      </c>
      <c r="AB488" s="123">
        <f>IF(B488="",0,N(L488)*X488)</f>
        <v/>
      </c>
      <c r="AC488" s="123">
        <f>IF(B488="",0,N(N488)*X488)</f>
        <v/>
      </c>
    </row>
    <row r="489" ht="15" customHeight="1" s="83">
      <c r="A489" s="120" t="n"/>
      <c r="B489" s="116" t="n"/>
      <c r="C489" s="116" t="n"/>
      <c r="D489" s="116" t="n"/>
      <c r="E489" s="116" t="n"/>
      <c r="F489" s="116" t="n"/>
      <c r="G489" s="116" t="n"/>
      <c r="H489" s="121">
        <f>IF(G489="","",IF(ISNUMBER(SEARCH("CAPITA",UPPER(G489))),651110,IF(ISNUMBER(SEARCH("REFUERZO",UPPER(G489))),651110,IF(ISNUMBER(SEARCH("VACUNACION",UPPER(G489))),651110,IF(ISNUMBER(SEARCH("ENFERMERIA",UPPER(G489))),651110,IF(ISNUMBER(SEARCH("APORTES",UPPER(G489))),651110,IF(ISNUMBER(SEARCH("HONORARIOS",UPPER(G489))),702010,IF(ISNUMBER(SEARCH("ADMINISTRACION",UPPER(G489))),702010,IF(ISNUMBER(SEARCH("GERENCIAMIENTO",UPPER(G489))),702010,IF(ISNUMBER(SEARCH("ALQUILER",UPPER(G489))),702010,IF(ISNUMBER(SEARCH("AUDITORIA",UPPER(G489))),702010,IF(ISNUMBER(SEARCH("PRESTACIONAL",UPPER(G489))),702010,702010))))))))))))</f>
        <v/>
      </c>
      <c r="I489" s="122" t="n"/>
      <c r="J489" s="122" t="n"/>
      <c r="K489" s="123">
        <f>IF(N(I489)&gt;0,ROUND(N(I489)*IVA_general,2),0)</f>
        <v/>
      </c>
      <c r="L489" s="122" t="n">
        <v>0</v>
      </c>
      <c r="M489" s="122" t="n"/>
      <c r="N489" s="123">
        <f>IF(SUM(I489:M489)=0,"",SUM(I489:M489))</f>
        <v/>
      </c>
      <c r="O489" s="124">
        <f>IF(A489="","",TEXT(A489,"yyyy-mm"))</f>
        <v/>
      </c>
      <c r="P489" s="121">
        <f>IF(A489="","",YEAR(A489))</f>
        <v/>
      </c>
      <c r="Q489" s="121">
        <f>IF(A489="","",MONTH(A489))</f>
        <v/>
      </c>
      <c r="R489" s="116" t="n"/>
      <c r="S489" s="116" t="n"/>
      <c r="T489" s="120" t="n"/>
      <c r="U489" s="122" t="n">
        <v>0</v>
      </c>
      <c r="V489" s="123">
        <f>IF(B489="","",N489-U489)</f>
        <v/>
      </c>
      <c r="W489" s="116" t="n"/>
      <c r="X489" s="125">
        <f>IF(B489="","",IF(LEFT(B489,2)="NC",-1,1))</f>
        <v/>
      </c>
      <c r="Y489" s="123">
        <f>IF(B489="",0,N(I489)*X489)</f>
        <v/>
      </c>
      <c r="Z489" s="123">
        <f>IF(B489="",0,N(J489)*X489)</f>
        <v/>
      </c>
      <c r="AA489" s="123">
        <f>IF(B489="",0,N(K489)*X489)</f>
        <v/>
      </c>
      <c r="AB489" s="123">
        <f>IF(B489="",0,N(L489)*X489)</f>
        <v/>
      </c>
      <c r="AC489" s="123">
        <f>IF(B489="",0,N(N489)*X489)</f>
        <v/>
      </c>
    </row>
    <row r="490" ht="15" customHeight="1" s="83">
      <c r="A490" s="120" t="n"/>
      <c r="B490" s="116" t="n"/>
      <c r="C490" s="116" t="n"/>
      <c r="D490" s="116" t="n"/>
      <c r="E490" s="116" t="n"/>
      <c r="F490" s="116" t="n"/>
      <c r="G490" s="116" t="n"/>
      <c r="H490" s="121">
        <f>IF(G490="","",IF(ISNUMBER(SEARCH("CAPITA",UPPER(G490))),651110,IF(ISNUMBER(SEARCH("REFUERZO",UPPER(G490))),651110,IF(ISNUMBER(SEARCH("VACUNACION",UPPER(G490))),651110,IF(ISNUMBER(SEARCH("ENFERMERIA",UPPER(G490))),651110,IF(ISNUMBER(SEARCH("APORTES",UPPER(G490))),651110,IF(ISNUMBER(SEARCH("HONORARIOS",UPPER(G490))),702010,IF(ISNUMBER(SEARCH("ADMINISTRACION",UPPER(G490))),702010,IF(ISNUMBER(SEARCH("GERENCIAMIENTO",UPPER(G490))),702010,IF(ISNUMBER(SEARCH("ALQUILER",UPPER(G490))),702010,IF(ISNUMBER(SEARCH("AUDITORIA",UPPER(G490))),702010,IF(ISNUMBER(SEARCH("PRESTACIONAL",UPPER(G490))),702010,702010))))))))))))</f>
        <v/>
      </c>
      <c r="I490" s="122" t="n"/>
      <c r="J490" s="122" t="n"/>
      <c r="K490" s="123">
        <f>IF(N(I490)&gt;0,ROUND(N(I490)*IVA_general,2),0)</f>
        <v/>
      </c>
      <c r="L490" s="122" t="n">
        <v>0</v>
      </c>
      <c r="M490" s="122" t="n"/>
      <c r="N490" s="123">
        <f>IF(SUM(I490:M490)=0,"",SUM(I490:M490))</f>
        <v/>
      </c>
      <c r="O490" s="124">
        <f>IF(A490="","",TEXT(A490,"yyyy-mm"))</f>
        <v/>
      </c>
      <c r="P490" s="121">
        <f>IF(A490="","",YEAR(A490))</f>
        <v/>
      </c>
      <c r="Q490" s="121">
        <f>IF(A490="","",MONTH(A490))</f>
        <v/>
      </c>
      <c r="R490" s="116" t="n"/>
      <c r="S490" s="116" t="n"/>
      <c r="T490" s="120" t="n"/>
      <c r="U490" s="122" t="n">
        <v>0</v>
      </c>
      <c r="V490" s="123">
        <f>IF(B490="","",N490-U490)</f>
        <v/>
      </c>
      <c r="W490" s="116" t="n"/>
      <c r="X490" s="125">
        <f>IF(B490="","",IF(LEFT(B490,2)="NC",-1,1))</f>
        <v/>
      </c>
      <c r="Y490" s="123">
        <f>IF(B490="",0,N(I490)*X490)</f>
        <v/>
      </c>
      <c r="Z490" s="123">
        <f>IF(B490="",0,N(J490)*X490)</f>
        <v/>
      </c>
      <c r="AA490" s="123">
        <f>IF(B490="",0,N(K490)*X490)</f>
        <v/>
      </c>
      <c r="AB490" s="123">
        <f>IF(B490="",0,N(L490)*X490)</f>
        <v/>
      </c>
      <c r="AC490" s="123">
        <f>IF(B490="",0,N(N490)*X490)</f>
        <v/>
      </c>
    </row>
    <row r="491" ht="15" customHeight="1" s="83">
      <c r="A491" s="120" t="n"/>
      <c r="B491" s="116" t="n"/>
      <c r="C491" s="116" t="n"/>
      <c r="D491" s="116" t="n"/>
      <c r="E491" s="116" t="n"/>
      <c r="F491" s="116" t="n"/>
      <c r="G491" s="116" t="n"/>
      <c r="H491" s="121">
        <f>IF(G491="","",IF(ISNUMBER(SEARCH("CAPITA",UPPER(G491))),651110,IF(ISNUMBER(SEARCH("REFUERZO",UPPER(G491))),651110,IF(ISNUMBER(SEARCH("VACUNACION",UPPER(G491))),651110,IF(ISNUMBER(SEARCH("ENFERMERIA",UPPER(G491))),651110,IF(ISNUMBER(SEARCH("APORTES",UPPER(G491))),651110,IF(ISNUMBER(SEARCH("HONORARIOS",UPPER(G491))),702010,IF(ISNUMBER(SEARCH("ADMINISTRACION",UPPER(G491))),702010,IF(ISNUMBER(SEARCH("GERENCIAMIENTO",UPPER(G491))),702010,IF(ISNUMBER(SEARCH("ALQUILER",UPPER(G491))),702010,IF(ISNUMBER(SEARCH("AUDITORIA",UPPER(G491))),702010,IF(ISNUMBER(SEARCH("PRESTACIONAL",UPPER(G491))),702010,702010))))))))))))</f>
        <v/>
      </c>
      <c r="I491" s="122" t="n"/>
      <c r="J491" s="122" t="n"/>
      <c r="K491" s="123">
        <f>IF(N(I491)&gt;0,ROUND(N(I491)*IVA_general,2),0)</f>
        <v/>
      </c>
      <c r="L491" s="122" t="n">
        <v>0</v>
      </c>
      <c r="M491" s="122" t="n"/>
      <c r="N491" s="123">
        <f>IF(SUM(I491:M491)=0,"",SUM(I491:M491))</f>
        <v/>
      </c>
      <c r="O491" s="124">
        <f>IF(A491="","",TEXT(A491,"yyyy-mm"))</f>
        <v/>
      </c>
      <c r="P491" s="121">
        <f>IF(A491="","",YEAR(A491))</f>
        <v/>
      </c>
      <c r="Q491" s="121">
        <f>IF(A491="","",MONTH(A491))</f>
        <v/>
      </c>
      <c r="R491" s="116" t="n"/>
      <c r="S491" s="116" t="n"/>
      <c r="T491" s="120" t="n"/>
      <c r="U491" s="122" t="n">
        <v>0</v>
      </c>
      <c r="V491" s="123">
        <f>IF(B491="","",N491-U491)</f>
        <v/>
      </c>
      <c r="W491" s="116" t="n"/>
      <c r="X491" s="125">
        <f>IF(B491="","",IF(LEFT(B491,2)="NC",-1,1))</f>
        <v/>
      </c>
      <c r="Y491" s="123">
        <f>IF(B491="",0,N(I491)*X491)</f>
        <v/>
      </c>
      <c r="Z491" s="123">
        <f>IF(B491="",0,N(J491)*X491)</f>
        <v/>
      </c>
      <c r="AA491" s="123">
        <f>IF(B491="",0,N(K491)*X491)</f>
        <v/>
      </c>
      <c r="AB491" s="123">
        <f>IF(B491="",0,N(L491)*X491)</f>
        <v/>
      </c>
      <c r="AC491" s="123">
        <f>IF(B491="",0,N(N491)*X491)</f>
        <v/>
      </c>
    </row>
    <row r="492" ht="15" customHeight="1" s="83">
      <c r="A492" s="120" t="n"/>
      <c r="B492" s="116" t="n"/>
      <c r="C492" s="116" t="n"/>
      <c r="D492" s="116" t="n"/>
      <c r="E492" s="116" t="n"/>
      <c r="F492" s="116" t="n"/>
      <c r="G492" s="116" t="n"/>
      <c r="H492" s="121">
        <f>IF(G492="","",IF(ISNUMBER(SEARCH("CAPITA",UPPER(G492))),651110,IF(ISNUMBER(SEARCH("REFUERZO",UPPER(G492))),651110,IF(ISNUMBER(SEARCH("VACUNACION",UPPER(G492))),651110,IF(ISNUMBER(SEARCH("ENFERMERIA",UPPER(G492))),651110,IF(ISNUMBER(SEARCH("APORTES",UPPER(G492))),651110,IF(ISNUMBER(SEARCH("HONORARIOS",UPPER(G492))),702010,IF(ISNUMBER(SEARCH("ADMINISTRACION",UPPER(G492))),702010,IF(ISNUMBER(SEARCH("GERENCIAMIENTO",UPPER(G492))),702010,IF(ISNUMBER(SEARCH("ALQUILER",UPPER(G492))),702010,IF(ISNUMBER(SEARCH("AUDITORIA",UPPER(G492))),702010,IF(ISNUMBER(SEARCH("PRESTACIONAL",UPPER(G492))),702010,702010))))))))))))</f>
        <v/>
      </c>
      <c r="I492" s="122" t="n"/>
      <c r="J492" s="122" t="n"/>
      <c r="K492" s="123">
        <f>IF(N(I492)&gt;0,ROUND(N(I492)*IVA_general,2),0)</f>
        <v/>
      </c>
      <c r="L492" s="122" t="n">
        <v>0</v>
      </c>
      <c r="M492" s="122" t="n"/>
      <c r="N492" s="123">
        <f>IF(SUM(I492:M492)=0,"",SUM(I492:M492))</f>
        <v/>
      </c>
      <c r="O492" s="124">
        <f>IF(A492="","",TEXT(A492,"yyyy-mm"))</f>
        <v/>
      </c>
      <c r="P492" s="121">
        <f>IF(A492="","",YEAR(A492))</f>
        <v/>
      </c>
      <c r="Q492" s="121">
        <f>IF(A492="","",MONTH(A492))</f>
        <v/>
      </c>
      <c r="R492" s="116" t="n"/>
      <c r="S492" s="116" t="n"/>
      <c r="T492" s="120" t="n"/>
      <c r="U492" s="122" t="n">
        <v>0</v>
      </c>
      <c r="V492" s="123">
        <f>IF(B492="","",N492-U492)</f>
        <v/>
      </c>
      <c r="W492" s="116" t="n"/>
      <c r="X492" s="125">
        <f>IF(B492="","",IF(LEFT(B492,2)="NC",-1,1))</f>
        <v/>
      </c>
      <c r="Y492" s="123">
        <f>IF(B492="",0,N(I492)*X492)</f>
        <v/>
      </c>
      <c r="Z492" s="123">
        <f>IF(B492="",0,N(J492)*X492)</f>
        <v/>
      </c>
      <c r="AA492" s="123">
        <f>IF(B492="",0,N(K492)*X492)</f>
        <v/>
      </c>
      <c r="AB492" s="123">
        <f>IF(B492="",0,N(L492)*X492)</f>
        <v/>
      </c>
      <c r="AC492" s="123">
        <f>IF(B492="",0,N(N492)*X492)</f>
        <v/>
      </c>
    </row>
    <row r="493" ht="15" customHeight="1" s="83">
      <c r="A493" s="120" t="n"/>
      <c r="B493" s="116" t="n"/>
      <c r="C493" s="116" t="n"/>
      <c r="D493" s="116" t="n"/>
      <c r="E493" s="116" t="n"/>
      <c r="F493" s="116" t="n"/>
      <c r="G493" s="116" t="n"/>
      <c r="H493" s="121">
        <f>IF(G493="","",IF(ISNUMBER(SEARCH("CAPITA",UPPER(G493))),651110,IF(ISNUMBER(SEARCH("REFUERZO",UPPER(G493))),651110,IF(ISNUMBER(SEARCH("VACUNACION",UPPER(G493))),651110,IF(ISNUMBER(SEARCH("ENFERMERIA",UPPER(G493))),651110,IF(ISNUMBER(SEARCH("APORTES",UPPER(G493))),651110,IF(ISNUMBER(SEARCH("HONORARIOS",UPPER(G493))),702010,IF(ISNUMBER(SEARCH("ADMINISTRACION",UPPER(G493))),702010,IF(ISNUMBER(SEARCH("GERENCIAMIENTO",UPPER(G493))),702010,IF(ISNUMBER(SEARCH("ALQUILER",UPPER(G493))),702010,IF(ISNUMBER(SEARCH("AUDITORIA",UPPER(G493))),702010,IF(ISNUMBER(SEARCH("PRESTACIONAL",UPPER(G493))),702010,702010))))))))))))</f>
        <v/>
      </c>
      <c r="I493" s="122" t="n"/>
      <c r="J493" s="122" t="n"/>
      <c r="K493" s="123">
        <f>IF(N(I493)&gt;0,ROUND(N(I493)*IVA_general,2),0)</f>
        <v/>
      </c>
      <c r="L493" s="122" t="n">
        <v>0</v>
      </c>
      <c r="M493" s="122" t="n"/>
      <c r="N493" s="123">
        <f>IF(SUM(I493:M493)=0,"",SUM(I493:M493))</f>
        <v/>
      </c>
      <c r="O493" s="124">
        <f>IF(A493="","",TEXT(A493,"yyyy-mm"))</f>
        <v/>
      </c>
      <c r="P493" s="121">
        <f>IF(A493="","",YEAR(A493))</f>
        <v/>
      </c>
      <c r="Q493" s="121">
        <f>IF(A493="","",MONTH(A493))</f>
        <v/>
      </c>
      <c r="R493" s="116" t="n"/>
      <c r="S493" s="116" t="n"/>
      <c r="T493" s="120" t="n"/>
      <c r="U493" s="122" t="n">
        <v>0</v>
      </c>
      <c r="V493" s="123">
        <f>IF(B493="","",N493-U493)</f>
        <v/>
      </c>
      <c r="W493" s="116" t="n"/>
      <c r="X493" s="125">
        <f>IF(B493="","",IF(LEFT(B493,2)="NC",-1,1))</f>
        <v/>
      </c>
      <c r="Y493" s="123">
        <f>IF(B493="",0,N(I493)*X493)</f>
        <v/>
      </c>
      <c r="Z493" s="123">
        <f>IF(B493="",0,N(J493)*X493)</f>
        <v/>
      </c>
      <c r="AA493" s="123">
        <f>IF(B493="",0,N(K493)*X493)</f>
        <v/>
      </c>
      <c r="AB493" s="123">
        <f>IF(B493="",0,N(L493)*X493)</f>
        <v/>
      </c>
      <c r="AC493" s="123">
        <f>IF(B493="",0,N(N493)*X493)</f>
        <v/>
      </c>
    </row>
    <row r="494" ht="15" customHeight="1" s="83">
      <c r="A494" s="120" t="n"/>
      <c r="B494" s="116" t="n"/>
      <c r="C494" s="116" t="n"/>
      <c r="D494" s="116" t="n"/>
      <c r="E494" s="116" t="n"/>
      <c r="F494" s="116" t="n"/>
      <c r="G494" s="116" t="n"/>
      <c r="H494" s="121">
        <f>IF(G494="","",IF(ISNUMBER(SEARCH("CAPITA",UPPER(G494))),651110,IF(ISNUMBER(SEARCH("REFUERZO",UPPER(G494))),651110,IF(ISNUMBER(SEARCH("VACUNACION",UPPER(G494))),651110,IF(ISNUMBER(SEARCH("ENFERMERIA",UPPER(G494))),651110,IF(ISNUMBER(SEARCH("APORTES",UPPER(G494))),651110,IF(ISNUMBER(SEARCH("HONORARIOS",UPPER(G494))),702010,IF(ISNUMBER(SEARCH("ADMINISTRACION",UPPER(G494))),702010,IF(ISNUMBER(SEARCH("GERENCIAMIENTO",UPPER(G494))),702010,IF(ISNUMBER(SEARCH("ALQUILER",UPPER(G494))),702010,IF(ISNUMBER(SEARCH("AUDITORIA",UPPER(G494))),702010,IF(ISNUMBER(SEARCH("PRESTACIONAL",UPPER(G494))),702010,702010))))))))))))</f>
        <v/>
      </c>
      <c r="I494" s="122" t="n"/>
      <c r="J494" s="122" t="n"/>
      <c r="K494" s="123">
        <f>IF(N(I494)&gt;0,ROUND(N(I494)*IVA_general,2),0)</f>
        <v/>
      </c>
      <c r="L494" s="122" t="n">
        <v>0</v>
      </c>
      <c r="M494" s="122" t="n"/>
      <c r="N494" s="123">
        <f>IF(SUM(I494:M494)=0,"",SUM(I494:M494))</f>
        <v/>
      </c>
      <c r="O494" s="124">
        <f>IF(A494="","",TEXT(A494,"yyyy-mm"))</f>
        <v/>
      </c>
      <c r="P494" s="121">
        <f>IF(A494="","",YEAR(A494))</f>
        <v/>
      </c>
      <c r="Q494" s="121">
        <f>IF(A494="","",MONTH(A494))</f>
        <v/>
      </c>
      <c r="R494" s="116" t="n"/>
      <c r="S494" s="116" t="n"/>
      <c r="T494" s="120" t="n"/>
      <c r="U494" s="122" t="n">
        <v>0</v>
      </c>
      <c r="V494" s="123">
        <f>IF(B494="","",N494-U494)</f>
        <v/>
      </c>
      <c r="W494" s="116" t="n"/>
      <c r="X494" s="125">
        <f>IF(B494="","",IF(LEFT(B494,2)="NC",-1,1))</f>
        <v/>
      </c>
      <c r="Y494" s="123">
        <f>IF(B494="",0,N(I494)*X494)</f>
        <v/>
      </c>
      <c r="Z494" s="123">
        <f>IF(B494="",0,N(J494)*X494)</f>
        <v/>
      </c>
      <c r="AA494" s="123">
        <f>IF(B494="",0,N(K494)*X494)</f>
        <v/>
      </c>
      <c r="AB494" s="123">
        <f>IF(B494="",0,N(L494)*X494)</f>
        <v/>
      </c>
      <c r="AC494" s="123">
        <f>IF(B494="",0,N(N494)*X494)</f>
        <v/>
      </c>
    </row>
    <row r="495" ht="15" customHeight="1" s="83">
      <c r="A495" s="120" t="n"/>
      <c r="B495" s="116" t="n"/>
      <c r="C495" s="116" t="n"/>
      <c r="D495" s="116" t="n"/>
      <c r="E495" s="116" t="n"/>
      <c r="F495" s="116" t="n"/>
      <c r="G495" s="116" t="n"/>
      <c r="H495" s="121">
        <f>IF(G495="","",IF(ISNUMBER(SEARCH("CAPITA",UPPER(G495))),651110,IF(ISNUMBER(SEARCH("REFUERZO",UPPER(G495))),651110,IF(ISNUMBER(SEARCH("VACUNACION",UPPER(G495))),651110,IF(ISNUMBER(SEARCH("ENFERMERIA",UPPER(G495))),651110,IF(ISNUMBER(SEARCH("APORTES",UPPER(G495))),651110,IF(ISNUMBER(SEARCH("HONORARIOS",UPPER(G495))),702010,IF(ISNUMBER(SEARCH("ADMINISTRACION",UPPER(G495))),702010,IF(ISNUMBER(SEARCH("GERENCIAMIENTO",UPPER(G495))),702010,IF(ISNUMBER(SEARCH("ALQUILER",UPPER(G495))),702010,IF(ISNUMBER(SEARCH("AUDITORIA",UPPER(G495))),702010,IF(ISNUMBER(SEARCH("PRESTACIONAL",UPPER(G495))),702010,702010))))))))))))</f>
        <v/>
      </c>
      <c r="I495" s="122" t="n"/>
      <c r="J495" s="122" t="n"/>
      <c r="K495" s="123">
        <f>IF(N(I495)&gt;0,ROUND(N(I495)*IVA_general,2),0)</f>
        <v/>
      </c>
      <c r="L495" s="122" t="n">
        <v>0</v>
      </c>
      <c r="M495" s="122" t="n"/>
      <c r="N495" s="123">
        <f>IF(SUM(I495:M495)=0,"",SUM(I495:M495))</f>
        <v/>
      </c>
      <c r="O495" s="124">
        <f>IF(A495="","",TEXT(A495,"yyyy-mm"))</f>
        <v/>
      </c>
      <c r="P495" s="121">
        <f>IF(A495="","",YEAR(A495))</f>
        <v/>
      </c>
      <c r="Q495" s="121">
        <f>IF(A495="","",MONTH(A495))</f>
        <v/>
      </c>
      <c r="R495" s="116" t="n"/>
      <c r="S495" s="116" t="n"/>
      <c r="T495" s="120" t="n"/>
      <c r="U495" s="122" t="n">
        <v>0</v>
      </c>
      <c r="V495" s="123">
        <f>IF(B495="","",N495-U495)</f>
        <v/>
      </c>
      <c r="W495" s="116" t="n"/>
      <c r="X495" s="125">
        <f>IF(B495="","",IF(LEFT(B495,2)="NC",-1,1))</f>
        <v/>
      </c>
      <c r="Y495" s="123">
        <f>IF(B495="",0,N(I495)*X495)</f>
        <v/>
      </c>
      <c r="Z495" s="123">
        <f>IF(B495="",0,N(J495)*X495)</f>
        <v/>
      </c>
      <c r="AA495" s="123">
        <f>IF(B495="",0,N(K495)*X495)</f>
        <v/>
      </c>
      <c r="AB495" s="123">
        <f>IF(B495="",0,N(L495)*X495)</f>
        <v/>
      </c>
      <c r="AC495" s="123">
        <f>IF(B495="",0,N(N495)*X495)</f>
        <v/>
      </c>
    </row>
    <row r="496" ht="15" customHeight="1" s="83">
      <c r="A496" s="120" t="n"/>
      <c r="B496" s="116" t="n"/>
      <c r="C496" s="116" t="n"/>
      <c r="D496" s="116" t="n"/>
      <c r="E496" s="116" t="n"/>
      <c r="F496" s="116" t="n"/>
      <c r="G496" s="116" t="n"/>
      <c r="H496" s="121">
        <f>IF(G496="","",IF(ISNUMBER(SEARCH("CAPITA",UPPER(G496))),651110,IF(ISNUMBER(SEARCH("REFUERZO",UPPER(G496))),651110,IF(ISNUMBER(SEARCH("VACUNACION",UPPER(G496))),651110,IF(ISNUMBER(SEARCH("ENFERMERIA",UPPER(G496))),651110,IF(ISNUMBER(SEARCH("APORTES",UPPER(G496))),651110,IF(ISNUMBER(SEARCH("HONORARIOS",UPPER(G496))),702010,IF(ISNUMBER(SEARCH("ADMINISTRACION",UPPER(G496))),702010,IF(ISNUMBER(SEARCH("GERENCIAMIENTO",UPPER(G496))),702010,IF(ISNUMBER(SEARCH("ALQUILER",UPPER(G496))),702010,IF(ISNUMBER(SEARCH("AUDITORIA",UPPER(G496))),702010,IF(ISNUMBER(SEARCH("PRESTACIONAL",UPPER(G496))),702010,702010))))))))))))</f>
        <v/>
      </c>
      <c r="I496" s="122" t="n"/>
      <c r="J496" s="122" t="n"/>
      <c r="K496" s="123">
        <f>IF(N(I496)&gt;0,ROUND(N(I496)*IVA_general,2),0)</f>
        <v/>
      </c>
      <c r="L496" s="122" t="n">
        <v>0</v>
      </c>
      <c r="M496" s="122" t="n"/>
      <c r="N496" s="123">
        <f>IF(SUM(I496:M496)=0,"",SUM(I496:M496))</f>
        <v/>
      </c>
      <c r="O496" s="124">
        <f>IF(A496="","",TEXT(A496,"yyyy-mm"))</f>
        <v/>
      </c>
      <c r="P496" s="121">
        <f>IF(A496="","",YEAR(A496))</f>
        <v/>
      </c>
      <c r="Q496" s="121">
        <f>IF(A496="","",MONTH(A496))</f>
        <v/>
      </c>
      <c r="R496" s="116" t="n"/>
      <c r="S496" s="116" t="n"/>
      <c r="T496" s="120" t="n"/>
      <c r="U496" s="122" t="n">
        <v>0</v>
      </c>
      <c r="V496" s="123">
        <f>IF(B496="","",N496-U496)</f>
        <v/>
      </c>
      <c r="W496" s="116" t="n"/>
      <c r="X496" s="125">
        <f>IF(B496="","",IF(LEFT(B496,2)="NC",-1,1))</f>
        <v/>
      </c>
      <c r="Y496" s="123">
        <f>IF(B496="",0,N(I496)*X496)</f>
        <v/>
      </c>
      <c r="Z496" s="123">
        <f>IF(B496="",0,N(J496)*X496)</f>
        <v/>
      </c>
      <c r="AA496" s="123">
        <f>IF(B496="",0,N(K496)*X496)</f>
        <v/>
      </c>
      <c r="AB496" s="123">
        <f>IF(B496="",0,N(L496)*X496)</f>
        <v/>
      </c>
      <c r="AC496" s="123">
        <f>IF(B496="",0,N(N496)*X496)</f>
        <v/>
      </c>
    </row>
    <row r="497" ht="15" customHeight="1" s="83">
      <c r="A497" s="120" t="n"/>
      <c r="B497" s="116" t="n"/>
      <c r="C497" s="116" t="n"/>
      <c r="D497" s="116" t="n"/>
      <c r="E497" s="116" t="n"/>
      <c r="F497" s="116" t="n"/>
      <c r="G497" s="116" t="n"/>
      <c r="H497" s="121">
        <f>IF(G497="","",IF(ISNUMBER(SEARCH("CAPITA",UPPER(G497))),651110,IF(ISNUMBER(SEARCH("REFUERZO",UPPER(G497))),651110,IF(ISNUMBER(SEARCH("VACUNACION",UPPER(G497))),651110,IF(ISNUMBER(SEARCH("ENFERMERIA",UPPER(G497))),651110,IF(ISNUMBER(SEARCH("APORTES",UPPER(G497))),651110,IF(ISNUMBER(SEARCH("HONORARIOS",UPPER(G497))),702010,IF(ISNUMBER(SEARCH("ADMINISTRACION",UPPER(G497))),702010,IF(ISNUMBER(SEARCH("GERENCIAMIENTO",UPPER(G497))),702010,IF(ISNUMBER(SEARCH("ALQUILER",UPPER(G497))),702010,IF(ISNUMBER(SEARCH("AUDITORIA",UPPER(G497))),702010,IF(ISNUMBER(SEARCH("PRESTACIONAL",UPPER(G497))),702010,702010))))))))))))</f>
        <v/>
      </c>
      <c r="I497" s="122" t="n"/>
      <c r="J497" s="122" t="n"/>
      <c r="K497" s="123">
        <f>IF(N(I497)&gt;0,ROUND(N(I497)*IVA_general,2),0)</f>
        <v/>
      </c>
      <c r="L497" s="122" t="n">
        <v>0</v>
      </c>
      <c r="M497" s="122" t="n"/>
      <c r="N497" s="123">
        <f>IF(SUM(I497:M497)=0,"",SUM(I497:M497))</f>
        <v/>
      </c>
      <c r="O497" s="124">
        <f>IF(A497="","",TEXT(A497,"yyyy-mm"))</f>
        <v/>
      </c>
      <c r="P497" s="121">
        <f>IF(A497="","",YEAR(A497))</f>
        <v/>
      </c>
      <c r="Q497" s="121">
        <f>IF(A497="","",MONTH(A497))</f>
        <v/>
      </c>
      <c r="R497" s="116" t="n"/>
      <c r="S497" s="116" t="n"/>
      <c r="T497" s="120" t="n"/>
      <c r="U497" s="122" t="n">
        <v>0</v>
      </c>
      <c r="V497" s="123">
        <f>IF(B497="","",N497-U497)</f>
        <v/>
      </c>
      <c r="W497" s="116" t="n"/>
      <c r="X497" s="125">
        <f>IF(B497="","",IF(LEFT(B497,2)="NC",-1,1))</f>
        <v/>
      </c>
      <c r="Y497" s="123">
        <f>IF(B497="",0,N(I497)*X497)</f>
        <v/>
      </c>
      <c r="Z497" s="123">
        <f>IF(B497="",0,N(J497)*X497)</f>
        <v/>
      </c>
      <c r="AA497" s="123">
        <f>IF(B497="",0,N(K497)*X497)</f>
        <v/>
      </c>
      <c r="AB497" s="123">
        <f>IF(B497="",0,N(L497)*X497)</f>
        <v/>
      </c>
      <c r="AC497" s="123">
        <f>IF(B497="",0,N(N497)*X497)</f>
        <v/>
      </c>
    </row>
    <row r="498" ht="15" customHeight="1" s="83">
      <c r="A498" s="120" t="n"/>
      <c r="B498" s="116" t="n"/>
      <c r="C498" s="116" t="n"/>
      <c r="D498" s="116" t="n"/>
      <c r="E498" s="116" t="n"/>
      <c r="F498" s="116" t="n"/>
      <c r="G498" s="116" t="n"/>
      <c r="H498" s="121">
        <f>IF(G498="","",IF(ISNUMBER(SEARCH("CAPITA",UPPER(G498))),651110,IF(ISNUMBER(SEARCH("REFUERZO",UPPER(G498))),651110,IF(ISNUMBER(SEARCH("VACUNACION",UPPER(G498))),651110,IF(ISNUMBER(SEARCH("ENFERMERIA",UPPER(G498))),651110,IF(ISNUMBER(SEARCH("APORTES",UPPER(G498))),651110,IF(ISNUMBER(SEARCH("HONORARIOS",UPPER(G498))),702010,IF(ISNUMBER(SEARCH("ADMINISTRACION",UPPER(G498))),702010,IF(ISNUMBER(SEARCH("GERENCIAMIENTO",UPPER(G498))),702010,IF(ISNUMBER(SEARCH("ALQUILER",UPPER(G498))),702010,IF(ISNUMBER(SEARCH("AUDITORIA",UPPER(G498))),702010,IF(ISNUMBER(SEARCH("PRESTACIONAL",UPPER(G498))),702010,702010))))))))))))</f>
        <v/>
      </c>
      <c r="I498" s="122" t="n"/>
      <c r="J498" s="122" t="n"/>
      <c r="K498" s="123">
        <f>IF(N(I498)&gt;0,ROUND(N(I498)*IVA_general,2),0)</f>
        <v/>
      </c>
      <c r="L498" s="122" t="n">
        <v>0</v>
      </c>
      <c r="M498" s="122" t="n"/>
      <c r="N498" s="123">
        <f>IF(SUM(I498:M498)=0,"",SUM(I498:M498))</f>
        <v/>
      </c>
      <c r="O498" s="124">
        <f>IF(A498="","",TEXT(A498,"yyyy-mm"))</f>
        <v/>
      </c>
      <c r="P498" s="121">
        <f>IF(A498="","",YEAR(A498))</f>
        <v/>
      </c>
      <c r="Q498" s="121">
        <f>IF(A498="","",MONTH(A498))</f>
        <v/>
      </c>
      <c r="R498" s="116" t="n"/>
      <c r="S498" s="116" t="n"/>
      <c r="T498" s="120" t="n"/>
      <c r="U498" s="122" t="n">
        <v>0</v>
      </c>
      <c r="V498" s="123">
        <f>IF(B498="","",N498-U498)</f>
        <v/>
      </c>
      <c r="W498" s="116" t="n"/>
      <c r="X498" s="125">
        <f>IF(B498="","",IF(LEFT(B498,2)="NC",-1,1))</f>
        <v/>
      </c>
      <c r="Y498" s="123">
        <f>IF(B498="",0,N(I498)*X498)</f>
        <v/>
      </c>
      <c r="Z498" s="123">
        <f>IF(B498="",0,N(J498)*X498)</f>
        <v/>
      </c>
      <c r="AA498" s="123">
        <f>IF(B498="",0,N(K498)*X498)</f>
        <v/>
      </c>
      <c r="AB498" s="123">
        <f>IF(B498="",0,N(L498)*X498)</f>
        <v/>
      </c>
      <c r="AC498" s="123">
        <f>IF(B498="",0,N(N498)*X498)</f>
        <v/>
      </c>
    </row>
    <row r="499" ht="15" customHeight="1" s="83">
      <c r="A499" s="120" t="n"/>
      <c r="B499" s="116" t="n"/>
      <c r="C499" s="116" t="n"/>
      <c r="D499" s="116" t="n"/>
      <c r="E499" s="116" t="n"/>
      <c r="F499" s="116" t="n"/>
      <c r="G499" s="116" t="n"/>
      <c r="H499" s="121">
        <f>IF(G499="","",IF(ISNUMBER(SEARCH("CAPITA",UPPER(G499))),651110,IF(ISNUMBER(SEARCH("REFUERZO",UPPER(G499))),651110,IF(ISNUMBER(SEARCH("VACUNACION",UPPER(G499))),651110,IF(ISNUMBER(SEARCH("ENFERMERIA",UPPER(G499))),651110,IF(ISNUMBER(SEARCH("APORTES",UPPER(G499))),651110,IF(ISNUMBER(SEARCH("HONORARIOS",UPPER(G499))),702010,IF(ISNUMBER(SEARCH("ADMINISTRACION",UPPER(G499))),702010,IF(ISNUMBER(SEARCH("GERENCIAMIENTO",UPPER(G499))),702010,IF(ISNUMBER(SEARCH("ALQUILER",UPPER(G499))),702010,IF(ISNUMBER(SEARCH("AUDITORIA",UPPER(G499))),702010,IF(ISNUMBER(SEARCH("PRESTACIONAL",UPPER(G499))),702010,702010))))))))))))</f>
        <v/>
      </c>
      <c r="I499" s="122" t="n"/>
      <c r="J499" s="122" t="n"/>
      <c r="K499" s="123">
        <f>IF(N(I499)&gt;0,ROUND(N(I499)*IVA_general,2),0)</f>
        <v/>
      </c>
      <c r="L499" s="122" t="n">
        <v>0</v>
      </c>
      <c r="M499" s="122" t="n"/>
      <c r="N499" s="123">
        <f>IF(SUM(I499:M499)=0,"",SUM(I499:M499))</f>
        <v/>
      </c>
      <c r="O499" s="124">
        <f>IF(A499="","",TEXT(A499,"yyyy-mm"))</f>
        <v/>
      </c>
      <c r="P499" s="121">
        <f>IF(A499="","",YEAR(A499))</f>
        <v/>
      </c>
      <c r="Q499" s="121">
        <f>IF(A499="","",MONTH(A499))</f>
        <v/>
      </c>
      <c r="R499" s="116" t="n"/>
      <c r="S499" s="116" t="n"/>
      <c r="T499" s="120" t="n"/>
      <c r="U499" s="122" t="n">
        <v>0</v>
      </c>
      <c r="V499" s="123">
        <f>IF(B499="","",N499-U499)</f>
        <v/>
      </c>
      <c r="W499" s="116" t="n"/>
      <c r="X499" s="125">
        <f>IF(B499="","",IF(LEFT(B499,2)="NC",-1,1))</f>
        <v/>
      </c>
      <c r="Y499" s="123">
        <f>IF(B499="",0,N(I499)*X499)</f>
        <v/>
      </c>
      <c r="Z499" s="123">
        <f>IF(B499="",0,N(J499)*X499)</f>
        <v/>
      </c>
      <c r="AA499" s="123">
        <f>IF(B499="",0,N(K499)*X499)</f>
        <v/>
      </c>
      <c r="AB499" s="123">
        <f>IF(B499="",0,N(L499)*X499)</f>
        <v/>
      </c>
      <c r="AC499" s="123">
        <f>IF(B499="",0,N(N499)*X499)</f>
        <v/>
      </c>
    </row>
    <row r="500" ht="15" customHeight="1" s="83">
      <c r="A500" s="120" t="n"/>
      <c r="B500" s="116" t="n"/>
      <c r="C500" s="116" t="n"/>
      <c r="D500" s="116" t="n"/>
      <c r="E500" s="116" t="n"/>
      <c r="F500" s="116" t="n"/>
      <c r="G500" s="116" t="n"/>
      <c r="H500" s="121">
        <f>IF(G500="","",IF(ISNUMBER(SEARCH("CAPITA",UPPER(G500))),651110,IF(ISNUMBER(SEARCH("REFUERZO",UPPER(G500))),651110,IF(ISNUMBER(SEARCH("VACUNACION",UPPER(G500))),651110,IF(ISNUMBER(SEARCH("ENFERMERIA",UPPER(G500))),651110,IF(ISNUMBER(SEARCH("APORTES",UPPER(G500))),651110,IF(ISNUMBER(SEARCH("HONORARIOS",UPPER(G500))),702010,IF(ISNUMBER(SEARCH("ADMINISTRACION",UPPER(G500))),702010,IF(ISNUMBER(SEARCH("GERENCIAMIENTO",UPPER(G500))),702010,IF(ISNUMBER(SEARCH("ALQUILER",UPPER(G500))),702010,IF(ISNUMBER(SEARCH("AUDITORIA",UPPER(G500))),702010,IF(ISNUMBER(SEARCH("PRESTACIONAL",UPPER(G500))),702010,702010))))))))))))</f>
        <v/>
      </c>
      <c r="I500" s="122" t="n"/>
      <c r="J500" s="122" t="n"/>
      <c r="K500" s="123">
        <f>IF(N(I500)&gt;0,ROUND(N(I500)*IVA_general,2),0)</f>
        <v/>
      </c>
      <c r="L500" s="122" t="n">
        <v>0</v>
      </c>
      <c r="M500" s="122" t="n"/>
      <c r="N500" s="123">
        <f>IF(SUM(I500:M500)=0,"",SUM(I500:M500))</f>
        <v/>
      </c>
      <c r="O500" s="124">
        <f>IF(A500="","",TEXT(A500,"yyyy-mm"))</f>
        <v/>
      </c>
      <c r="P500" s="121">
        <f>IF(A500="","",YEAR(A500))</f>
        <v/>
      </c>
      <c r="Q500" s="121">
        <f>IF(A500="","",MONTH(A500))</f>
        <v/>
      </c>
      <c r="R500" s="116" t="n"/>
      <c r="S500" s="116" t="n"/>
      <c r="T500" s="120" t="n"/>
      <c r="U500" s="122" t="n">
        <v>0</v>
      </c>
      <c r="V500" s="123">
        <f>IF(B500="","",N500-U500)</f>
        <v/>
      </c>
      <c r="W500" s="116" t="n"/>
      <c r="X500" s="125">
        <f>IF(B500="","",IF(LEFT(B500,2)="NC",-1,1))</f>
        <v/>
      </c>
      <c r="Y500" s="123">
        <f>IF(B500="",0,N(I500)*X500)</f>
        <v/>
      </c>
      <c r="Z500" s="123">
        <f>IF(B500="",0,N(J500)*X500)</f>
        <v/>
      </c>
      <c r="AA500" s="123">
        <f>IF(B500="",0,N(K500)*X500)</f>
        <v/>
      </c>
      <c r="AB500" s="123">
        <f>IF(B500="",0,N(L500)*X500)</f>
        <v/>
      </c>
      <c r="AC500" s="123">
        <f>IF(B500="",0,N(N500)*X500)</f>
        <v/>
      </c>
    </row>
    <row r="501" ht="15" customHeight="1" s="83">
      <c r="A501" s="120" t="n"/>
      <c r="B501" s="116" t="n"/>
      <c r="C501" s="116" t="n"/>
      <c r="D501" s="116" t="n"/>
      <c r="E501" s="116" t="n"/>
      <c r="F501" s="116" t="n"/>
      <c r="G501" s="116" t="n"/>
      <c r="H501" s="121">
        <f>IF(G501="","",IF(ISNUMBER(SEARCH("CAPITA",UPPER(G501))),651110,IF(ISNUMBER(SEARCH("REFUERZO",UPPER(G501))),651110,IF(ISNUMBER(SEARCH("VACUNACION",UPPER(G501))),651110,IF(ISNUMBER(SEARCH("ENFERMERIA",UPPER(G501))),651110,IF(ISNUMBER(SEARCH("APORTES",UPPER(G501))),651110,IF(ISNUMBER(SEARCH("HONORARIOS",UPPER(G501))),702010,IF(ISNUMBER(SEARCH("ADMINISTRACION",UPPER(G501))),702010,IF(ISNUMBER(SEARCH("GERENCIAMIENTO",UPPER(G501))),702010,IF(ISNUMBER(SEARCH("ALQUILER",UPPER(G501))),702010,IF(ISNUMBER(SEARCH("AUDITORIA",UPPER(G501))),702010,IF(ISNUMBER(SEARCH("PRESTACIONAL",UPPER(G501))),702010,702010))))))))))))</f>
        <v/>
      </c>
      <c r="I501" s="122" t="n"/>
      <c r="J501" s="122" t="n"/>
      <c r="K501" s="123">
        <f>IF(N(I501)&gt;0,ROUND(N(I501)*IVA_general,2),0)</f>
        <v/>
      </c>
      <c r="L501" s="122" t="n">
        <v>0</v>
      </c>
      <c r="M501" s="122" t="n"/>
      <c r="N501" s="123">
        <f>IF(SUM(I501:M501)=0,"",SUM(I501:M501))</f>
        <v/>
      </c>
      <c r="O501" s="124">
        <f>IF(A501="","",TEXT(A501,"yyyy-mm"))</f>
        <v/>
      </c>
      <c r="P501" s="121">
        <f>IF(A501="","",YEAR(A501))</f>
        <v/>
      </c>
      <c r="Q501" s="121">
        <f>IF(A501="","",MONTH(A501))</f>
        <v/>
      </c>
      <c r="R501" s="116" t="n"/>
      <c r="S501" s="116" t="n"/>
      <c r="T501" s="120" t="n"/>
      <c r="U501" s="122" t="n">
        <v>0</v>
      </c>
      <c r="V501" s="123">
        <f>IF(B501="","",N501-U501)</f>
        <v/>
      </c>
      <c r="W501" s="116" t="n"/>
      <c r="X501" s="125">
        <f>IF(B501="","",IF(LEFT(B501,2)="NC",-1,1))</f>
        <v/>
      </c>
      <c r="Y501" s="123">
        <f>IF(B501="",0,N(I501)*X501)</f>
        <v/>
      </c>
      <c r="Z501" s="123">
        <f>IF(B501="",0,N(J501)*X501)</f>
        <v/>
      </c>
      <c r="AA501" s="123">
        <f>IF(B501="",0,N(K501)*X501)</f>
        <v/>
      </c>
      <c r="AB501" s="123">
        <f>IF(B501="",0,N(L501)*X501)</f>
        <v/>
      </c>
      <c r="AC501" s="123">
        <f>IF(B501="",0,N(N501)*X501)</f>
        <v/>
      </c>
    </row>
  </sheetData>
  <conditionalFormatting sqref="S2:S501">
    <cfRule type="cellIs" rank="0" priority="2" equalAverage="0" operator="equal" aboveAverage="0" dxfId="1" text="" percent="0" bottom="0">
      <formula>"Cobrada"</formula>
    </cfRule>
    <cfRule type="cellIs" rank="0" priority="3" equalAverage="0" operator="equal" aboveAverage="0" dxfId="2" text="" percent="0" bottom="0">
      <formula>"Pendiente"</formula>
    </cfRule>
    <cfRule type="cellIs" rank="0" priority="4" equalAverage="0" operator="equal" aboveAverage="0" dxfId="0" text="" percent="0" bottom="0">
      <formula>"Vencida"</formula>
    </cfRule>
    <cfRule type="cellIs" rank="0" priority="5" equalAverage="0" operator="equal" aboveAverage="0" dxfId="3" text="" percent="0" bottom="0">
      <formula>"Parcial"</formula>
    </cfRule>
  </conditionalFormatting>
  <conditionalFormatting sqref="R2:R501">
    <cfRule type="cellIs" rank="0" priority="6" equalAverage="0" operator="equal" aboveAverage="0" dxfId="0" text="" percent="0" bottom="0">
      <formula>"Anulada"</formula>
    </cfRule>
  </conditionalFormatting>
  <conditionalFormatting sqref="B2:B501">
    <cfRule type="expression" rank="0" priority="7" equalAverage="0" aboveAverage="0" dxfId="4" text="" percent="0" bottom="0">
      <formula>LEFT(B2,2)="NC"</formula>
    </cfRule>
  </conditionalFormatting>
  <dataValidations count="3">
    <dataValidation sqref="B2:B501" showDropDown="0" showInputMessage="0" showErrorMessage="0" allowBlank="1" type="list" errorStyle="stop" operator="between">
      <formula1>"A,B,C,E,M,NCA,NCB,NCC,NCE,NDA,NDB,NDC"</formula1>
      <formula2>0</formula2>
    </dataValidation>
    <dataValidation sqref="R2:R501" showDropDown="0" showInputMessage="0" showErrorMessage="0" allowBlank="1" type="list" errorStyle="stop" operator="between">
      <formula1>"Emitida,Anulada,Pendiente"</formula1>
      <formula2>0</formula2>
    </dataValidation>
    <dataValidation sqref="S2:S501" showDropDown="0" showInputMessage="0" showErrorMessage="0" allowBlank="1" type="list" errorStyle="stop" operator="between">
      <formula1>"Pendiente,Cobrada,Parcial,Vencida,Incobrable"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8" customWidth="1" style="82" min="1" max="2"/>
    <col width="8" customWidth="1" style="82" min="3" max="3"/>
    <col width="13" customWidth="1" style="82" min="4" max="15"/>
    <col width="14" customWidth="1" style="82" min="16" max="16"/>
    <col width="11" customWidth="1" style="82" min="17" max="17"/>
  </cols>
  <sheetData>
    <row r="1" ht="17.25" customHeight="1" s="83">
      <c r="A1" s="129" t="inlineStr">
        <is>
          <t>CHECKLIST DE FACTURACIÓN MENSUAL - 2026</t>
        </is>
      </c>
    </row>
    <row r="2" ht="24.75" customHeight="1" s="83">
      <c r="A2" s="100" t="inlineStr">
        <is>
          <t>Cliente</t>
        </is>
      </c>
      <c r="B2" s="100" t="inlineStr">
        <is>
          <t>Concepto</t>
        </is>
      </c>
      <c r="C2" s="100" t="inlineStr">
        <is>
          <t>Activ.</t>
        </is>
      </c>
      <c r="D2" s="100" t="inlineStr">
        <is>
          <t>Ene</t>
        </is>
      </c>
      <c r="E2" s="100" t="inlineStr">
        <is>
          <t>Feb</t>
        </is>
      </c>
      <c r="F2" s="100" t="inlineStr">
        <is>
          <t>Mar</t>
        </is>
      </c>
      <c r="G2" s="100" t="inlineStr">
        <is>
          <t>Abr</t>
        </is>
      </c>
      <c r="H2" s="100" t="inlineStr">
        <is>
          <t>May</t>
        </is>
      </c>
      <c r="I2" s="100" t="inlineStr">
        <is>
          <t>Jun</t>
        </is>
      </c>
      <c r="J2" s="100" t="inlineStr">
        <is>
          <t>Jul</t>
        </is>
      </c>
      <c r="K2" s="100" t="inlineStr">
        <is>
          <t>Ago</t>
        </is>
      </c>
      <c r="L2" s="100" t="inlineStr">
        <is>
          <t>Sep</t>
        </is>
      </c>
      <c r="M2" s="100" t="inlineStr">
        <is>
          <t>Oct</t>
        </is>
      </c>
      <c r="N2" s="100" t="inlineStr">
        <is>
          <t>Nov</t>
        </is>
      </c>
      <c r="O2" s="100" t="inlineStr">
        <is>
          <t>Dic</t>
        </is>
      </c>
      <c r="P2" s="100" t="inlineStr">
        <is>
          <t>Total Año</t>
        </is>
      </c>
      <c r="Q2" s="100" t="inlineStr">
        <is>
          <t>% Compl.</t>
        </is>
      </c>
    </row>
    <row r="3" ht="15" customHeight="1" s="83">
      <c r="A3" s="130" t="inlineStr">
        <is>
          <t>OSPLYF</t>
        </is>
      </c>
      <c r="B3" s="131" t="inlineStr">
        <is>
          <t>Cápitas + Honorarios + Extras</t>
        </is>
      </c>
      <c r="C3" s="108" t="inlineStr">
        <is>
          <t>multi</t>
        </is>
      </c>
      <c r="D3" s="132">
        <f>SUMIFS(Fac_Total,Fac_Cliente,$A3,Fac_Mes,1,Fac_Anio,2026,Fac_EstadoAFIP,"&lt;&gt;Anulada")</f>
        <v/>
      </c>
      <c r="E3" s="132">
        <f>SUMIFS(Fac_Total,Fac_Cliente,$A3,Fac_Mes,2,Fac_Anio,2026,Fac_EstadoAFIP,"&lt;&gt;Anulada")</f>
        <v/>
      </c>
      <c r="F3" s="132">
        <f>SUMIFS(Fac_Total,Fac_Cliente,$A3,Fac_Mes,3,Fac_Anio,2026,Fac_EstadoAFIP,"&lt;&gt;Anulada")</f>
        <v/>
      </c>
      <c r="G3" s="132">
        <f>SUMIFS(Fac_Total,Fac_Cliente,$A3,Fac_Mes,4,Fac_Anio,2026,Fac_EstadoAFIP,"&lt;&gt;Anulada")</f>
        <v/>
      </c>
      <c r="H3" s="132">
        <f>SUMIFS(Fac_Total,Fac_Cliente,$A3,Fac_Mes,5,Fac_Anio,2026,Fac_EstadoAFIP,"&lt;&gt;Anulada")</f>
        <v/>
      </c>
      <c r="I3" s="132">
        <f>SUMIFS(Fac_Total,Fac_Cliente,$A3,Fac_Mes,6,Fac_Anio,2026,Fac_EstadoAFIP,"&lt;&gt;Anulada")</f>
        <v/>
      </c>
      <c r="J3" s="132">
        <f>SUMIFS(Fac_Total,Fac_Cliente,$A3,Fac_Mes,7,Fac_Anio,2026,Fac_EstadoAFIP,"&lt;&gt;Anulada")</f>
        <v/>
      </c>
      <c r="K3" s="132">
        <f>SUMIFS(Fac_Total,Fac_Cliente,$A3,Fac_Mes,8,Fac_Anio,2026,Fac_EstadoAFIP,"&lt;&gt;Anulada")</f>
        <v/>
      </c>
      <c r="L3" s="132">
        <f>SUMIFS(Fac_Total,Fac_Cliente,$A3,Fac_Mes,9,Fac_Anio,2026,Fac_EstadoAFIP,"&lt;&gt;Anulada")</f>
        <v/>
      </c>
      <c r="M3" s="132">
        <f>SUMIFS(Fac_Total,Fac_Cliente,$A3,Fac_Mes,10,Fac_Anio,2026,Fac_EstadoAFIP,"&lt;&gt;Anulada")</f>
        <v/>
      </c>
      <c r="N3" s="132">
        <f>SUMIFS(Fac_Total,Fac_Cliente,$A3,Fac_Mes,11,Fac_Anio,2026,Fac_EstadoAFIP,"&lt;&gt;Anulada")</f>
        <v/>
      </c>
      <c r="O3" s="132">
        <f>SUMIFS(Fac_Total,Fac_Cliente,$A3,Fac_Mes,12,Fac_Anio,2026,Fac_EstadoAFIP,"&lt;&gt;Anulada")</f>
        <v/>
      </c>
      <c r="P3" s="133">
        <f>SUM(D3:O3)</f>
        <v/>
      </c>
      <c r="Q3" s="134">
        <f>COUNTIF(D3:O3,"&gt;0")/12</f>
        <v/>
      </c>
    </row>
    <row r="4" ht="15" customHeight="1" s="83">
      <c r="A4" s="130" t="inlineStr">
        <is>
          <t>OSSURRBAC</t>
        </is>
      </c>
      <c r="B4" s="131" t="inlineStr">
        <is>
          <t>Cápita + Alquiler ecógrafo + Servicios</t>
        </is>
      </c>
      <c r="C4" s="108" t="inlineStr">
        <is>
          <t>multi</t>
        </is>
      </c>
      <c r="D4" s="132">
        <f>SUMIFS(Fac_Total,Fac_Cliente,$A4,Fac_Mes,1,Fac_Anio,2026,Fac_EstadoAFIP,"&lt;&gt;Anulada")</f>
        <v/>
      </c>
      <c r="E4" s="132">
        <f>SUMIFS(Fac_Total,Fac_Cliente,$A4,Fac_Mes,2,Fac_Anio,2026,Fac_EstadoAFIP,"&lt;&gt;Anulada")</f>
        <v/>
      </c>
      <c r="F4" s="132">
        <f>SUMIFS(Fac_Total,Fac_Cliente,$A4,Fac_Mes,3,Fac_Anio,2026,Fac_EstadoAFIP,"&lt;&gt;Anulada")</f>
        <v/>
      </c>
      <c r="G4" s="132">
        <f>SUMIFS(Fac_Total,Fac_Cliente,$A4,Fac_Mes,4,Fac_Anio,2026,Fac_EstadoAFIP,"&lt;&gt;Anulada")</f>
        <v/>
      </c>
      <c r="H4" s="132">
        <f>SUMIFS(Fac_Total,Fac_Cliente,$A4,Fac_Mes,5,Fac_Anio,2026,Fac_EstadoAFIP,"&lt;&gt;Anulada")</f>
        <v/>
      </c>
      <c r="I4" s="132">
        <f>SUMIFS(Fac_Total,Fac_Cliente,$A4,Fac_Mes,6,Fac_Anio,2026,Fac_EstadoAFIP,"&lt;&gt;Anulada")</f>
        <v/>
      </c>
      <c r="J4" s="132">
        <f>SUMIFS(Fac_Total,Fac_Cliente,$A4,Fac_Mes,7,Fac_Anio,2026,Fac_EstadoAFIP,"&lt;&gt;Anulada")</f>
        <v/>
      </c>
      <c r="K4" s="132">
        <f>SUMIFS(Fac_Total,Fac_Cliente,$A4,Fac_Mes,8,Fac_Anio,2026,Fac_EstadoAFIP,"&lt;&gt;Anulada")</f>
        <v/>
      </c>
      <c r="L4" s="132">
        <f>SUMIFS(Fac_Total,Fac_Cliente,$A4,Fac_Mes,9,Fac_Anio,2026,Fac_EstadoAFIP,"&lt;&gt;Anulada")</f>
        <v/>
      </c>
      <c r="M4" s="132">
        <f>SUMIFS(Fac_Total,Fac_Cliente,$A4,Fac_Mes,10,Fac_Anio,2026,Fac_EstadoAFIP,"&lt;&gt;Anulada")</f>
        <v/>
      </c>
      <c r="N4" s="132">
        <f>SUMIFS(Fac_Total,Fac_Cliente,$A4,Fac_Mes,11,Fac_Anio,2026,Fac_EstadoAFIP,"&lt;&gt;Anulada")</f>
        <v/>
      </c>
      <c r="O4" s="132">
        <f>SUMIFS(Fac_Total,Fac_Cliente,$A4,Fac_Mes,12,Fac_Anio,2026,Fac_EstadoAFIP,"&lt;&gt;Anulada")</f>
        <v/>
      </c>
      <c r="P4" s="133">
        <f>SUM(D4:O4)</f>
        <v/>
      </c>
      <c r="Q4" s="134">
        <f>COUNTIF(D4:O4,"&gt;0")/12</f>
        <v/>
      </c>
    </row>
    <row r="5" ht="15" customHeight="1" s="83">
      <c r="A5" s="130" t="inlineStr">
        <is>
          <t>AMSURRBAC</t>
        </is>
      </c>
      <c r="B5" s="131" t="inlineStr">
        <is>
          <t>Cápitas vacunación + enfermería</t>
        </is>
      </c>
      <c r="C5" s="108" t="inlineStr">
        <is>
          <t>multi</t>
        </is>
      </c>
      <c r="D5" s="132">
        <f>SUMIFS(Fac_Total,Fac_Cliente,$A5,Fac_Mes,1,Fac_Anio,2026,Fac_EstadoAFIP,"&lt;&gt;Anulada")</f>
        <v/>
      </c>
      <c r="E5" s="132">
        <f>SUMIFS(Fac_Total,Fac_Cliente,$A5,Fac_Mes,2,Fac_Anio,2026,Fac_EstadoAFIP,"&lt;&gt;Anulada")</f>
        <v/>
      </c>
      <c r="F5" s="132">
        <f>SUMIFS(Fac_Total,Fac_Cliente,$A5,Fac_Mes,3,Fac_Anio,2026,Fac_EstadoAFIP,"&lt;&gt;Anulada")</f>
        <v/>
      </c>
      <c r="G5" s="132">
        <f>SUMIFS(Fac_Total,Fac_Cliente,$A5,Fac_Mes,4,Fac_Anio,2026,Fac_EstadoAFIP,"&lt;&gt;Anulada")</f>
        <v/>
      </c>
      <c r="H5" s="132">
        <f>SUMIFS(Fac_Total,Fac_Cliente,$A5,Fac_Mes,5,Fac_Anio,2026,Fac_EstadoAFIP,"&lt;&gt;Anulada")</f>
        <v/>
      </c>
      <c r="I5" s="132">
        <f>SUMIFS(Fac_Total,Fac_Cliente,$A5,Fac_Mes,6,Fac_Anio,2026,Fac_EstadoAFIP,"&lt;&gt;Anulada")</f>
        <v/>
      </c>
      <c r="J5" s="132">
        <f>SUMIFS(Fac_Total,Fac_Cliente,$A5,Fac_Mes,7,Fac_Anio,2026,Fac_EstadoAFIP,"&lt;&gt;Anulada")</f>
        <v/>
      </c>
      <c r="K5" s="132">
        <f>SUMIFS(Fac_Total,Fac_Cliente,$A5,Fac_Mes,8,Fac_Anio,2026,Fac_EstadoAFIP,"&lt;&gt;Anulada")</f>
        <v/>
      </c>
      <c r="L5" s="132">
        <f>SUMIFS(Fac_Total,Fac_Cliente,$A5,Fac_Mes,9,Fac_Anio,2026,Fac_EstadoAFIP,"&lt;&gt;Anulada")</f>
        <v/>
      </c>
      <c r="M5" s="132">
        <f>SUMIFS(Fac_Total,Fac_Cliente,$A5,Fac_Mes,10,Fac_Anio,2026,Fac_EstadoAFIP,"&lt;&gt;Anulada")</f>
        <v/>
      </c>
      <c r="N5" s="132">
        <f>SUMIFS(Fac_Total,Fac_Cliente,$A5,Fac_Mes,11,Fac_Anio,2026,Fac_EstadoAFIP,"&lt;&gt;Anulada")</f>
        <v/>
      </c>
      <c r="O5" s="132">
        <f>SUMIFS(Fac_Total,Fac_Cliente,$A5,Fac_Mes,12,Fac_Anio,2026,Fac_EstadoAFIP,"&lt;&gt;Anulada")</f>
        <v/>
      </c>
      <c r="P5" s="133">
        <f>SUM(D5:O5)</f>
        <v/>
      </c>
      <c r="Q5" s="134">
        <f>COUNTIF(D5:O5,"&gt;0")/12</f>
        <v/>
      </c>
    </row>
    <row r="6" ht="15" customHeight="1" s="83">
      <c r="A6" s="130" t="inlineStr">
        <is>
          <t>OSPEVIC</t>
        </is>
      </c>
      <c r="B6" s="131" t="inlineStr">
        <is>
          <t>Cápita + Extra cápita</t>
        </is>
      </c>
      <c r="C6" s="108" t="inlineStr">
        <is>
          <t>multi</t>
        </is>
      </c>
      <c r="D6" s="132">
        <f>SUMIFS(Fac_Total,Fac_Cliente,$A6,Fac_Mes,1,Fac_Anio,2026,Fac_EstadoAFIP,"&lt;&gt;Anulada")</f>
        <v/>
      </c>
      <c r="E6" s="132">
        <f>SUMIFS(Fac_Total,Fac_Cliente,$A6,Fac_Mes,2,Fac_Anio,2026,Fac_EstadoAFIP,"&lt;&gt;Anulada")</f>
        <v/>
      </c>
      <c r="F6" s="132">
        <f>SUMIFS(Fac_Total,Fac_Cliente,$A6,Fac_Mes,3,Fac_Anio,2026,Fac_EstadoAFIP,"&lt;&gt;Anulada")</f>
        <v/>
      </c>
      <c r="G6" s="132">
        <f>SUMIFS(Fac_Total,Fac_Cliente,$A6,Fac_Mes,4,Fac_Anio,2026,Fac_EstadoAFIP,"&lt;&gt;Anulada")</f>
        <v/>
      </c>
      <c r="H6" s="132">
        <f>SUMIFS(Fac_Total,Fac_Cliente,$A6,Fac_Mes,5,Fac_Anio,2026,Fac_EstadoAFIP,"&lt;&gt;Anulada")</f>
        <v/>
      </c>
      <c r="I6" s="132">
        <f>SUMIFS(Fac_Total,Fac_Cliente,$A6,Fac_Mes,6,Fac_Anio,2026,Fac_EstadoAFIP,"&lt;&gt;Anulada")</f>
        <v/>
      </c>
      <c r="J6" s="132">
        <f>SUMIFS(Fac_Total,Fac_Cliente,$A6,Fac_Mes,7,Fac_Anio,2026,Fac_EstadoAFIP,"&lt;&gt;Anulada")</f>
        <v/>
      </c>
      <c r="K6" s="132">
        <f>SUMIFS(Fac_Total,Fac_Cliente,$A6,Fac_Mes,8,Fac_Anio,2026,Fac_EstadoAFIP,"&lt;&gt;Anulada")</f>
        <v/>
      </c>
      <c r="L6" s="132">
        <f>SUMIFS(Fac_Total,Fac_Cliente,$A6,Fac_Mes,9,Fac_Anio,2026,Fac_EstadoAFIP,"&lt;&gt;Anulada")</f>
        <v/>
      </c>
      <c r="M6" s="132">
        <f>SUMIFS(Fac_Total,Fac_Cliente,$A6,Fac_Mes,10,Fac_Anio,2026,Fac_EstadoAFIP,"&lt;&gt;Anulada")</f>
        <v/>
      </c>
      <c r="N6" s="132">
        <f>SUMIFS(Fac_Total,Fac_Cliente,$A6,Fac_Mes,11,Fac_Anio,2026,Fac_EstadoAFIP,"&lt;&gt;Anulada")</f>
        <v/>
      </c>
      <c r="O6" s="132">
        <f>SUMIFS(Fac_Total,Fac_Cliente,$A6,Fac_Mes,12,Fac_Anio,2026,Fac_EstadoAFIP,"&lt;&gt;Anulada")</f>
        <v/>
      </c>
      <c r="P6" s="133">
        <f>SUM(D6:O6)</f>
        <v/>
      </c>
      <c r="Q6" s="134">
        <f>COUNTIF(D6:O6,"&gt;0")/12</f>
        <v/>
      </c>
    </row>
    <row r="7" ht="15" customHeight="1" s="83">
      <c r="A7" s="130" t="inlineStr">
        <is>
          <t>OSPIF</t>
        </is>
      </c>
      <c r="B7" s="131" t="inlineStr">
        <is>
          <t>Cápita + Honorarios + Aportes</t>
        </is>
      </c>
      <c r="C7" s="108" t="inlineStr">
        <is>
          <t>multi</t>
        </is>
      </c>
      <c r="D7" s="132">
        <f>SUMIFS(Fac_Total,Fac_Cliente,$A7,Fac_Mes,1,Fac_Anio,2026,Fac_EstadoAFIP,"&lt;&gt;Anulada")</f>
        <v/>
      </c>
      <c r="E7" s="132">
        <f>SUMIFS(Fac_Total,Fac_Cliente,$A7,Fac_Mes,2,Fac_Anio,2026,Fac_EstadoAFIP,"&lt;&gt;Anulada")</f>
        <v/>
      </c>
      <c r="F7" s="132">
        <f>SUMIFS(Fac_Total,Fac_Cliente,$A7,Fac_Mes,3,Fac_Anio,2026,Fac_EstadoAFIP,"&lt;&gt;Anulada")</f>
        <v/>
      </c>
      <c r="G7" s="132">
        <f>SUMIFS(Fac_Total,Fac_Cliente,$A7,Fac_Mes,4,Fac_Anio,2026,Fac_EstadoAFIP,"&lt;&gt;Anulada")</f>
        <v/>
      </c>
      <c r="H7" s="132">
        <f>SUMIFS(Fac_Total,Fac_Cliente,$A7,Fac_Mes,5,Fac_Anio,2026,Fac_EstadoAFIP,"&lt;&gt;Anulada")</f>
        <v/>
      </c>
      <c r="I7" s="132">
        <f>SUMIFS(Fac_Total,Fac_Cliente,$A7,Fac_Mes,6,Fac_Anio,2026,Fac_EstadoAFIP,"&lt;&gt;Anulada")</f>
        <v/>
      </c>
      <c r="J7" s="132">
        <f>SUMIFS(Fac_Total,Fac_Cliente,$A7,Fac_Mes,7,Fac_Anio,2026,Fac_EstadoAFIP,"&lt;&gt;Anulada")</f>
        <v/>
      </c>
      <c r="K7" s="132">
        <f>SUMIFS(Fac_Total,Fac_Cliente,$A7,Fac_Mes,8,Fac_Anio,2026,Fac_EstadoAFIP,"&lt;&gt;Anulada")</f>
        <v/>
      </c>
      <c r="L7" s="132">
        <f>SUMIFS(Fac_Total,Fac_Cliente,$A7,Fac_Mes,9,Fac_Anio,2026,Fac_EstadoAFIP,"&lt;&gt;Anulada")</f>
        <v/>
      </c>
      <c r="M7" s="132">
        <f>SUMIFS(Fac_Total,Fac_Cliente,$A7,Fac_Mes,10,Fac_Anio,2026,Fac_EstadoAFIP,"&lt;&gt;Anulada")</f>
        <v/>
      </c>
      <c r="N7" s="132">
        <f>SUMIFS(Fac_Total,Fac_Cliente,$A7,Fac_Mes,11,Fac_Anio,2026,Fac_EstadoAFIP,"&lt;&gt;Anulada")</f>
        <v/>
      </c>
      <c r="O7" s="132">
        <f>SUMIFS(Fac_Total,Fac_Cliente,$A7,Fac_Mes,12,Fac_Anio,2026,Fac_EstadoAFIP,"&lt;&gt;Anulada")</f>
        <v/>
      </c>
      <c r="P7" s="133">
        <f>SUM(D7:O7)</f>
        <v/>
      </c>
      <c r="Q7" s="134">
        <f>COUNTIF(D7:O7,"&gt;0")/12</f>
        <v/>
      </c>
    </row>
    <row r="8" ht="15" customHeight="1" s="83">
      <c r="A8" s="130" t="inlineStr">
        <is>
          <t>UOM</t>
        </is>
      </c>
      <c r="B8" s="131" t="inlineStr">
        <is>
          <t>Servicios médicos prestacionales</t>
        </is>
      </c>
      <c r="C8" s="108" t="inlineStr">
        <is>
          <t>multi</t>
        </is>
      </c>
      <c r="D8" s="132">
        <f>SUMIFS(Fac_Total,Fac_Cliente,$A8,Fac_Mes,1,Fac_Anio,2026,Fac_EstadoAFIP,"&lt;&gt;Anulada")</f>
        <v/>
      </c>
      <c r="E8" s="132">
        <f>SUMIFS(Fac_Total,Fac_Cliente,$A8,Fac_Mes,2,Fac_Anio,2026,Fac_EstadoAFIP,"&lt;&gt;Anulada")</f>
        <v/>
      </c>
      <c r="F8" s="132">
        <f>SUMIFS(Fac_Total,Fac_Cliente,$A8,Fac_Mes,3,Fac_Anio,2026,Fac_EstadoAFIP,"&lt;&gt;Anulada")</f>
        <v/>
      </c>
      <c r="G8" s="132">
        <f>SUMIFS(Fac_Total,Fac_Cliente,$A8,Fac_Mes,4,Fac_Anio,2026,Fac_EstadoAFIP,"&lt;&gt;Anulada")</f>
        <v/>
      </c>
      <c r="H8" s="132">
        <f>SUMIFS(Fac_Total,Fac_Cliente,$A8,Fac_Mes,5,Fac_Anio,2026,Fac_EstadoAFIP,"&lt;&gt;Anulada")</f>
        <v/>
      </c>
      <c r="I8" s="132">
        <f>SUMIFS(Fac_Total,Fac_Cliente,$A8,Fac_Mes,6,Fac_Anio,2026,Fac_EstadoAFIP,"&lt;&gt;Anulada")</f>
        <v/>
      </c>
      <c r="J8" s="132">
        <f>SUMIFS(Fac_Total,Fac_Cliente,$A8,Fac_Mes,7,Fac_Anio,2026,Fac_EstadoAFIP,"&lt;&gt;Anulada")</f>
        <v/>
      </c>
      <c r="K8" s="132">
        <f>SUMIFS(Fac_Total,Fac_Cliente,$A8,Fac_Mes,8,Fac_Anio,2026,Fac_EstadoAFIP,"&lt;&gt;Anulada")</f>
        <v/>
      </c>
      <c r="L8" s="132">
        <f>SUMIFS(Fac_Total,Fac_Cliente,$A8,Fac_Mes,9,Fac_Anio,2026,Fac_EstadoAFIP,"&lt;&gt;Anulada")</f>
        <v/>
      </c>
      <c r="M8" s="132">
        <f>SUMIFS(Fac_Total,Fac_Cliente,$A8,Fac_Mes,10,Fac_Anio,2026,Fac_EstadoAFIP,"&lt;&gt;Anulada")</f>
        <v/>
      </c>
      <c r="N8" s="132">
        <f>SUMIFS(Fac_Total,Fac_Cliente,$A8,Fac_Mes,11,Fac_Anio,2026,Fac_EstadoAFIP,"&lt;&gt;Anulada")</f>
        <v/>
      </c>
      <c r="O8" s="132">
        <f>SUMIFS(Fac_Total,Fac_Cliente,$A8,Fac_Mes,12,Fac_Anio,2026,Fac_EstadoAFIP,"&lt;&gt;Anulada")</f>
        <v/>
      </c>
      <c r="P8" s="133">
        <f>SUM(D8:O8)</f>
        <v/>
      </c>
      <c r="Q8" s="134">
        <f>COUNTIF(D8:O8,"&gt;0")/12</f>
        <v/>
      </c>
    </row>
    <row r="9" ht="15" customHeight="1" s="83">
      <c r="A9" s="130" t="inlineStr">
        <is>
          <t>MOSAISTAS</t>
        </is>
      </c>
      <c r="B9" s="131" t="inlineStr">
        <is>
          <t>Honorarios</t>
        </is>
      </c>
      <c r="C9" s="108" t="inlineStr">
        <is>
          <t>multi</t>
        </is>
      </c>
      <c r="D9" s="132">
        <f>SUMIFS(Fac_Total,Fac_Cliente,$A9,Fac_Mes,1,Fac_Anio,2026,Fac_EstadoAFIP,"&lt;&gt;Anulada")</f>
        <v/>
      </c>
      <c r="E9" s="132">
        <f>SUMIFS(Fac_Total,Fac_Cliente,$A9,Fac_Mes,2,Fac_Anio,2026,Fac_EstadoAFIP,"&lt;&gt;Anulada")</f>
        <v/>
      </c>
      <c r="F9" s="132">
        <f>SUMIFS(Fac_Total,Fac_Cliente,$A9,Fac_Mes,3,Fac_Anio,2026,Fac_EstadoAFIP,"&lt;&gt;Anulada")</f>
        <v/>
      </c>
      <c r="G9" s="132">
        <f>SUMIFS(Fac_Total,Fac_Cliente,$A9,Fac_Mes,4,Fac_Anio,2026,Fac_EstadoAFIP,"&lt;&gt;Anulada")</f>
        <v/>
      </c>
      <c r="H9" s="132">
        <f>SUMIFS(Fac_Total,Fac_Cliente,$A9,Fac_Mes,5,Fac_Anio,2026,Fac_EstadoAFIP,"&lt;&gt;Anulada")</f>
        <v/>
      </c>
      <c r="I9" s="132">
        <f>SUMIFS(Fac_Total,Fac_Cliente,$A9,Fac_Mes,6,Fac_Anio,2026,Fac_EstadoAFIP,"&lt;&gt;Anulada")</f>
        <v/>
      </c>
      <c r="J9" s="132">
        <f>SUMIFS(Fac_Total,Fac_Cliente,$A9,Fac_Mes,7,Fac_Anio,2026,Fac_EstadoAFIP,"&lt;&gt;Anulada")</f>
        <v/>
      </c>
      <c r="K9" s="132">
        <f>SUMIFS(Fac_Total,Fac_Cliente,$A9,Fac_Mes,8,Fac_Anio,2026,Fac_EstadoAFIP,"&lt;&gt;Anulada")</f>
        <v/>
      </c>
      <c r="L9" s="132">
        <f>SUMIFS(Fac_Total,Fac_Cliente,$A9,Fac_Mes,9,Fac_Anio,2026,Fac_EstadoAFIP,"&lt;&gt;Anulada")</f>
        <v/>
      </c>
      <c r="M9" s="132">
        <f>SUMIFS(Fac_Total,Fac_Cliente,$A9,Fac_Mes,10,Fac_Anio,2026,Fac_EstadoAFIP,"&lt;&gt;Anulada")</f>
        <v/>
      </c>
      <c r="N9" s="132">
        <f>SUMIFS(Fac_Total,Fac_Cliente,$A9,Fac_Mes,11,Fac_Anio,2026,Fac_EstadoAFIP,"&lt;&gt;Anulada")</f>
        <v/>
      </c>
      <c r="O9" s="132">
        <f>SUMIFS(Fac_Total,Fac_Cliente,$A9,Fac_Mes,12,Fac_Anio,2026,Fac_EstadoAFIP,"&lt;&gt;Anulada")</f>
        <v/>
      </c>
      <c r="P9" s="133">
        <f>SUM(D9:O9)</f>
        <v/>
      </c>
      <c r="Q9" s="134">
        <f>COUNTIF(D9:O9,"&gt;0")/12</f>
        <v/>
      </c>
    </row>
    <row r="10" ht="15" customHeight="1" s="83">
      <c r="A10" s="130" t="inlineStr">
        <is>
          <t>FUNDACION BIENESTAR SIRELYF</t>
        </is>
      </c>
      <c r="B10" s="131" t="inlineStr">
        <is>
          <t>Servicios prestacionales</t>
        </is>
      </c>
      <c r="C10" s="108" t="inlineStr">
        <is>
          <t>multi</t>
        </is>
      </c>
      <c r="D10" s="132">
        <f>SUMIFS(Fac_Total,Fac_Cliente,$A10,Fac_Mes,1,Fac_Anio,2026,Fac_EstadoAFIP,"&lt;&gt;Anulada")</f>
        <v/>
      </c>
      <c r="E10" s="132">
        <f>SUMIFS(Fac_Total,Fac_Cliente,$A10,Fac_Mes,2,Fac_Anio,2026,Fac_EstadoAFIP,"&lt;&gt;Anulada")</f>
        <v/>
      </c>
      <c r="F10" s="132">
        <f>SUMIFS(Fac_Total,Fac_Cliente,$A10,Fac_Mes,3,Fac_Anio,2026,Fac_EstadoAFIP,"&lt;&gt;Anulada")</f>
        <v/>
      </c>
      <c r="G10" s="132">
        <f>SUMIFS(Fac_Total,Fac_Cliente,$A10,Fac_Mes,4,Fac_Anio,2026,Fac_EstadoAFIP,"&lt;&gt;Anulada")</f>
        <v/>
      </c>
      <c r="H10" s="132">
        <f>SUMIFS(Fac_Total,Fac_Cliente,$A10,Fac_Mes,5,Fac_Anio,2026,Fac_EstadoAFIP,"&lt;&gt;Anulada")</f>
        <v/>
      </c>
      <c r="I10" s="132">
        <f>SUMIFS(Fac_Total,Fac_Cliente,$A10,Fac_Mes,6,Fac_Anio,2026,Fac_EstadoAFIP,"&lt;&gt;Anulada")</f>
        <v/>
      </c>
      <c r="J10" s="132">
        <f>SUMIFS(Fac_Total,Fac_Cliente,$A10,Fac_Mes,7,Fac_Anio,2026,Fac_EstadoAFIP,"&lt;&gt;Anulada")</f>
        <v/>
      </c>
      <c r="K10" s="132">
        <f>SUMIFS(Fac_Total,Fac_Cliente,$A10,Fac_Mes,8,Fac_Anio,2026,Fac_EstadoAFIP,"&lt;&gt;Anulada")</f>
        <v/>
      </c>
      <c r="L10" s="132">
        <f>SUMIFS(Fac_Total,Fac_Cliente,$A10,Fac_Mes,9,Fac_Anio,2026,Fac_EstadoAFIP,"&lt;&gt;Anulada")</f>
        <v/>
      </c>
      <c r="M10" s="132">
        <f>SUMIFS(Fac_Total,Fac_Cliente,$A10,Fac_Mes,10,Fac_Anio,2026,Fac_EstadoAFIP,"&lt;&gt;Anulada")</f>
        <v/>
      </c>
      <c r="N10" s="132">
        <f>SUMIFS(Fac_Total,Fac_Cliente,$A10,Fac_Mes,11,Fac_Anio,2026,Fac_EstadoAFIP,"&lt;&gt;Anulada")</f>
        <v/>
      </c>
      <c r="O10" s="132">
        <f>SUMIFS(Fac_Total,Fac_Cliente,$A10,Fac_Mes,12,Fac_Anio,2026,Fac_EstadoAFIP,"&lt;&gt;Anulada")</f>
        <v/>
      </c>
      <c r="P10" s="133">
        <f>SUM(D10:O10)</f>
        <v/>
      </c>
      <c r="Q10" s="134">
        <f>COUNTIF(D10:O10,"&gt;0")/12</f>
        <v/>
      </c>
    </row>
    <row r="11" ht="15" customHeight="1" s="83">
      <c r="A11" s="130" t="inlineStr">
        <is>
          <t>CFC</t>
        </is>
      </c>
      <c r="B11" s="131" t="inlineStr">
        <is>
          <t>Servicios prestacionales</t>
        </is>
      </c>
      <c r="C11" s="108" t="inlineStr">
        <is>
          <t>multi</t>
        </is>
      </c>
      <c r="D11" s="132">
        <f>SUMIFS(Fac_Total,Fac_Cliente,$A11,Fac_Mes,1,Fac_Anio,2026,Fac_EstadoAFIP,"&lt;&gt;Anulada")</f>
        <v/>
      </c>
      <c r="E11" s="132">
        <f>SUMIFS(Fac_Total,Fac_Cliente,$A11,Fac_Mes,2,Fac_Anio,2026,Fac_EstadoAFIP,"&lt;&gt;Anulada")</f>
        <v/>
      </c>
      <c r="F11" s="132">
        <f>SUMIFS(Fac_Total,Fac_Cliente,$A11,Fac_Mes,3,Fac_Anio,2026,Fac_EstadoAFIP,"&lt;&gt;Anulada")</f>
        <v/>
      </c>
      <c r="G11" s="132">
        <f>SUMIFS(Fac_Total,Fac_Cliente,$A11,Fac_Mes,4,Fac_Anio,2026,Fac_EstadoAFIP,"&lt;&gt;Anulada")</f>
        <v/>
      </c>
      <c r="H11" s="132">
        <f>SUMIFS(Fac_Total,Fac_Cliente,$A11,Fac_Mes,5,Fac_Anio,2026,Fac_EstadoAFIP,"&lt;&gt;Anulada")</f>
        <v/>
      </c>
      <c r="I11" s="132">
        <f>SUMIFS(Fac_Total,Fac_Cliente,$A11,Fac_Mes,6,Fac_Anio,2026,Fac_EstadoAFIP,"&lt;&gt;Anulada")</f>
        <v/>
      </c>
      <c r="J11" s="132">
        <f>SUMIFS(Fac_Total,Fac_Cliente,$A11,Fac_Mes,7,Fac_Anio,2026,Fac_EstadoAFIP,"&lt;&gt;Anulada")</f>
        <v/>
      </c>
      <c r="K11" s="132">
        <f>SUMIFS(Fac_Total,Fac_Cliente,$A11,Fac_Mes,8,Fac_Anio,2026,Fac_EstadoAFIP,"&lt;&gt;Anulada")</f>
        <v/>
      </c>
      <c r="L11" s="132">
        <f>SUMIFS(Fac_Total,Fac_Cliente,$A11,Fac_Mes,9,Fac_Anio,2026,Fac_EstadoAFIP,"&lt;&gt;Anulada")</f>
        <v/>
      </c>
      <c r="M11" s="132">
        <f>SUMIFS(Fac_Total,Fac_Cliente,$A11,Fac_Mes,10,Fac_Anio,2026,Fac_EstadoAFIP,"&lt;&gt;Anulada")</f>
        <v/>
      </c>
      <c r="N11" s="132">
        <f>SUMIFS(Fac_Total,Fac_Cliente,$A11,Fac_Mes,11,Fac_Anio,2026,Fac_EstadoAFIP,"&lt;&gt;Anulada")</f>
        <v/>
      </c>
      <c r="O11" s="132">
        <f>SUMIFS(Fac_Total,Fac_Cliente,$A11,Fac_Mes,12,Fac_Anio,2026,Fac_EstadoAFIP,"&lt;&gt;Anulada")</f>
        <v/>
      </c>
      <c r="P11" s="133">
        <f>SUM(D11:O11)</f>
        <v/>
      </c>
      <c r="Q11" s="134">
        <f>COUNTIF(D11:O11,"&gt;0")/12</f>
        <v/>
      </c>
    </row>
    <row r="12" ht="15" customHeight="1" s="83"/>
    <row r="13" ht="15" customHeight="1" s="83">
      <c r="A13" s="135" t="inlineStr">
        <is>
          <t>TOTAL MENSUAL</t>
        </is>
      </c>
      <c r="B13" s="114" t="n"/>
      <c r="C13" s="115" t="n"/>
      <c r="D13" s="133">
        <f>SUM(D3:D11)</f>
        <v/>
      </c>
      <c r="E13" s="133">
        <f>SUM(E3:E11)</f>
        <v/>
      </c>
      <c r="F13" s="133">
        <f>SUM(F3:F11)</f>
        <v/>
      </c>
      <c r="G13" s="133">
        <f>SUM(G3:G11)</f>
        <v/>
      </c>
      <c r="H13" s="133">
        <f>SUM(H3:H11)</f>
        <v/>
      </c>
      <c r="I13" s="133">
        <f>SUM(I3:I11)</f>
        <v/>
      </c>
      <c r="J13" s="133">
        <f>SUM(J3:J11)</f>
        <v/>
      </c>
      <c r="K13" s="133">
        <f>SUM(K3:K11)</f>
        <v/>
      </c>
      <c r="L13" s="133">
        <f>SUM(L3:L11)</f>
        <v/>
      </c>
      <c r="M13" s="133">
        <f>SUM(M3:M11)</f>
        <v/>
      </c>
      <c r="N13" s="133">
        <f>SUM(N3:N11)</f>
        <v/>
      </c>
      <c r="O13" s="133">
        <f>SUM(O3:O11)</f>
        <v/>
      </c>
      <c r="P13" s="133">
        <f>SUM(P3:P11)</f>
        <v/>
      </c>
    </row>
    <row r="14" ht="15" customHeight="1" s="83"/>
    <row r="15" ht="15" customHeight="1" s="83">
      <c r="A15" s="136" t="inlineStr">
        <is>
          <t>CLIENTES EVENTUALES (mes a mes)</t>
        </is>
      </c>
    </row>
    <row r="16" ht="15" customHeight="1" s="83">
      <c r="A16" s="112" t="inlineStr">
        <is>
          <t>Suma de facturas a clientes que NO están en la lista de fijos arriba.</t>
        </is>
      </c>
    </row>
    <row r="17" ht="15" customHeight="1" s="83">
      <c r="A17" s="135" t="inlineStr">
        <is>
          <t>EVENTUALES</t>
        </is>
      </c>
      <c r="B17" s="114" t="n"/>
      <c r="C17" s="115" t="n"/>
      <c r="D17" s="137">
        <f>SUMIFS(Fac_Total,Fac_Mes,1,Fac_Anio,2026,Fac_EstadoAFIP,"&lt;&gt;Anulada")-D13</f>
        <v/>
      </c>
      <c r="E17" s="137">
        <f>SUMIFS(Fac_Total,Fac_Mes,2,Fac_Anio,2026,Fac_EstadoAFIP,"&lt;&gt;Anulada")-E13</f>
        <v/>
      </c>
      <c r="F17" s="137">
        <f>SUMIFS(Fac_Total,Fac_Mes,3,Fac_Anio,2026,Fac_EstadoAFIP,"&lt;&gt;Anulada")-F13</f>
        <v/>
      </c>
      <c r="G17" s="137">
        <f>SUMIFS(Fac_Total,Fac_Mes,4,Fac_Anio,2026,Fac_EstadoAFIP,"&lt;&gt;Anulada")-G13</f>
        <v/>
      </c>
      <c r="H17" s="137">
        <f>SUMIFS(Fac_Total,Fac_Mes,5,Fac_Anio,2026,Fac_EstadoAFIP,"&lt;&gt;Anulada")-H13</f>
        <v/>
      </c>
      <c r="I17" s="137">
        <f>SUMIFS(Fac_Total,Fac_Mes,6,Fac_Anio,2026,Fac_EstadoAFIP,"&lt;&gt;Anulada")-I13</f>
        <v/>
      </c>
      <c r="J17" s="137">
        <f>SUMIFS(Fac_Total,Fac_Mes,7,Fac_Anio,2026,Fac_EstadoAFIP,"&lt;&gt;Anulada")-J13</f>
        <v/>
      </c>
      <c r="K17" s="137">
        <f>SUMIFS(Fac_Total,Fac_Mes,8,Fac_Anio,2026,Fac_EstadoAFIP,"&lt;&gt;Anulada")-K13</f>
        <v/>
      </c>
      <c r="L17" s="137">
        <f>SUMIFS(Fac_Total,Fac_Mes,9,Fac_Anio,2026,Fac_EstadoAFIP,"&lt;&gt;Anulada")-L13</f>
        <v/>
      </c>
      <c r="M17" s="137">
        <f>SUMIFS(Fac_Total,Fac_Mes,10,Fac_Anio,2026,Fac_EstadoAFIP,"&lt;&gt;Anulada")-M13</f>
        <v/>
      </c>
      <c r="N17" s="137">
        <f>SUMIFS(Fac_Total,Fac_Mes,11,Fac_Anio,2026,Fac_EstadoAFIP,"&lt;&gt;Anulada")-N13</f>
        <v/>
      </c>
      <c r="O17" s="137">
        <f>SUMIFS(Fac_Total,Fac_Mes,12,Fac_Anio,2026,Fac_EstadoAFIP,"&lt;&gt;Anulada")-O13</f>
        <v/>
      </c>
      <c r="P17" s="133">
        <f>SUM(D17:O17)</f>
        <v/>
      </c>
    </row>
    <row r="18" ht="15" customHeight="1" s="83"/>
    <row r="19" ht="15" customHeight="1" s="83"/>
    <row r="20" ht="15" customHeight="1" s="83"/>
    <row r="22" ht="21.75" customHeight="1" s="83">
      <c r="A22" s="82" t="n"/>
    </row>
    <row r="24" ht="15" customHeight="1" s="83">
      <c r="A24" s="82" t="n"/>
    </row>
    <row r="25" ht="15" customHeight="1" s="83">
      <c r="A25" s="82" t="n"/>
    </row>
    <row r="26" ht="15" customHeight="1" s="83">
      <c r="A26" s="82" t="n"/>
    </row>
  </sheetData>
  <mergeCells count="9">
    <mergeCell ref="A13:C13"/>
    <mergeCell ref="A22:C22"/>
    <mergeCell ref="A17:C17"/>
    <mergeCell ref="A16:Q16"/>
    <mergeCell ref="A24:Q24"/>
    <mergeCell ref="A15:Q15"/>
    <mergeCell ref="A25:Q25"/>
    <mergeCell ref="A26:C26"/>
    <mergeCell ref="A1:Q1"/>
  </mergeCells>
  <conditionalFormatting sqref="D3:O20">
    <cfRule type="cellIs" rank="0" priority="2" equalAverage="0" operator="greaterThan" aboveAverage="0" dxfId="1" text="" percent="0" bottom="0">
      <formula>0</formula>
    </cfRule>
    <cfRule type="cellIs" rank="0" priority="3" equalAverage="0" operator="equal" aboveAverage="0" dxfId="0" text="" percent="0" bottom="0">
      <formula>0</formula>
    </cfRule>
  </conditionalFormatting>
  <conditionalFormatting sqref="D3:O11">
    <cfRule type="cellIs" rank="0" priority="4" equalAverage="0" operator="greaterThan" aboveAverage="0" dxfId="1" text="" percent="0" bottom="0">
      <formula>0</formula>
    </cfRule>
    <cfRule type="cellIs" rank="0" priority="5" equalAverage="0" operator="equal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5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2" min="1" max="1"/>
    <col width="26" customWidth="1" style="82" min="2" max="2"/>
    <col width="30" customWidth="1" style="82" min="3" max="3"/>
    <col width="14" customWidth="1" style="82" min="4" max="5"/>
    <col width="12" customWidth="1" style="82" min="6" max="6"/>
    <col width="11" customWidth="1" style="82" min="7" max="7"/>
    <col width="14" customWidth="1" style="82" min="8" max="8"/>
    <col width="30" customWidth="1" style="82" min="9" max="9"/>
    <col width="22" customWidth="1" style="82" min="11" max="11"/>
    <col width="16" customWidth="1" style="82" min="12" max="12"/>
  </cols>
  <sheetData>
    <row r="1" ht="17.25" customHeight="1" s="83">
      <c r="A1" s="129" t="inlineStr">
        <is>
          <t>ESTADO DE COBRANZAS</t>
        </is>
      </c>
    </row>
    <row r="2" ht="31.5" customHeight="1" s="83">
      <c r="A2" s="100" t="inlineStr">
        <is>
          <t>Fecha Factura</t>
        </is>
      </c>
      <c r="B2" s="100" t="inlineStr">
        <is>
          <t>Cliente</t>
        </is>
      </c>
      <c r="C2" s="100" t="inlineStr">
        <is>
          <t>Concepto</t>
        </is>
      </c>
      <c r="D2" s="100" t="inlineStr">
        <is>
          <t>Total Factura</t>
        </is>
      </c>
      <c r="E2" s="100" t="inlineStr">
        <is>
          <t>Estado Cobro</t>
        </is>
      </c>
      <c r="F2" s="100" t="inlineStr">
        <is>
          <t>Fecha Cobro</t>
        </is>
      </c>
      <c r="G2" s="100" t="inlineStr">
        <is>
          <t>Días desde emisión</t>
        </is>
      </c>
      <c r="H2" s="100" t="inlineStr">
        <is>
          <t>Período Devengamiento</t>
        </is>
      </c>
      <c r="I2" s="100" t="inlineStr">
        <is>
          <t>Observaciones</t>
        </is>
      </c>
      <c r="K2" s="100" t="inlineStr">
        <is>
          <t>RESUMEN COBRANZAS</t>
        </is>
      </c>
      <c r="L2" s="115" t="n"/>
    </row>
    <row r="3" ht="15" customHeight="1" s="83">
      <c r="A3" s="138">
        <f>IF(Facturacion!A2="","",Facturacion!A2)</f>
        <v/>
      </c>
      <c r="B3" s="139">
        <f>IF(Facturacion!E2="","",Facturacion!E2)</f>
        <v/>
      </c>
      <c r="C3" s="139">
        <f>IF(Facturacion!G2="","",Facturacion!G2)</f>
        <v/>
      </c>
      <c r="D3" s="140">
        <f>IF(Facturacion!N2="","",Facturacion!N2)</f>
        <v/>
      </c>
      <c r="E3" s="139">
        <f>IF(Facturacion!S2="","",Facturacion!S2)</f>
        <v/>
      </c>
      <c r="F3" s="138">
        <f>IF(Facturacion!T2="","",Facturacion!T2)</f>
        <v/>
      </c>
      <c r="G3" s="141">
        <f>IF(Facturacion!A2="","",IF(Facturacion!T2&lt;&gt;"",Facturacion!T2-Facturacion!A2,TODAY()-Facturacion!A2))</f>
        <v/>
      </c>
      <c r="H3" s="139">
        <f>IF(Facturacion!O2="","",Facturacion!O2)</f>
        <v/>
      </c>
      <c r="I3" s="140">
        <f>IF(Facturacion!U2="","",Facturacion!U2)</f>
        <v/>
      </c>
      <c r="K3" s="107" t="inlineStr">
        <is>
          <t>Total Facturado</t>
        </is>
      </c>
      <c r="L3" s="123">
        <f>SUM(D3:D502)</f>
        <v/>
      </c>
    </row>
    <row r="4" ht="15" customHeight="1" s="83">
      <c r="A4" s="138">
        <f>IF(Facturacion!A3="","",Facturacion!A3)</f>
        <v/>
      </c>
      <c r="B4" s="139">
        <f>IF(Facturacion!E3="","",Facturacion!E3)</f>
        <v/>
      </c>
      <c r="C4" s="139">
        <f>IF(Facturacion!G3="","",Facturacion!G3)</f>
        <v/>
      </c>
      <c r="D4" s="140">
        <f>IF(Facturacion!N3="","",Facturacion!N3)</f>
        <v/>
      </c>
      <c r="E4" s="139">
        <f>IF(Facturacion!S3="","",Facturacion!S3)</f>
        <v/>
      </c>
      <c r="F4" s="138">
        <f>IF(Facturacion!T3="","",Facturacion!T3)</f>
        <v/>
      </c>
      <c r="G4" s="141">
        <f>IF(Facturacion!A3="","",IF(Facturacion!T3&lt;&gt;"",Facturacion!T3-Facturacion!A3,TODAY()-Facturacion!A3))</f>
        <v/>
      </c>
      <c r="H4" s="139">
        <f>IF(Facturacion!O3="","",Facturacion!O3)</f>
        <v/>
      </c>
      <c r="I4" s="140">
        <f>IF(Facturacion!U3="","",Facturacion!U3)</f>
        <v/>
      </c>
      <c r="K4" s="107" t="inlineStr">
        <is>
          <t>Total Cobrado</t>
        </is>
      </c>
      <c r="L4" s="123">
        <f>SUMIF(E3:E502,"Cobrada",D3:D502)</f>
        <v/>
      </c>
    </row>
    <row r="5" ht="15" customHeight="1" s="83">
      <c r="A5" s="138">
        <f>IF(Facturacion!A4="","",Facturacion!A4)</f>
        <v/>
      </c>
      <c r="B5" s="139">
        <f>IF(Facturacion!E4="","",Facturacion!E4)</f>
        <v/>
      </c>
      <c r="C5" s="139">
        <f>IF(Facturacion!G4="","",Facturacion!G4)</f>
        <v/>
      </c>
      <c r="D5" s="140">
        <f>IF(Facturacion!N4="","",Facturacion!N4)</f>
        <v/>
      </c>
      <c r="E5" s="139">
        <f>IF(Facturacion!S4="","",Facturacion!S4)</f>
        <v/>
      </c>
      <c r="F5" s="138">
        <f>IF(Facturacion!T4="","",Facturacion!T4)</f>
        <v/>
      </c>
      <c r="G5" s="141">
        <f>IF(Facturacion!A4="","",IF(Facturacion!T4&lt;&gt;"",Facturacion!T4-Facturacion!A4,TODAY()-Facturacion!A4))</f>
        <v/>
      </c>
      <c r="H5" s="139">
        <f>IF(Facturacion!O4="","",Facturacion!O4)</f>
        <v/>
      </c>
      <c r="I5" s="140">
        <f>IF(Facturacion!U4="","",Facturacion!U4)</f>
        <v/>
      </c>
      <c r="K5" s="107" t="inlineStr">
        <is>
          <t>Total Pendiente</t>
        </is>
      </c>
      <c r="L5" s="123">
        <f>SUMIF(E3:E502,"Pendiente",D3:D502)</f>
        <v/>
      </c>
    </row>
    <row r="6" ht="15" customHeight="1" s="83">
      <c r="A6" s="138">
        <f>IF(Facturacion!A5="","",Facturacion!A5)</f>
        <v/>
      </c>
      <c r="B6" s="139">
        <f>IF(Facturacion!E5="","",Facturacion!E5)</f>
        <v/>
      </c>
      <c r="C6" s="139">
        <f>IF(Facturacion!G5="","",Facturacion!G5)</f>
        <v/>
      </c>
      <c r="D6" s="140">
        <f>IF(Facturacion!N5="","",Facturacion!N5)</f>
        <v/>
      </c>
      <c r="E6" s="139">
        <f>IF(Facturacion!S5="","",Facturacion!S5)</f>
        <v/>
      </c>
      <c r="F6" s="138">
        <f>IF(Facturacion!T5="","",Facturacion!T5)</f>
        <v/>
      </c>
      <c r="G6" s="141">
        <f>IF(Facturacion!A5="","",IF(Facturacion!T5&lt;&gt;"",Facturacion!T5-Facturacion!A5,TODAY()-Facturacion!A5))</f>
        <v/>
      </c>
      <c r="H6" s="139">
        <f>IF(Facturacion!O5="","",Facturacion!O5)</f>
        <v/>
      </c>
      <c r="I6" s="140">
        <f>IF(Facturacion!U5="","",Facturacion!U5)</f>
        <v/>
      </c>
      <c r="K6" s="107" t="inlineStr">
        <is>
          <t>Total Vencido</t>
        </is>
      </c>
      <c r="L6" s="123">
        <f>SUMIF(E3:E502,"Vencida",D3:D502)</f>
        <v/>
      </c>
    </row>
    <row r="7" ht="15" customHeight="1" s="83">
      <c r="A7" s="138">
        <f>IF(Facturacion!A6="","",Facturacion!A6)</f>
        <v/>
      </c>
      <c r="B7" s="139">
        <f>IF(Facturacion!E6="","",Facturacion!E6)</f>
        <v/>
      </c>
      <c r="C7" s="139">
        <f>IF(Facturacion!G6="","",Facturacion!G6)</f>
        <v/>
      </c>
      <c r="D7" s="140">
        <f>IF(Facturacion!N6="","",Facturacion!N6)</f>
        <v/>
      </c>
      <c r="E7" s="139">
        <f>IF(Facturacion!S6="","",Facturacion!S6)</f>
        <v/>
      </c>
      <c r="F7" s="138">
        <f>IF(Facturacion!T6="","",Facturacion!T6)</f>
        <v/>
      </c>
      <c r="G7" s="141">
        <f>IF(Facturacion!A6="","",IF(Facturacion!T6&lt;&gt;"",Facturacion!T6-Facturacion!A6,TODAY()-Facturacion!A6))</f>
        <v/>
      </c>
      <c r="H7" s="139">
        <f>IF(Facturacion!O6="","",Facturacion!O6)</f>
        <v/>
      </c>
      <c r="I7" s="140">
        <f>IF(Facturacion!U6="","",Facturacion!U6)</f>
        <v/>
      </c>
      <c r="K7" s="107" t="inlineStr">
        <is>
          <t>% Cobrado</t>
        </is>
      </c>
      <c r="L7" s="142">
        <f>IFERROR(L4/L3,0)</f>
        <v/>
      </c>
    </row>
    <row r="8" ht="15" customHeight="1" s="83">
      <c r="A8" s="138">
        <f>IF(Facturacion!A7="","",Facturacion!A7)</f>
        <v/>
      </c>
      <c r="B8" s="139">
        <f>IF(Facturacion!E7="","",Facturacion!E7)</f>
        <v/>
      </c>
      <c r="C8" s="139">
        <f>IF(Facturacion!G7="","",Facturacion!G7)</f>
        <v/>
      </c>
      <c r="D8" s="140">
        <f>IF(Facturacion!N7="","",Facturacion!N7)</f>
        <v/>
      </c>
      <c r="E8" s="139">
        <f>IF(Facturacion!S7="","",Facturacion!S7)</f>
        <v/>
      </c>
      <c r="F8" s="138">
        <f>IF(Facturacion!T7="","",Facturacion!T7)</f>
        <v/>
      </c>
      <c r="G8" s="141">
        <f>IF(Facturacion!A7="","",IF(Facturacion!T7&lt;&gt;"",Facturacion!T7-Facturacion!A7,TODAY()-Facturacion!A7))</f>
        <v/>
      </c>
      <c r="H8" s="139">
        <f>IF(Facturacion!O7="","",Facturacion!O7)</f>
        <v/>
      </c>
      <c r="I8" s="140">
        <f>IF(Facturacion!U7="","",Facturacion!U7)</f>
        <v/>
      </c>
    </row>
    <row r="9" ht="15" customHeight="1" s="83">
      <c r="A9" s="138">
        <f>IF(Facturacion!A8="","",Facturacion!A8)</f>
        <v/>
      </c>
      <c r="B9" s="139">
        <f>IF(Facturacion!E8="","",Facturacion!E8)</f>
        <v/>
      </c>
      <c r="C9" s="139">
        <f>IF(Facturacion!G8="","",Facturacion!G8)</f>
        <v/>
      </c>
      <c r="D9" s="140">
        <f>IF(Facturacion!N8="","",Facturacion!N8)</f>
        <v/>
      </c>
      <c r="E9" s="139">
        <f>IF(Facturacion!S8="","",Facturacion!S8)</f>
        <v/>
      </c>
      <c r="F9" s="138">
        <f>IF(Facturacion!T8="","",Facturacion!T8)</f>
        <v/>
      </c>
      <c r="G9" s="141">
        <f>IF(Facturacion!A8="","",IF(Facturacion!T8&lt;&gt;"",Facturacion!T8-Facturacion!A8,TODAY()-Facturacion!A8))</f>
        <v/>
      </c>
      <c r="H9" s="139">
        <f>IF(Facturacion!O8="","",Facturacion!O8)</f>
        <v/>
      </c>
      <c r="I9" s="140">
        <f>IF(Facturacion!U8="","",Facturacion!U8)</f>
        <v/>
      </c>
    </row>
    <row r="10" ht="15" customHeight="1" s="83">
      <c r="A10" s="138">
        <f>IF(Facturacion!A9="","",Facturacion!A9)</f>
        <v/>
      </c>
      <c r="B10" s="139">
        <f>IF(Facturacion!E9="","",Facturacion!E9)</f>
        <v/>
      </c>
      <c r="C10" s="139">
        <f>IF(Facturacion!G9="","",Facturacion!G9)</f>
        <v/>
      </c>
      <c r="D10" s="140">
        <f>IF(Facturacion!N9="","",Facturacion!N9)</f>
        <v/>
      </c>
      <c r="E10" s="139">
        <f>IF(Facturacion!S9="","",Facturacion!S9)</f>
        <v/>
      </c>
      <c r="F10" s="138">
        <f>IF(Facturacion!T9="","",Facturacion!T9)</f>
        <v/>
      </c>
      <c r="G10" s="141">
        <f>IF(Facturacion!A9="","",IF(Facturacion!T9&lt;&gt;"",Facturacion!T9-Facturacion!A9,TODAY()-Facturacion!A9))</f>
        <v/>
      </c>
      <c r="H10" s="139">
        <f>IF(Facturacion!O9="","",Facturacion!O9)</f>
        <v/>
      </c>
      <c r="I10" s="140">
        <f>IF(Facturacion!U9="","",Facturacion!U9)</f>
        <v/>
      </c>
    </row>
    <row r="11" ht="15" customHeight="1" s="83">
      <c r="A11" s="138">
        <f>IF(Facturacion!A10="","",Facturacion!A10)</f>
        <v/>
      </c>
      <c r="B11" s="139">
        <f>IF(Facturacion!E10="","",Facturacion!E10)</f>
        <v/>
      </c>
      <c r="C11" s="139">
        <f>IF(Facturacion!G10="","",Facturacion!G10)</f>
        <v/>
      </c>
      <c r="D11" s="140">
        <f>IF(Facturacion!N10="","",Facturacion!N10)</f>
        <v/>
      </c>
      <c r="E11" s="139">
        <f>IF(Facturacion!S10="","",Facturacion!S10)</f>
        <v/>
      </c>
      <c r="F11" s="138">
        <f>IF(Facturacion!T10="","",Facturacion!T10)</f>
        <v/>
      </c>
      <c r="G11" s="141">
        <f>IF(Facturacion!A10="","",IF(Facturacion!T10&lt;&gt;"",Facturacion!T10-Facturacion!A10,TODAY()-Facturacion!A10))</f>
        <v/>
      </c>
      <c r="H11" s="139">
        <f>IF(Facturacion!O10="","",Facturacion!O10)</f>
        <v/>
      </c>
      <c r="I11" s="140">
        <f>IF(Facturacion!U10="","",Facturacion!U10)</f>
        <v/>
      </c>
    </row>
    <row r="12" ht="15" customHeight="1" s="83">
      <c r="A12" s="138">
        <f>IF(Facturacion!A11="","",Facturacion!A11)</f>
        <v/>
      </c>
      <c r="B12" s="139">
        <f>IF(Facturacion!E11="","",Facturacion!E11)</f>
        <v/>
      </c>
      <c r="C12" s="139">
        <f>IF(Facturacion!G11="","",Facturacion!G11)</f>
        <v/>
      </c>
      <c r="D12" s="140">
        <f>IF(Facturacion!N11="","",Facturacion!N11)</f>
        <v/>
      </c>
      <c r="E12" s="139">
        <f>IF(Facturacion!S11="","",Facturacion!S11)</f>
        <v/>
      </c>
      <c r="F12" s="138">
        <f>IF(Facturacion!T11="","",Facturacion!T11)</f>
        <v/>
      </c>
      <c r="G12" s="141">
        <f>IF(Facturacion!A11="","",IF(Facturacion!T11&lt;&gt;"",Facturacion!T11-Facturacion!A11,TODAY()-Facturacion!A11))</f>
        <v/>
      </c>
      <c r="H12" s="139">
        <f>IF(Facturacion!O11="","",Facturacion!O11)</f>
        <v/>
      </c>
      <c r="I12" s="140">
        <f>IF(Facturacion!U11="","",Facturacion!U11)</f>
        <v/>
      </c>
    </row>
    <row r="13" ht="15" customHeight="1" s="83">
      <c r="A13" s="138">
        <f>IF(Facturacion!A12="","",Facturacion!A12)</f>
        <v/>
      </c>
      <c r="B13" s="139">
        <f>IF(Facturacion!E12="","",Facturacion!E12)</f>
        <v/>
      </c>
      <c r="C13" s="139">
        <f>IF(Facturacion!G12="","",Facturacion!G12)</f>
        <v/>
      </c>
      <c r="D13" s="140">
        <f>IF(Facturacion!N12="","",Facturacion!N12)</f>
        <v/>
      </c>
      <c r="E13" s="139">
        <f>IF(Facturacion!S12="","",Facturacion!S12)</f>
        <v/>
      </c>
      <c r="F13" s="138">
        <f>IF(Facturacion!T12="","",Facturacion!T12)</f>
        <v/>
      </c>
      <c r="G13" s="141">
        <f>IF(Facturacion!A12="","",IF(Facturacion!T12&lt;&gt;"",Facturacion!T12-Facturacion!A12,TODAY()-Facturacion!A12))</f>
        <v/>
      </c>
      <c r="H13" s="139">
        <f>IF(Facturacion!O12="","",Facturacion!O12)</f>
        <v/>
      </c>
      <c r="I13" s="140">
        <f>IF(Facturacion!U12="","",Facturacion!U12)</f>
        <v/>
      </c>
    </row>
    <row r="14" ht="15" customHeight="1" s="83">
      <c r="A14" s="138">
        <f>IF(Facturacion!A13="","",Facturacion!A13)</f>
        <v/>
      </c>
      <c r="B14" s="139">
        <f>IF(Facturacion!E13="","",Facturacion!E13)</f>
        <v/>
      </c>
      <c r="C14" s="139">
        <f>IF(Facturacion!G13="","",Facturacion!G13)</f>
        <v/>
      </c>
      <c r="D14" s="140">
        <f>IF(Facturacion!N13="","",Facturacion!N13)</f>
        <v/>
      </c>
      <c r="E14" s="139">
        <f>IF(Facturacion!S13="","",Facturacion!S13)</f>
        <v/>
      </c>
      <c r="F14" s="138">
        <f>IF(Facturacion!T13="","",Facturacion!T13)</f>
        <v/>
      </c>
      <c r="G14" s="141">
        <f>IF(Facturacion!A13="","",IF(Facturacion!T13&lt;&gt;"",Facturacion!T13-Facturacion!A13,TODAY()-Facturacion!A13))</f>
        <v/>
      </c>
      <c r="H14" s="139">
        <f>IF(Facturacion!O13="","",Facturacion!O13)</f>
        <v/>
      </c>
      <c r="I14" s="140">
        <f>IF(Facturacion!U13="","",Facturacion!U13)</f>
        <v/>
      </c>
    </row>
    <row r="15" ht="15" customHeight="1" s="83">
      <c r="A15" s="138">
        <f>IF(Facturacion!A14="","",Facturacion!A14)</f>
        <v/>
      </c>
      <c r="B15" s="139">
        <f>IF(Facturacion!E14="","",Facturacion!E14)</f>
        <v/>
      </c>
      <c r="C15" s="139">
        <f>IF(Facturacion!G14="","",Facturacion!G14)</f>
        <v/>
      </c>
      <c r="D15" s="140">
        <f>IF(Facturacion!N14="","",Facturacion!N14)</f>
        <v/>
      </c>
      <c r="E15" s="139">
        <f>IF(Facturacion!S14="","",Facturacion!S14)</f>
        <v/>
      </c>
      <c r="F15" s="138">
        <f>IF(Facturacion!T14="","",Facturacion!T14)</f>
        <v/>
      </c>
      <c r="G15" s="141">
        <f>IF(Facturacion!A14="","",IF(Facturacion!T14&lt;&gt;"",Facturacion!T14-Facturacion!A14,TODAY()-Facturacion!A14))</f>
        <v/>
      </c>
      <c r="H15" s="139">
        <f>IF(Facturacion!O14="","",Facturacion!O14)</f>
        <v/>
      </c>
      <c r="I15" s="140">
        <f>IF(Facturacion!U14="","",Facturacion!U14)</f>
        <v/>
      </c>
    </row>
    <row r="16" ht="15" customHeight="1" s="83">
      <c r="A16" s="138">
        <f>IF(Facturacion!A15="","",Facturacion!A15)</f>
        <v/>
      </c>
      <c r="B16" s="139">
        <f>IF(Facturacion!E15="","",Facturacion!E15)</f>
        <v/>
      </c>
      <c r="C16" s="139">
        <f>IF(Facturacion!G15="","",Facturacion!G15)</f>
        <v/>
      </c>
      <c r="D16" s="140">
        <f>IF(Facturacion!N15="","",Facturacion!N15)</f>
        <v/>
      </c>
      <c r="E16" s="139">
        <f>IF(Facturacion!S15="","",Facturacion!S15)</f>
        <v/>
      </c>
      <c r="F16" s="138">
        <f>IF(Facturacion!T15="","",Facturacion!T15)</f>
        <v/>
      </c>
      <c r="G16" s="141">
        <f>IF(Facturacion!A15="","",IF(Facturacion!T15&lt;&gt;"",Facturacion!T15-Facturacion!A15,TODAY()-Facturacion!A15))</f>
        <v/>
      </c>
      <c r="H16" s="139">
        <f>IF(Facturacion!O15="","",Facturacion!O15)</f>
        <v/>
      </c>
      <c r="I16" s="140">
        <f>IF(Facturacion!U15="","",Facturacion!U15)</f>
        <v/>
      </c>
    </row>
    <row r="17" ht="15" customHeight="1" s="83">
      <c r="A17" s="138">
        <f>IF(Facturacion!A16="","",Facturacion!A16)</f>
        <v/>
      </c>
      <c r="B17" s="139">
        <f>IF(Facturacion!E16="","",Facturacion!E16)</f>
        <v/>
      </c>
      <c r="C17" s="139">
        <f>IF(Facturacion!G16="","",Facturacion!G16)</f>
        <v/>
      </c>
      <c r="D17" s="140">
        <f>IF(Facturacion!N16="","",Facturacion!N16)</f>
        <v/>
      </c>
      <c r="E17" s="139">
        <f>IF(Facturacion!S16="","",Facturacion!S16)</f>
        <v/>
      </c>
      <c r="F17" s="138">
        <f>IF(Facturacion!T16="","",Facturacion!T16)</f>
        <v/>
      </c>
      <c r="G17" s="141">
        <f>IF(Facturacion!A16="","",IF(Facturacion!T16&lt;&gt;"",Facturacion!T16-Facturacion!A16,TODAY()-Facturacion!A16))</f>
        <v/>
      </c>
      <c r="H17" s="139">
        <f>IF(Facturacion!O16="","",Facturacion!O16)</f>
        <v/>
      </c>
      <c r="I17" s="140">
        <f>IF(Facturacion!U16="","",Facturacion!U16)</f>
        <v/>
      </c>
    </row>
    <row r="18" ht="15" customHeight="1" s="83">
      <c r="A18" s="138">
        <f>IF(Facturacion!A17="","",Facturacion!A17)</f>
        <v/>
      </c>
      <c r="B18" s="139">
        <f>IF(Facturacion!E17="","",Facturacion!E17)</f>
        <v/>
      </c>
      <c r="C18" s="139">
        <f>IF(Facturacion!G17="","",Facturacion!G17)</f>
        <v/>
      </c>
      <c r="D18" s="140">
        <f>IF(Facturacion!N17="","",Facturacion!N17)</f>
        <v/>
      </c>
      <c r="E18" s="139">
        <f>IF(Facturacion!S17="","",Facturacion!S17)</f>
        <v/>
      </c>
      <c r="F18" s="138">
        <f>IF(Facturacion!T17="","",Facturacion!T17)</f>
        <v/>
      </c>
      <c r="G18" s="141">
        <f>IF(Facturacion!A17="","",IF(Facturacion!T17&lt;&gt;"",Facturacion!T17-Facturacion!A17,TODAY()-Facturacion!A17))</f>
        <v/>
      </c>
      <c r="H18" s="139">
        <f>IF(Facturacion!O17="","",Facturacion!O17)</f>
        <v/>
      </c>
      <c r="I18" s="140">
        <f>IF(Facturacion!U17="","",Facturacion!U17)</f>
        <v/>
      </c>
    </row>
    <row r="19" ht="15" customHeight="1" s="83">
      <c r="A19" s="138">
        <f>IF(Facturacion!A18="","",Facturacion!A18)</f>
        <v/>
      </c>
      <c r="B19" s="139">
        <f>IF(Facturacion!E18="","",Facturacion!E18)</f>
        <v/>
      </c>
      <c r="C19" s="139">
        <f>IF(Facturacion!G18="","",Facturacion!G18)</f>
        <v/>
      </c>
      <c r="D19" s="140">
        <f>IF(Facturacion!N18="","",Facturacion!N18)</f>
        <v/>
      </c>
      <c r="E19" s="139">
        <f>IF(Facturacion!S18="","",Facturacion!S18)</f>
        <v/>
      </c>
      <c r="F19" s="138">
        <f>IF(Facturacion!T18="","",Facturacion!T18)</f>
        <v/>
      </c>
      <c r="G19" s="141">
        <f>IF(Facturacion!A18="","",IF(Facturacion!T18&lt;&gt;"",Facturacion!T18-Facturacion!A18,TODAY()-Facturacion!A18))</f>
        <v/>
      </c>
      <c r="H19" s="139">
        <f>IF(Facturacion!O18="","",Facturacion!O18)</f>
        <v/>
      </c>
      <c r="I19" s="140">
        <f>IF(Facturacion!U18="","",Facturacion!U18)</f>
        <v/>
      </c>
    </row>
    <row r="20" ht="15" customHeight="1" s="83">
      <c r="A20" s="138">
        <f>IF(Facturacion!A19="","",Facturacion!A19)</f>
        <v/>
      </c>
      <c r="B20" s="139">
        <f>IF(Facturacion!E19="","",Facturacion!E19)</f>
        <v/>
      </c>
      <c r="C20" s="139">
        <f>IF(Facturacion!G19="","",Facturacion!G19)</f>
        <v/>
      </c>
      <c r="D20" s="140">
        <f>IF(Facturacion!N19="","",Facturacion!N19)</f>
        <v/>
      </c>
      <c r="E20" s="139">
        <f>IF(Facturacion!S19="","",Facturacion!S19)</f>
        <v/>
      </c>
      <c r="F20" s="138">
        <f>IF(Facturacion!T19="","",Facturacion!T19)</f>
        <v/>
      </c>
      <c r="G20" s="141">
        <f>IF(Facturacion!A19="","",IF(Facturacion!T19&lt;&gt;"",Facturacion!T19-Facturacion!A19,TODAY()-Facturacion!A19))</f>
        <v/>
      </c>
      <c r="H20" s="139">
        <f>IF(Facturacion!O19="","",Facturacion!O19)</f>
        <v/>
      </c>
      <c r="I20" s="140">
        <f>IF(Facturacion!U19="","",Facturacion!U19)</f>
        <v/>
      </c>
    </row>
    <row r="21" ht="15" customHeight="1" s="83">
      <c r="A21" s="138">
        <f>IF(Facturacion!A20="","",Facturacion!A20)</f>
        <v/>
      </c>
      <c r="B21" s="139">
        <f>IF(Facturacion!E20="","",Facturacion!E20)</f>
        <v/>
      </c>
      <c r="C21" s="139">
        <f>IF(Facturacion!G20="","",Facturacion!G20)</f>
        <v/>
      </c>
      <c r="D21" s="140">
        <f>IF(Facturacion!N20="","",Facturacion!N20)</f>
        <v/>
      </c>
      <c r="E21" s="139">
        <f>IF(Facturacion!S20="","",Facturacion!S20)</f>
        <v/>
      </c>
      <c r="F21" s="138">
        <f>IF(Facturacion!T20="","",Facturacion!T20)</f>
        <v/>
      </c>
      <c r="G21" s="141">
        <f>IF(Facturacion!A20="","",IF(Facturacion!T20&lt;&gt;"",Facturacion!T20-Facturacion!A20,TODAY()-Facturacion!A20))</f>
        <v/>
      </c>
      <c r="H21" s="139">
        <f>IF(Facturacion!O20="","",Facturacion!O20)</f>
        <v/>
      </c>
      <c r="I21" s="140">
        <f>IF(Facturacion!U20="","",Facturacion!U20)</f>
        <v/>
      </c>
    </row>
    <row r="22" ht="15" customHeight="1" s="83">
      <c r="A22" s="138">
        <f>IF(Facturacion!A21="","",Facturacion!A21)</f>
        <v/>
      </c>
      <c r="B22" s="139">
        <f>IF(Facturacion!E21="","",Facturacion!E21)</f>
        <v/>
      </c>
      <c r="C22" s="139">
        <f>IF(Facturacion!G21="","",Facturacion!G21)</f>
        <v/>
      </c>
      <c r="D22" s="140">
        <f>IF(Facturacion!N21="","",Facturacion!N21)</f>
        <v/>
      </c>
      <c r="E22" s="139">
        <f>IF(Facturacion!S21="","",Facturacion!S21)</f>
        <v/>
      </c>
      <c r="F22" s="138">
        <f>IF(Facturacion!T21="","",Facturacion!T21)</f>
        <v/>
      </c>
      <c r="G22" s="141">
        <f>IF(Facturacion!A21="","",IF(Facturacion!T21&lt;&gt;"",Facturacion!T21-Facturacion!A21,TODAY()-Facturacion!A21))</f>
        <v/>
      </c>
      <c r="H22" s="139">
        <f>IF(Facturacion!O21="","",Facturacion!O21)</f>
        <v/>
      </c>
      <c r="I22" s="140">
        <f>IF(Facturacion!U21="","",Facturacion!U21)</f>
        <v/>
      </c>
    </row>
    <row r="23" ht="15" customHeight="1" s="83">
      <c r="A23" s="138">
        <f>IF(Facturacion!A22="","",Facturacion!A22)</f>
        <v/>
      </c>
      <c r="B23" s="139">
        <f>IF(Facturacion!E22="","",Facturacion!E22)</f>
        <v/>
      </c>
      <c r="C23" s="139">
        <f>IF(Facturacion!G22="","",Facturacion!G22)</f>
        <v/>
      </c>
      <c r="D23" s="140">
        <f>IF(Facturacion!N22="","",Facturacion!N22)</f>
        <v/>
      </c>
      <c r="E23" s="139">
        <f>IF(Facturacion!S22="","",Facturacion!S22)</f>
        <v/>
      </c>
      <c r="F23" s="138">
        <f>IF(Facturacion!T22="","",Facturacion!T22)</f>
        <v/>
      </c>
      <c r="G23" s="141">
        <f>IF(Facturacion!A22="","",IF(Facturacion!T22&lt;&gt;"",Facturacion!T22-Facturacion!A22,TODAY()-Facturacion!A22))</f>
        <v/>
      </c>
      <c r="H23" s="139">
        <f>IF(Facturacion!O22="","",Facturacion!O22)</f>
        <v/>
      </c>
      <c r="I23" s="140">
        <f>IF(Facturacion!U22="","",Facturacion!U22)</f>
        <v/>
      </c>
    </row>
    <row r="24" ht="15" customHeight="1" s="83">
      <c r="A24" s="138">
        <f>IF(Facturacion!A23="","",Facturacion!A23)</f>
        <v/>
      </c>
      <c r="B24" s="139">
        <f>IF(Facturacion!E23="","",Facturacion!E23)</f>
        <v/>
      </c>
      <c r="C24" s="139">
        <f>IF(Facturacion!G23="","",Facturacion!G23)</f>
        <v/>
      </c>
      <c r="D24" s="140">
        <f>IF(Facturacion!N23="","",Facturacion!N23)</f>
        <v/>
      </c>
      <c r="E24" s="139">
        <f>IF(Facturacion!S23="","",Facturacion!S23)</f>
        <v/>
      </c>
      <c r="F24" s="138">
        <f>IF(Facturacion!T23="","",Facturacion!T23)</f>
        <v/>
      </c>
      <c r="G24" s="141">
        <f>IF(Facturacion!A23="","",IF(Facturacion!T23&lt;&gt;"",Facturacion!T23-Facturacion!A23,TODAY()-Facturacion!A23))</f>
        <v/>
      </c>
      <c r="H24" s="139">
        <f>IF(Facturacion!O23="","",Facturacion!O23)</f>
        <v/>
      </c>
      <c r="I24" s="140">
        <f>IF(Facturacion!U23="","",Facturacion!U23)</f>
        <v/>
      </c>
    </row>
    <row r="25" ht="15" customHeight="1" s="83">
      <c r="A25" s="138">
        <f>IF(Facturacion!A24="","",Facturacion!A24)</f>
        <v/>
      </c>
      <c r="B25" s="139">
        <f>IF(Facturacion!E24="","",Facturacion!E24)</f>
        <v/>
      </c>
      <c r="C25" s="139">
        <f>IF(Facturacion!G24="","",Facturacion!G24)</f>
        <v/>
      </c>
      <c r="D25" s="140">
        <f>IF(Facturacion!N24="","",Facturacion!N24)</f>
        <v/>
      </c>
      <c r="E25" s="139">
        <f>IF(Facturacion!S24="","",Facturacion!S24)</f>
        <v/>
      </c>
      <c r="F25" s="138">
        <f>IF(Facturacion!T24="","",Facturacion!T24)</f>
        <v/>
      </c>
      <c r="G25" s="141">
        <f>IF(Facturacion!A24="","",IF(Facturacion!T24&lt;&gt;"",Facturacion!T24-Facturacion!A24,TODAY()-Facturacion!A24))</f>
        <v/>
      </c>
      <c r="H25" s="139">
        <f>IF(Facturacion!O24="","",Facturacion!O24)</f>
        <v/>
      </c>
      <c r="I25" s="140">
        <f>IF(Facturacion!U24="","",Facturacion!U24)</f>
        <v/>
      </c>
    </row>
    <row r="26" ht="15" customHeight="1" s="83">
      <c r="A26" s="138">
        <f>IF(Facturacion!A25="","",Facturacion!A25)</f>
        <v/>
      </c>
      <c r="B26" s="139">
        <f>IF(Facturacion!E25="","",Facturacion!E25)</f>
        <v/>
      </c>
      <c r="C26" s="139">
        <f>IF(Facturacion!G25="","",Facturacion!G25)</f>
        <v/>
      </c>
      <c r="D26" s="140">
        <f>IF(Facturacion!N25="","",Facturacion!N25)</f>
        <v/>
      </c>
      <c r="E26" s="139">
        <f>IF(Facturacion!S25="","",Facturacion!S25)</f>
        <v/>
      </c>
      <c r="F26" s="138">
        <f>IF(Facturacion!T25="","",Facturacion!T25)</f>
        <v/>
      </c>
      <c r="G26" s="141">
        <f>IF(Facturacion!A25="","",IF(Facturacion!T25&lt;&gt;"",Facturacion!T25-Facturacion!A25,TODAY()-Facturacion!A25))</f>
        <v/>
      </c>
      <c r="H26" s="139">
        <f>IF(Facturacion!O25="","",Facturacion!O25)</f>
        <v/>
      </c>
      <c r="I26" s="140">
        <f>IF(Facturacion!U25="","",Facturacion!U25)</f>
        <v/>
      </c>
    </row>
    <row r="27" ht="15" customHeight="1" s="83">
      <c r="A27" s="138">
        <f>IF(Facturacion!A26="","",Facturacion!A26)</f>
        <v/>
      </c>
      <c r="B27" s="139">
        <f>IF(Facturacion!E26="","",Facturacion!E26)</f>
        <v/>
      </c>
      <c r="C27" s="139">
        <f>IF(Facturacion!G26="","",Facturacion!G26)</f>
        <v/>
      </c>
      <c r="D27" s="140">
        <f>IF(Facturacion!N26="","",Facturacion!N26)</f>
        <v/>
      </c>
      <c r="E27" s="139">
        <f>IF(Facturacion!S26="","",Facturacion!S26)</f>
        <v/>
      </c>
      <c r="F27" s="138">
        <f>IF(Facturacion!T26="","",Facturacion!T26)</f>
        <v/>
      </c>
      <c r="G27" s="141">
        <f>IF(Facturacion!A26="","",IF(Facturacion!T26&lt;&gt;"",Facturacion!T26-Facturacion!A26,TODAY()-Facturacion!A26))</f>
        <v/>
      </c>
      <c r="H27" s="139">
        <f>IF(Facturacion!O26="","",Facturacion!O26)</f>
        <v/>
      </c>
      <c r="I27" s="140">
        <f>IF(Facturacion!U26="","",Facturacion!U26)</f>
        <v/>
      </c>
    </row>
    <row r="28" ht="15" customHeight="1" s="83">
      <c r="A28" s="138">
        <f>IF(Facturacion!A27="","",Facturacion!A27)</f>
        <v/>
      </c>
      <c r="B28" s="139">
        <f>IF(Facturacion!E27="","",Facturacion!E27)</f>
        <v/>
      </c>
      <c r="C28" s="139">
        <f>IF(Facturacion!G27="","",Facturacion!G27)</f>
        <v/>
      </c>
      <c r="D28" s="140">
        <f>IF(Facturacion!N27="","",Facturacion!N27)</f>
        <v/>
      </c>
      <c r="E28" s="139">
        <f>IF(Facturacion!S27="","",Facturacion!S27)</f>
        <v/>
      </c>
      <c r="F28" s="138">
        <f>IF(Facturacion!T27="","",Facturacion!T27)</f>
        <v/>
      </c>
      <c r="G28" s="141">
        <f>IF(Facturacion!A27="","",IF(Facturacion!T27&lt;&gt;"",Facturacion!T27-Facturacion!A27,TODAY()-Facturacion!A27))</f>
        <v/>
      </c>
      <c r="H28" s="139">
        <f>IF(Facturacion!O27="","",Facturacion!O27)</f>
        <v/>
      </c>
      <c r="I28" s="140">
        <f>IF(Facturacion!U27="","",Facturacion!U27)</f>
        <v/>
      </c>
    </row>
    <row r="29" ht="15" customHeight="1" s="83">
      <c r="A29" s="138">
        <f>IF(Facturacion!A28="","",Facturacion!A28)</f>
        <v/>
      </c>
      <c r="B29" s="139">
        <f>IF(Facturacion!E28="","",Facturacion!E28)</f>
        <v/>
      </c>
      <c r="C29" s="139">
        <f>IF(Facturacion!G28="","",Facturacion!G28)</f>
        <v/>
      </c>
      <c r="D29" s="140">
        <f>IF(Facturacion!N28="","",Facturacion!N28)</f>
        <v/>
      </c>
      <c r="E29" s="139">
        <f>IF(Facturacion!S28="","",Facturacion!S28)</f>
        <v/>
      </c>
      <c r="F29" s="138">
        <f>IF(Facturacion!T28="","",Facturacion!T28)</f>
        <v/>
      </c>
      <c r="G29" s="141">
        <f>IF(Facturacion!A28="","",IF(Facturacion!T28&lt;&gt;"",Facturacion!T28-Facturacion!A28,TODAY()-Facturacion!A28))</f>
        <v/>
      </c>
      <c r="H29" s="139">
        <f>IF(Facturacion!O28="","",Facturacion!O28)</f>
        <v/>
      </c>
      <c r="I29" s="140">
        <f>IF(Facturacion!U28="","",Facturacion!U28)</f>
        <v/>
      </c>
    </row>
    <row r="30" ht="15" customHeight="1" s="83">
      <c r="A30" s="138">
        <f>IF(Facturacion!A29="","",Facturacion!A29)</f>
        <v/>
      </c>
      <c r="B30" s="139">
        <f>IF(Facturacion!E29="","",Facturacion!E29)</f>
        <v/>
      </c>
      <c r="C30" s="139">
        <f>IF(Facturacion!G29="","",Facturacion!G29)</f>
        <v/>
      </c>
      <c r="D30" s="140">
        <f>IF(Facturacion!N29="","",Facturacion!N29)</f>
        <v/>
      </c>
      <c r="E30" s="139">
        <f>IF(Facturacion!S29="","",Facturacion!S29)</f>
        <v/>
      </c>
      <c r="F30" s="138">
        <f>IF(Facturacion!T29="","",Facturacion!T29)</f>
        <v/>
      </c>
      <c r="G30" s="141">
        <f>IF(Facturacion!A29="","",IF(Facturacion!T29&lt;&gt;"",Facturacion!T29-Facturacion!A29,TODAY()-Facturacion!A29))</f>
        <v/>
      </c>
      <c r="H30" s="139">
        <f>IF(Facturacion!O29="","",Facturacion!O29)</f>
        <v/>
      </c>
      <c r="I30" s="140">
        <f>IF(Facturacion!U29="","",Facturacion!U29)</f>
        <v/>
      </c>
    </row>
    <row r="31" ht="15" customHeight="1" s="83">
      <c r="A31" s="138">
        <f>IF(Facturacion!A30="","",Facturacion!A30)</f>
        <v/>
      </c>
      <c r="B31" s="139">
        <f>IF(Facturacion!E30="","",Facturacion!E30)</f>
        <v/>
      </c>
      <c r="C31" s="139">
        <f>IF(Facturacion!G30="","",Facturacion!G30)</f>
        <v/>
      </c>
      <c r="D31" s="140">
        <f>IF(Facturacion!N30="","",Facturacion!N30)</f>
        <v/>
      </c>
      <c r="E31" s="139">
        <f>IF(Facturacion!S30="","",Facturacion!S30)</f>
        <v/>
      </c>
      <c r="F31" s="138">
        <f>IF(Facturacion!T30="","",Facturacion!T30)</f>
        <v/>
      </c>
      <c r="G31" s="141">
        <f>IF(Facturacion!A30="","",IF(Facturacion!T30&lt;&gt;"",Facturacion!T30-Facturacion!A30,TODAY()-Facturacion!A30))</f>
        <v/>
      </c>
      <c r="H31" s="139">
        <f>IF(Facturacion!O30="","",Facturacion!O30)</f>
        <v/>
      </c>
      <c r="I31" s="140">
        <f>IF(Facturacion!U30="","",Facturacion!U30)</f>
        <v/>
      </c>
    </row>
    <row r="32" ht="15" customHeight="1" s="83">
      <c r="A32" s="138">
        <f>IF(Facturacion!A31="","",Facturacion!A31)</f>
        <v/>
      </c>
      <c r="B32" s="139">
        <f>IF(Facturacion!E31="","",Facturacion!E31)</f>
        <v/>
      </c>
      <c r="C32" s="139">
        <f>IF(Facturacion!G31="","",Facturacion!G31)</f>
        <v/>
      </c>
      <c r="D32" s="140">
        <f>IF(Facturacion!N31="","",Facturacion!N31)</f>
        <v/>
      </c>
      <c r="E32" s="139">
        <f>IF(Facturacion!S31="","",Facturacion!S31)</f>
        <v/>
      </c>
      <c r="F32" s="138">
        <f>IF(Facturacion!T31="","",Facturacion!T31)</f>
        <v/>
      </c>
      <c r="G32" s="141">
        <f>IF(Facturacion!A31="","",IF(Facturacion!T31&lt;&gt;"",Facturacion!T31-Facturacion!A31,TODAY()-Facturacion!A31))</f>
        <v/>
      </c>
      <c r="H32" s="139">
        <f>IF(Facturacion!O31="","",Facturacion!O31)</f>
        <v/>
      </c>
      <c r="I32" s="140">
        <f>IF(Facturacion!U31="","",Facturacion!U31)</f>
        <v/>
      </c>
    </row>
    <row r="33" ht="15" customHeight="1" s="83">
      <c r="A33" s="138">
        <f>IF(Facturacion!A32="","",Facturacion!A32)</f>
        <v/>
      </c>
      <c r="B33" s="139">
        <f>IF(Facturacion!E32="","",Facturacion!E32)</f>
        <v/>
      </c>
      <c r="C33" s="139">
        <f>IF(Facturacion!G32="","",Facturacion!G32)</f>
        <v/>
      </c>
      <c r="D33" s="140">
        <f>IF(Facturacion!N32="","",Facturacion!N32)</f>
        <v/>
      </c>
      <c r="E33" s="139">
        <f>IF(Facturacion!S32="","",Facturacion!S32)</f>
        <v/>
      </c>
      <c r="F33" s="138">
        <f>IF(Facturacion!T32="","",Facturacion!T32)</f>
        <v/>
      </c>
      <c r="G33" s="141">
        <f>IF(Facturacion!A32="","",IF(Facturacion!T32&lt;&gt;"",Facturacion!T32-Facturacion!A32,TODAY()-Facturacion!A32))</f>
        <v/>
      </c>
      <c r="H33" s="139">
        <f>IF(Facturacion!O32="","",Facturacion!O32)</f>
        <v/>
      </c>
      <c r="I33" s="140">
        <f>IF(Facturacion!U32="","",Facturacion!U32)</f>
        <v/>
      </c>
    </row>
    <row r="34" ht="15" customHeight="1" s="83">
      <c r="A34" s="138">
        <f>IF(Facturacion!A33="","",Facturacion!A33)</f>
        <v/>
      </c>
      <c r="B34" s="139">
        <f>IF(Facturacion!E33="","",Facturacion!E33)</f>
        <v/>
      </c>
      <c r="C34" s="139">
        <f>IF(Facturacion!G33="","",Facturacion!G33)</f>
        <v/>
      </c>
      <c r="D34" s="140">
        <f>IF(Facturacion!N33="","",Facturacion!N33)</f>
        <v/>
      </c>
      <c r="E34" s="139">
        <f>IF(Facturacion!S33="","",Facturacion!S33)</f>
        <v/>
      </c>
      <c r="F34" s="138">
        <f>IF(Facturacion!T33="","",Facturacion!T33)</f>
        <v/>
      </c>
      <c r="G34" s="141">
        <f>IF(Facturacion!A33="","",IF(Facturacion!T33&lt;&gt;"",Facturacion!T33-Facturacion!A33,TODAY()-Facturacion!A33))</f>
        <v/>
      </c>
      <c r="H34" s="139">
        <f>IF(Facturacion!O33="","",Facturacion!O33)</f>
        <v/>
      </c>
      <c r="I34" s="140">
        <f>IF(Facturacion!U33="","",Facturacion!U33)</f>
        <v/>
      </c>
    </row>
    <row r="35" ht="15" customHeight="1" s="83">
      <c r="A35" s="138">
        <f>IF(Facturacion!A34="","",Facturacion!A34)</f>
        <v/>
      </c>
      <c r="B35" s="139">
        <f>IF(Facturacion!E34="","",Facturacion!E34)</f>
        <v/>
      </c>
      <c r="C35" s="139">
        <f>IF(Facturacion!G34="","",Facturacion!G34)</f>
        <v/>
      </c>
      <c r="D35" s="140">
        <f>IF(Facturacion!N34="","",Facturacion!N34)</f>
        <v/>
      </c>
      <c r="E35" s="139">
        <f>IF(Facturacion!S34="","",Facturacion!S34)</f>
        <v/>
      </c>
      <c r="F35" s="138">
        <f>IF(Facturacion!T34="","",Facturacion!T34)</f>
        <v/>
      </c>
      <c r="G35" s="141">
        <f>IF(Facturacion!A34="","",IF(Facturacion!T34&lt;&gt;"",Facturacion!T34-Facturacion!A34,TODAY()-Facturacion!A34))</f>
        <v/>
      </c>
      <c r="H35" s="139">
        <f>IF(Facturacion!O34="","",Facturacion!O34)</f>
        <v/>
      </c>
      <c r="I35" s="140">
        <f>IF(Facturacion!U34="","",Facturacion!U34)</f>
        <v/>
      </c>
    </row>
    <row r="36" ht="15" customHeight="1" s="83">
      <c r="A36" s="138">
        <f>IF(Facturacion!A35="","",Facturacion!A35)</f>
        <v/>
      </c>
      <c r="B36" s="139">
        <f>IF(Facturacion!E35="","",Facturacion!E35)</f>
        <v/>
      </c>
      <c r="C36" s="139">
        <f>IF(Facturacion!G35="","",Facturacion!G35)</f>
        <v/>
      </c>
      <c r="D36" s="140">
        <f>IF(Facturacion!N35="","",Facturacion!N35)</f>
        <v/>
      </c>
      <c r="E36" s="139">
        <f>IF(Facturacion!S35="","",Facturacion!S35)</f>
        <v/>
      </c>
      <c r="F36" s="138">
        <f>IF(Facturacion!T35="","",Facturacion!T35)</f>
        <v/>
      </c>
      <c r="G36" s="141">
        <f>IF(Facturacion!A35="","",IF(Facturacion!T35&lt;&gt;"",Facturacion!T35-Facturacion!A35,TODAY()-Facturacion!A35))</f>
        <v/>
      </c>
      <c r="H36" s="139">
        <f>IF(Facturacion!O35="","",Facturacion!O35)</f>
        <v/>
      </c>
      <c r="I36" s="140">
        <f>IF(Facturacion!U35="","",Facturacion!U35)</f>
        <v/>
      </c>
    </row>
    <row r="37" ht="15" customHeight="1" s="83">
      <c r="A37" s="138">
        <f>IF(Facturacion!A36="","",Facturacion!A36)</f>
        <v/>
      </c>
      <c r="B37" s="139">
        <f>IF(Facturacion!E36="","",Facturacion!E36)</f>
        <v/>
      </c>
      <c r="C37" s="139">
        <f>IF(Facturacion!G36="","",Facturacion!G36)</f>
        <v/>
      </c>
      <c r="D37" s="140">
        <f>IF(Facturacion!N36="","",Facturacion!N36)</f>
        <v/>
      </c>
      <c r="E37" s="139">
        <f>IF(Facturacion!S36="","",Facturacion!S36)</f>
        <v/>
      </c>
      <c r="F37" s="138">
        <f>IF(Facturacion!T36="","",Facturacion!T36)</f>
        <v/>
      </c>
      <c r="G37" s="141">
        <f>IF(Facturacion!A36="","",IF(Facturacion!T36&lt;&gt;"",Facturacion!T36-Facturacion!A36,TODAY()-Facturacion!A36))</f>
        <v/>
      </c>
      <c r="H37" s="139">
        <f>IF(Facturacion!O36="","",Facturacion!O36)</f>
        <v/>
      </c>
      <c r="I37" s="140">
        <f>IF(Facturacion!U36="","",Facturacion!U36)</f>
        <v/>
      </c>
    </row>
    <row r="38" ht="15" customHeight="1" s="83">
      <c r="A38" s="138">
        <f>IF(Facturacion!A37="","",Facturacion!A37)</f>
        <v/>
      </c>
      <c r="B38" s="139">
        <f>IF(Facturacion!E37="","",Facturacion!E37)</f>
        <v/>
      </c>
      <c r="C38" s="139">
        <f>IF(Facturacion!G37="","",Facturacion!G37)</f>
        <v/>
      </c>
      <c r="D38" s="140">
        <f>IF(Facturacion!N37="","",Facturacion!N37)</f>
        <v/>
      </c>
      <c r="E38" s="139">
        <f>IF(Facturacion!S37="","",Facturacion!S37)</f>
        <v/>
      </c>
      <c r="F38" s="138">
        <f>IF(Facturacion!T37="","",Facturacion!T37)</f>
        <v/>
      </c>
      <c r="G38" s="141">
        <f>IF(Facturacion!A37="","",IF(Facturacion!T37&lt;&gt;"",Facturacion!T37-Facturacion!A37,TODAY()-Facturacion!A37))</f>
        <v/>
      </c>
      <c r="H38" s="139">
        <f>IF(Facturacion!O37="","",Facturacion!O37)</f>
        <v/>
      </c>
      <c r="I38" s="140">
        <f>IF(Facturacion!U37="","",Facturacion!U37)</f>
        <v/>
      </c>
    </row>
    <row r="39" ht="15" customHeight="1" s="83">
      <c r="A39" s="138">
        <f>IF(Facturacion!A38="","",Facturacion!A38)</f>
        <v/>
      </c>
      <c r="B39" s="139">
        <f>IF(Facturacion!E38="","",Facturacion!E38)</f>
        <v/>
      </c>
      <c r="C39" s="139">
        <f>IF(Facturacion!G38="","",Facturacion!G38)</f>
        <v/>
      </c>
      <c r="D39" s="140">
        <f>IF(Facturacion!N38="","",Facturacion!N38)</f>
        <v/>
      </c>
      <c r="E39" s="139">
        <f>IF(Facturacion!S38="","",Facturacion!S38)</f>
        <v/>
      </c>
      <c r="F39" s="138">
        <f>IF(Facturacion!T38="","",Facturacion!T38)</f>
        <v/>
      </c>
      <c r="G39" s="141">
        <f>IF(Facturacion!A38="","",IF(Facturacion!T38&lt;&gt;"",Facturacion!T38-Facturacion!A38,TODAY()-Facturacion!A38))</f>
        <v/>
      </c>
      <c r="H39" s="139">
        <f>IF(Facturacion!O38="","",Facturacion!O38)</f>
        <v/>
      </c>
      <c r="I39" s="140">
        <f>IF(Facturacion!U38="","",Facturacion!U38)</f>
        <v/>
      </c>
    </row>
    <row r="40" ht="15" customHeight="1" s="83">
      <c r="A40" s="138">
        <f>IF(Facturacion!A39="","",Facturacion!A39)</f>
        <v/>
      </c>
      <c r="B40" s="139">
        <f>IF(Facturacion!E39="","",Facturacion!E39)</f>
        <v/>
      </c>
      <c r="C40" s="139">
        <f>IF(Facturacion!G39="","",Facturacion!G39)</f>
        <v/>
      </c>
      <c r="D40" s="140">
        <f>IF(Facturacion!N39="","",Facturacion!N39)</f>
        <v/>
      </c>
      <c r="E40" s="139">
        <f>IF(Facturacion!S39="","",Facturacion!S39)</f>
        <v/>
      </c>
      <c r="F40" s="138">
        <f>IF(Facturacion!T39="","",Facturacion!T39)</f>
        <v/>
      </c>
      <c r="G40" s="141">
        <f>IF(Facturacion!A39="","",IF(Facturacion!T39&lt;&gt;"",Facturacion!T39-Facturacion!A39,TODAY()-Facturacion!A39))</f>
        <v/>
      </c>
      <c r="H40" s="139">
        <f>IF(Facturacion!O39="","",Facturacion!O39)</f>
        <v/>
      </c>
      <c r="I40" s="140">
        <f>IF(Facturacion!U39="","",Facturacion!U39)</f>
        <v/>
      </c>
    </row>
    <row r="41" ht="15" customHeight="1" s="83">
      <c r="A41" s="138">
        <f>IF(Facturacion!A40="","",Facturacion!A40)</f>
        <v/>
      </c>
      <c r="B41" s="139">
        <f>IF(Facturacion!E40="","",Facturacion!E40)</f>
        <v/>
      </c>
      <c r="C41" s="139">
        <f>IF(Facturacion!G40="","",Facturacion!G40)</f>
        <v/>
      </c>
      <c r="D41" s="140">
        <f>IF(Facturacion!N40="","",Facturacion!N40)</f>
        <v/>
      </c>
      <c r="E41" s="139">
        <f>IF(Facturacion!S40="","",Facturacion!S40)</f>
        <v/>
      </c>
      <c r="F41" s="138">
        <f>IF(Facturacion!T40="","",Facturacion!T40)</f>
        <v/>
      </c>
      <c r="G41" s="141">
        <f>IF(Facturacion!A40="","",IF(Facturacion!T40&lt;&gt;"",Facturacion!T40-Facturacion!A40,TODAY()-Facturacion!A40))</f>
        <v/>
      </c>
      <c r="H41" s="139">
        <f>IF(Facturacion!O40="","",Facturacion!O40)</f>
        <v/>
      </c>
      <c r="I41" s="140">
        <f>IF(Facturacion!U40="","",Facturacion!U40)</f>
        <v/>
      </c>
    </row>
    <row r="42" ht="15" customHeight="1" s="83">
      <c r="A42" s="138">
        <f>IF(Facturacion!A41="","",Facturacion!A41)</f>
        <v/>
      </c>
      <c r="B42" s="139">
        <f>IF(Facturacion!E41="","",Facturacion!E41)</f>
        <v/>
      </c>
      <c r="C42" s="139">
        <f>IF(Facturacion!G41="","",Facturacion!G41)</f>
        <v/>
      </c>
      <c r="D42" s="140">
        <f>IF(Facturacion!N41="","",Facturacion!N41)</f>
        <v/>
      </c>
      <c r="E42" s="139">
        <f>IF(Facturacion!S41="","",Facturacion!S41)</f>
        <v/>
      </c>
      <c r="F42" s="138">
        <f>IF(Facturacion!T41="","",Facturacion!T41)</f>
        <v/>
      </c>
      <c r="G42" s="141">
        <f>IF(Facturacion!A41="","",IF(Facturacion!T41&lt;&gt;"",Facturacion!T41-Facturacion!A41,TODAY()-Facturacion!A41))</f>
        <v/>
      </c>
      <c r="H42" s="139">
        <f>IF(Facturacion!O41="","",Facturacion!O41)</f>
        <v/>
      </c>
      <c r="I42" s="140">
        <f>IF(Facturacion!U41="","",Facturacion!U41)</f>
        <v/>
      </c>
    </row>
    <row r="43" ht="15" customHeight="1" s="83">
      <c r="A43" s="138">
        <f>IF(Facturacion!A42="","",Facturacion!A42)</f>
        <v/>
      </c>
      <c r="B43" s="139">
        <f>IF(Facturacion!E42="","",Facturacion!E42)</f>
        <v/>
      </c>
      <c r="C43" s="139">
        <f>IF(Facturacion!G42="","",Facturacion!G42)</f>
        <v/>
      </c>
      <c r="D43" s="140">
        <f>IF(Facturacion!N42="","",Facturacion!N42)</f>
        <v/>
      </c>
      <c r="E43" s="139">
        <f>IF(Facturacion!S42="","",Facturacion!S42)</f>
        <v/>
      </c>
      <c r="F43" s="138">
        <f>IF(Facturacion!T42="","",Facturacion!T42)</f>
        <v/>
      </c>
      <c r="G43" s="141">
        <f>IF(Facturacion!A42="","",IF(Facturacion!T42&lt;&gt;"",Facturacion!T42-Facturacion!A42,TODAY()-Facturacion!A42))</f>
        <v/>
      </c>
      <c r="H43" s="139">
        <f>IF(Facturacion!O42="","",Facturacion!O42)</f>
        <v/>
      </c>
      <c r="I43" s="140">
        <f>IF(Facturacion!U42="","",Facturacion!U42)</f>
        <v/>
      </c>
    </row>
    <row r="44" ht="15" customHeight="1" s="83">
      <c r="A44" s="138">
        <f>IF(Facturacion!A43="","",Facturacion!A43)</f>
        <v/>
      </c>
      <c r="B44" s="139">
        <f>IF(Facturacion!E43="","",Facturacion!E43)</f>
        <v/>
      </c>
      <c r="C44" s="139">
        <f>IF(Facturacion!G43="","",Facturacion!G43)</f>
        <v/>
      </c>
      <c r="D44" s="140">
        <f>IF(Facturacion!N43="","",Facturacion!N43)</f>
        <v/>
      </c>
      <c r="E44" s="139">
        <f>IF(Facturacion!S43="","",Facturacion!S43)</f>
        <v/>
      </c>
      <c r="F44" s="138">
        <f>IF(Facturacion!T43="","",Facturacion!T43)</f>
        <v/>
      </c>
      <c r="G44" s="141">
        <f>IF(Facturacion!A43="","",IF(Facturacion!T43&lt;&gt;"",Facturacion!T43-Facturacion!A43,TODAY()-Facturacion!A43))</f>
        <v/>
      </c>
      <c r="H44" s="139">
        <f>IF(Facturacion!O43="","",Facturacion!O43)</f>
        <v/>
      </c>
      <c r="I44" s="140">
        <f>IF(Facturacion!U43="","",Facturacion!U43)</f>
        <v/>
      </c>
    </row>
    <row r="45" ht="15" customHeight="1" s="83">
      <c r="A45" s="138">
        <f>IF(Facturacion!A44="","",Facturacion!A44)</f>
        <v/>
      </c>
      <c r="B45" s="139">
        <f>IF(Facturacion!E44="","",Facturacion!E44)</f>
        <v/>
      </c>
      <c r="C45" s="139">
        <f>IF(Facturacion!G44="","",Facturacion!G44)</f>
        <v/>
      </c>
      <c r="D45" s="140">
        <f>IF(Facturacion!N44="","",Facturacion!N44)</f>
        <v/>
      </c>
      <c r="E45" s="139">
        <f>IF(Facturacion!S44="","",Facturacion!S44)</f>
        <v/>
      </c>
      <c r="F45" s="138">
        <f>IF(Facturacion!T44="","",Facturacion!T44)</f>
        <v/>
      </c>
      <c r="G45" s="141">
        <f>IF(Facturacion!A44="","",IF(Facturacion!T44&lt;&gt;"",Facturacion!T44-Facturacion!A44,TODAY()-Facturacion!A44))</f>
        <v/>
      </c>
      <c r="H45" s="139">
        <f>IF(Facturacion!O44="","",Facturacion!O44)</f>
        <v/>
      </c>
      <c r="I45" s="140">
        <f>IF(Facturacion!U44="","",Facturacion!U44)</f>
        <v/>
      </c>
    </row>
    <row r="46" ht="15" customHeight="1" s="83">
      <c r="A46" s="138">
        <f>IF(Facturacion!A45="","",Facturacion!A45)</f>
        <v/>
      </c>
      <c r="B46" s="139">
        <f>IF(Facturacion!E45="","",Facturacion!E45)</f>
        <v/>
      </c>
      <c r="C46" s="139">
        <f>IF(Facturacion!G45="","",Facturacion!G45)</f>
        <v/>
      </c>
      <c r="D46" s="140">
        <f>IF(Facturacion!N45="","",Facturacion!N45)</f>
        <v/>
      </c>
      <c r="E46" s="139">
        <f>IF(Facturacion!S45="","",Facturacion!S45)</f>
        <v/>
      </c>
      <c r="F46" s="138">
        <f>IF(Facturacion!T45="","",Facturacion!T45)</f>
        <v/>
      </c>
      <c r="G46" s="141">
        <f>IF(Facturacion!A45="","",IF(Facturacion!T45&lt;&gt;"",Facturacion!T45-Facturacion!A45,TODAY()-Facturacion!A45))</f>
        <v/>
      </c>
      <c r="H46" s="139">
        <f>IF(Facturacion!O45="","",Facturacion!O45)</f>
        <v/>
      </c>
      <c r="I46" s="140">
        <f>IF(Facturacion!U45="","",Facturacion!U45)</f>
        <v/>
      </c>
    </row>
    <row r="47" ht="15" customHeight="1" s="83">
      <c r="A47" s="138">
        <f>IF(Facturacion!A46="","",Facturacion!A46)</f>
        <v/>
      </c>
      <c r="B47" s="139">
        <f>IF(Facturacion!E46="","",Facturacion!E46)</f>
        <v/>
      </c>
      <c r="C47" s="139">
        <f>IF(Facturacion!G46="","",Facturacion!G46)</f>
        <v/>
      </c>
      <c r="D47" s="140">
        <f>IF(Facturacion!N46="","",Facturacion!N46)</f>
        <v/>
      </c>
      <c r="E47" s="139">
        <f>IF(Facturacion!S46="","",Facturacion!S46)</f>
        <v/>
      </c>
      <c r="F47" s="138">
        <f>IF(Facturacion!T46="","",Facturacion!T46)</f>
        <v/>
      </c>
      <c r="G47" s="141">
        <f>IF(Facturacion!A46="","",IF(Facturacion!T46&lt;&gt;"",Facturacion!T46-Facturacion!A46,TODAY()-Facturacion!A46))</f>
        <v/>
      </c>
      <c r="H47" s="139">
        <f>IF(Facturacion!O46="","",Facturacion!O46)</f>
        <v/>
      </c>
      <c r="I47" s="140">
        <f>IF(Facturacion!U46="","",Facturacion!U46)</f>
        <v/>
      </c>
    </row>
    <row r="48" ht="15" customHeight="1" s="83">
      <c r="A48" s="138">
        <f>IF(Facturacion!A47="","",Facturacion!A47)</f>
        <v/>
      </c>
      <c r="B48" s="139">
        <f>IF(Facturacion!E47="","",Facturacion!E47)</f>
        <v/>
      </c>
      <c r="C48" s="139">
        <f>IF(Facturacion!G47="","",Facturacion!G47)</f>
        <v/>
      </c>
      <c r="D48" s="140">
        <f>IF(Facturacion!N47="","",Facturacion!N47)</f>
        <v/>
      </c>
      <c r="E48" s="139">
        <f>IF(Facturacion!S47="","",Facturacion!S47)</f>
        <v/>
      </c>
      <c r="F48" s="138">
        <f>IF(Facturacion!T47="","",Facturacion!T47)</f>
        <v/>
      </c>
      <c r="G48" s="141">
        <f>IF(Facturacion!A47="","",IF(Facturacion!T47&lt;&gt;"",Facturacion!T47-Facturacion!A47,TODAY()-Facturacion!A47))</f>
        <v/>
      </c>
      <c r="H48" s="139">
        <f>IF(Facturacion!O47="","",Facturacion!O47)</f>
        <v/>
      </c>
      <c r="I48" s="140">
        <f>IF(Facturacion!U47="","",Facturacion!U47)</f>
        <v/>
      </c>
    </row>
    <row r="49" ht="15" customHeight="1" s="83">
      <c r="A49" s="138">
        <f>IF(Facturacion!A48="","",Facturacion!A48)</f>
        <v/>
      </c>
      <c r="B49" s="139">
        <f>IF(Facturacion!E48="","",Facturacion!E48)</f>
        <v/>
      </c>
      <c r="C49" s="139">
        <f>IF(Facturacion!G48="","",Facturacion!G48)</f>
        <v/>
      </c>
      <c r="D49" s="140">
        <f>IF(Facturacion!N48="","",Facturacion!N48)</f>
        <v/>
      </c>
      <c r="E49" s="139">
        <f>IF(Facturacion!S48="","",Facturacion!S48)</f>
        <v/>
      </c>
      <c r="F49" s="138">
        <f>IF(Facturacion!T48="","",Facturacion!T48)</f>
        <v/>
      </c>
      <c r="G49" s="141">
        <f>IF(Facturacion!A48="","",IF(Facturacion!T48&lt;&gt;"",Facturacion!T48-Facturacion!A48,TODAY()-Facturacion!A48))</f>
        <v/>
      </c>
      <c r="H49" s="139">
        <f>IF(Facturacion!O48="","",Facturacion!O48)</f>
        <v/>
      </c>
      <c r="I49" s="140">
        <f>IF(Facturacion!U48="","",Facturacion!U48)</f>
        <v/>
      </c>
    </row>
    <row r="50" ht="15" customHeight="1" s="83">
      <c r="A50" s="138">
        <f>IF(Facturacion!A49="","",Facturacion!A49)</f>
        <v/>
      </c>
      <c r="B50" s="139">
        <f>IF(Facturacion!E49="","",Facturacion!E49)</f>
        <v/>
      </c>
      <c r="C50" s="139">
        <f>IF(Facturacion!G49="","",Facturacion!G49)</f>
        <v/>
      </c>
      <c r="D50" s="140">
        <f>IF(Facturacion!N49="","",Facturacion!N49)</f>
        <v/>
      </c>
      <c r="E50" s="139">
        <f>IF(Facturacion!S49="","",Facturacion!S49)</f>
        <v/>
      </c>
      <c r="F50" s="138">
        <f>IF(Facturacion!T49="","",Facturacion!T49)</f>
        <v/>
      </c>
      <c r="G50" s="141">
        <f>IF(Facturacion!A49="","",IF(Facturacion!T49&lt;&gt;"",Facturacion!T49-Facturacion!A49,TODAY()-Facturacion!A49))</f>
        <v/>
      </c>
      <c r="H50" s="139">
        <f>IF(Facturacion!O49="","",Facturacion!O49)</f>
        <v/>
      </c>
      <c r="I50" s="140">
        <f>IF(Facturacion!U49="","",Facturacion!U49)</f>
        <v/>
      </c>
    </row>
    <row r="51" ht="15" customHeight="1" s="83">
      <c r="A51" s="138">
        <f>IF(Facturacion!A50="","",Facturacion!A50)</f>
        <v/>
      </c>
      <c r="B51" s="139">
        <f>IF(Facturacion!E50="","",Facturacion!E50)</f>
        <v/>
      </c>
      <c r="C51" s="139">
        <f>IF(Facturacion!G50="","",Facturacion!G50)</f>
        <v/>
      </c>
      <c r="D51" s="140">
        <f>IF(Facturacion!N50="","",Facturacion!N50)</f>
        <v/>
      </c>
      <c r="E51" s="139">
        <f>IF(Facturacion!S50="","",Facturacion!S50)</f>
        <v/>
      </c>
      <c r="F51" s="138">
        <f>IF(Facturacion!T50="","",Facturacion!T50)</f>
        <v/>
      </c>
      <c r="G51" s="141">
        <f>IF(Facturacion!A50="","",IF(Facturacion!T50&lt;&gt;"",Facturacion!T50-Facturacion!A50,TODAY()-Facturacion!A50))</f>
        <v/>
      </c>
      <c r="H51" s="139">
        <f>IF(Facturacion!O50="","",Facturacion!O50)</f>
        <v/>
      </c>
      <c r="I51" s="140">
        <f>IF(Facturacion!U50="","",Facturacion!U50)</f>
        <v/>
      </c>
    </row>
    <row r="52" ht="15" customHeight="1" s="83">
      <c r="A52" s="138">
        <f>IF(Facturacion!A51="","",Facturacion!A51)</f>
        <v/>
      </c>
      <c r="B52" s="139">
        <f>IF(Facturacion!E51="","",Facturacion!E51)</f>
        <v/>
      </c>
      <c r="C52" s="139">
        <f>IF(Facturacion!G51="","",Facturacion!G51)</f>
        <v/>
      </c>
      <c r="D52" s="140">
        <f>IF(Facturacion!N51="","",Facturacion!N51)</f>
        <v/>
      </c>
      <c r="E52" s="139">
        <f>IF(Facturacion!S51="","",Facturacion!S51)</f>
        <v/>
      </c>
      <c r="F52" s="138">
        <f>IF(Facturacion!T51="","",Facturacion!T51)</f>
        <v/>
      </c>
      <c r="G52" s="141">
        <f>IF(Facturacion!A51="","",IF(Facturacion!T51&lt;&gt;"",Facturacion!T51-Facturacion!A51,TODAY()-Facturacion!A51))</f>
        <v/>
      </c>
      <c r="H52" s="139">
        <f>IF(Facturacion!O51="","",Facturacion!O51)</f>
        <v/>
      </c>
      <c r="I52" s="140">
        <f>IF(Facturacion!U51="","",Facturacion!U51)</f>
        <v/>
      </c>
    </row>
    <row r="53" ht="15" customHeight="1" s="83">
      <c r="A53" s="138">
        <f>IF(Facturacion!A52="","",Facturacion!A52)</f>
        <v/>
      </c>
      <c r="B53" s="139">
        <f>IF(Facturacion!E52="","",Facturacion!E52)</f>
        <v/>
      </c>
      <c r="C53" s="139">
        <f>IF(Facturacion!G52="","",Facturacion!G52)</f>
        <v/>
      </c>
      <c r="D53" s="140">
        <f>IF(Facturacion!N52="","",Facturacion!N52)</f>
        <v/>
      </c>
      <c r="E53" s="139">
        <f>IF(Facturacion!S52="","",Facturacion!S52)</f>
        <v/>
      </c>
      <c r="F53" s="138">
        <f>IF(Facturacion!T52="","",Facturacion!T52)</f>
        <v/>
      </c>
      <c r="G53" s="141">
        <f>IF(Facturacion!A52="","",IF(Facturacion!T52&lt;&gt;"",Facturacion!T52-Facturacion!A52,TODAY()-Facturacion!A52))</f>
        <v/>
      </c>
      <c r="H53" s="139">
        <f>IF(Facturacion!O52="","",Facturacion!O52)</f>
        <v/>
      </c>
      <c r="I53" s="140">
        <f>IF(Facturacion!U52="","",Facturacion!U52)</f>
        <v/>
      </c>
    </row>
    <row r="54" ht="15" customHeight="1" s="83">
      <c r="A54" s="138">
        <f>IF(Facturacion!A53="","",Facturacion!A53)</f>
        <v/>
      </c>
      <c r="B54" s="139">
        <f>IF(Facturacion!E53="","",Facturacion!E53)</f>
        <v/>
      </c>
      <c r="C54" s="139">
        <f>IF(Facturacion!G53="","",Facturacion!G53)</f>
        <v/>
      </c>
      <c r="D54" s="140">
        <f>IF(Facturacion!N53="","",Facturacion!N53)</f>
        <v/>
      </c>
      <c r="E54" s="139">
        <f>IF(Facturacion!S53="","",Facturacion!S53)</f>
        <v/>
      </c>
      <c r="F54" s="138">
        <f>IF(Facturacion!T53="","",Facturacion!T53)</f>
        <v/>
      </c>
      <c r="G54" s="141">
        <f>IF(Facturacion!A53="","",IF(Facturacion!T53&lt;&gt;"",Facturacion!T53-Facturacion!A53,TODAY()-Facturacion!A53))</f>
        <v/>
      </c>
      <c r="H54" s="139">
        <f>IF(Facturacion!O53="","",Facturacion!O53)</f>
        <v/>
      </c>
      <c r="I54" s="140">
        <f>IF(Facturacion!U53="","",Facturacion!U53)</f>
        <v/>
      </c>
    </row>
    <row r="55" ht="15" customHeight="1" s="83">
      <c r="A55" s="138">
        <f>IF(Facturacion!A54="","",Facturacion!A54)</f>
        <v/>
      </c>
      <c r="B55" s="139">
        <f>IF(Facturacion!E54="","",Facturacion!E54)</f>
        <v/>
      </c>
      <c r="C55" s="139">
        <f>IF(Facturacion!G54="","",Facturacion!G54)</f>
        <v/>
      </c>
      <c r="D55" s="140">
        <f>IF(Facturacion!N54="","",Facturacion!N54)</f>
        <v/>
      </c>
      <c r="E55" s="139">
        <f>IF(Facturacion!S54="","",Facturacion!S54)</f>
        <v/>
      </c>
      <c r="F55" s="138">
        <f>IF(Facturacion!T54="","",Facturacion!T54)</f>
        <v/>
      </c>
      <c r="G55" s="141">
        <f>IF(Facturacion!A54="","",IF(Facturacion!T54&lt;&gt;"",Facturacion!T54-Facturacion!A54,TODAY()-Facturacion!A54))</f>
        <v/>
      </c>
      <c r="H55" s="139">
        <f>IF(Facturacion!O54="","",Facturacion!O54)</f>
        <v/>
      </c>
      <c r="I55" s="140">
        <f>IF(Facturacion!U54="","",Facturacion!U54)</f>
        <v/>
      </c>
    </row>
    <row r="56" ht="15" customHeight="1" s="83">
      <c r="A56" s="138">
        <f>IF(Facturacion!A55="","",Facturacion!A55)</f>
        <v/>
      </c>
      <c r="B56" s="139">
        <f>IF(Facturacion!E55="","",Facturacion!E55)</f>
        <v/>
      </c>
      <c r="C56" s="139">
        <f>IF(Facturacion!G55="","",Facturacion!G55)</f>
        <v/>
      </c>
      <c r="D56" s="140">
        <f>IF(Facturacion!N55="","",Facturacion!N55)</f>
        <v/>
      </c>
      <c r="E56" s="139">
        <f>IF(Facturacion!S55="","",Facturacion!S55)</f>
        <v/>
      </c>
      <c r="F56" s="138">
        <f>IF(Facturacion!T55="","",Facturacion!T55)</f>
        <v/>
      </c>
      <c r="G56" s="141">
        <f>IF(Facturacion!A55="","",IF(Facturacion!T55&lt;&gt;"",Facturacion!T55-Facturacion!A55,TODAY()-Facturacion!A55))</f>
        <v/>
      </c>
      <c r="H56" s="139">
        <f>IF(Facturacion!O55="","",Facturacion!O55)</f>
        <v/>
      </c>
      <c r="I56" s="140">
        <f>IF(Facturacion!U55="","",Facturacion!U55)</f>
        <v/>
      </c>
    </row>
    <row r="57" ht="15" customHeight="1" s="83">
      <c r="A57" s="138">
        <f>IF(Facturacion!A56="","",Facturacion!A56)</f>
        <v/>
      </c>
      <c r="B57" s="139">
        <f>IF(Facturacion!E56="","",Facturacion!E56)</f>
        <v/>
      </c>
      <c r="C57" s="139">
        <f>IF(Facturacion!G56="","",Facturacion!G56)</f>
        <v/>
      </c>
      <c r="D57" s="140">
        <f>IF(Facturacion!N56="","",Facturacion!N56)</f>
        <v/>
      </c>
      <c r="E57" s="139">
        <f>IF(Facturacion!S56="","",Facturacion!S56)</f>
        <v/>
      </c>
      <c r="F57" s="138">
        <f>IF(Facturacion!T56="","",Facturacion!T56)</f>
        <v/>
      </c>
      <c r="G57" s="141">
        <f>IF(Facturacion!A56="","",IF(Facturacion!T56&lt;&gt;"",Facturacion!T56-Facturacion!A56,TODAY()-Facturacion!A56))</f>
        <v/>
      </c>
      <c r="H57" s="139">
        <f>IF(Facturacion!O56="","",Facturacion!O56)</f>
        <v/>
      </c>
      <c r="I57" s="140">
        <f>IF(Facturacion!U56="","",Facturacion!U56)</f>
        <v/>
      </c>
    </row>
    <row r="58" ht="15" customHeight="1" s="83">
      <c r="A58" s="138">
        <f>IF(Facturacion!A57="","",Facturacion!A57)</f>
        <v/>
      </c>
      <c r="B58" s="139">
        <f>IF(Facturacion!E57="","",Facturacion!E57)</f>
        <v/>
      </c>
      <c r="C58" s="139">
        <f>IF(Facturacion!G57="","",Facturacion!G57)</f>
        <v/>
      </c>
      <c r="D58" s="140">
        <f>IF(Facturacion!N57="","",Facturacion!N57)</f>
        <v/>
      </c>
      <c r="E58" s="139">
        <f>IF(Facturacion!S57="","",Facturacion!S57)</f>
        <v/>
      </c>
      <c r="F58" s="138">
        <f>IF(Facturacion!T57="","",Facturacion!T57)</f>
        <v/>
      </c>
      <c r="G58" s="141">
        <f>IF(Facturacion!A57="","",IF(Facturacion!T57&lt;&gt;"",Facturacion!T57-Facturacion!A57,TODAY()-Facturacion!A57))</f>
        <v/>
      </c>
      <c r="H58" s="139">
        <f>IF(Facturacion!O57="","",Facturacion!O57)</f>
        <v/>
      </c>
      <c r="I58" s="140">
        <f>IF(Facturacion!U57="","",Facturacion!U57)</f>
        <v/>
      </c>
    </row>
    <row r="59" ht="15" customHeight="1" s="83">
      <c r="A59" s="138">
        <f>IF(Facturacion!A58="","",Facturacion!A58)</f>
        <v/>
      </c>
      <c r="B59" s="139">
        <f>IF(Facturacion!E58="","",Facturacion!E58)</f>
        <v/>
      </c>
      <c r="C59" s="139">
        <f>IF(Facturacion!G58="","",Facturacion!G58)</f>
        <v/>
      </c>
      <c r="D59" s="140">
        <f>IF(Facturacion!N58="","",Facturacion!N58)</f>
        <v/>
      </c>
      <c r="E59" s="139">
        <f>IF(Facturacion!S58="","",Facturacion!S58)</f>
        <v/>
      </c>
      <c r="F59" s="138">
        <f>IF(Facturacion!T58="","",Facturacion!T58)</f>
        <v/>
      </c>
      <c r="G59" s="141">
        <f>IF(Facturacion!A58="","",IF(Facturacion!T58&lt;&gt;"",Facturacion!T58-Facturacion!A58,TODAY()-Facturacion!A58))</f>
        <v/>
      </c>
      <c r="H59" s="139">
        <f>IF(Facturacion!O58="","",Facturacion!O58)</f>
        <v/>
      </c>
      <c r="I59" s="140">
        <f>IF(Facturacion!U58="","",Facturacion!U58)</f>
        <v/>
      </c>
    </row>
    <row r="60" ht="15" customHeight="1" s="83">
      <c r="A60" s="138">
        <f>IF(Facturacion!A59="","",Facturacion!A59)</f>
        <v/>
      </c>
      <c r="B60" s="139">
        <f>IF(Facturacion!E59="","",Facturacion!E59)</f>
        <v/>
      </c>
      <c r="C60" s="139">
        <f>IF(Facturacion!G59="","",Facturacion!G59)</f>
        <v/>
      </c>
      <c r="D60" s="140">
        <f>IF(Facturacion!N59="","",Facturacion!N59)</f>
        <v/>
      </c>
      <c r="E60" s="139">
        <f>IF(Facturacion!S59="","",Facturacion!S59)</f>
        <v/>
      </c>
      <c r="F60" s="138">
        <f>IF(Facturacion!T59="","",Facturacion!T59)</f>
        <v/>
      </c>
      <c r="G60" s="141">
        <f>IF(Facturacion!A59="","",IF(Facturacion!T59&lt;&gt;"",Facturacion!T59-Facturacion!A59,TODAY()-Facturacion!A59))</f>
        <v/>
      </c>
      <c r="H60" s="139">
        <f>IF(Facturacion!O59="","",Facturacion!O59)</f>
        <v/>
      </c>
      <c r="I60" s="140">
        <f>IF(Facturacion!U59="","",Facturacion!U59)</f>
        <v/>
      </c>
    </row>
    <row r="61" ht="15" customHeight="1" s="83">
      <c r="A61" s="138">
        <f>IF(Facturacion!A60="","",Facturacion!A60)</f>
        <v/>
      </c>
      <c r="B61" s="139">
        <f>IF(Facturacion!E60="","",Facturacion!E60)</f>
        <v/>
      </c>
      <c r="C61" s="139">
        <f>IF(Facturacion!G60="","",Facturacion!G60)</f>
        <v/>
      </c>
      <c r="D61" s="140">
        <f>IF(Facturacion!N60="","",Facturacion!N60)</f>
        <v/>
      </c>
      <c r="E61" s="139">
        <f>IF(Facturacion!S60="","",Facturacion!S60)</f>
        <v/>
      </c>
      <c r="F61" s="138">
        <f>IF(Facturacion!T60="","",Facturacion!T60)</f>
        <v/>
      </c>
      <c r="G61" s="141">
        <f>IF(Facturacion!A60="","",IF(Facturacion!T60&lt;&gt;"",Facturacion!T60-Facturacion!A60,TODAY()-Facturacion!A60))</f>
        <v/>
      </c>
      <c r="H61" s="139">
        <f>IF(Facturacion!O60="","",Facturacion!O60)</f>
        <v/>
      </c>
      <c r="I61" s="140">
        <f>IF(Facturacion!U60="","",Facturacion!U60)</f>
        <v/>
      </c>
    </row>
    <row r="62" ht="15" customHeight="1" s="83">
      <c r="A62" s="138">
        <f>IF(Facturacion!A61="","",Facturacion!A61)</f>
        <v/>
      </c>
      <c r="B62" s="139">
        <f>IF(Facturacion!E61="","",Facturacion!E61)</f>
        <v/>
      </c>
      <c r="C62" s="139">
        <f>IF(Facturacion!G61="","",Facturacion!G61)</f>
        <v/>
      </c>
      <c r="D62" s="140">
        <f>IF(Facturacion!N61="","",Facturacion!N61)</f>
        <v/>
      </c>
      <c r="E62" s="139">
        <f>IF(Facturacion!S61="","",Facturacion!S61)</f>
        <v/>
      </c>
      <c r="F62" s="138">
        <f>IF(Facturacion!T61="","",Facturacion!T61)</f>
        <v/>
      </c>
      <c r="G62" s="141">
        <f>IF(Facturacion!A61="","",IF(Facturacion!T61&lt;&gt;"",Facturacion!T61-Facturacion!A61,TODAY()-Facturacion!A61))</f>
        <v/>
      </c>
      <c r="H62" s="139">
        <f>IF(Facturacion!O61="","",Facturacion!O61)</f>
        <v/>
      </c>
      <c r="I62" s="140">
        <f>IF(Facturacion!U61="","",Facturacion!U61)</f>
        <v/>
      </c>
    </row>
    <row r="63" ht="15" customHeight="1" s="83">
      <c r="A63" s="138">
        <f>IF(Facturacion!A62="","",Facturacion!A62)</f>
        <v/>
      </c>
      <c r="B63" s="139">
        <f>IF(Facturacion!E62="","",Facturacion!E62)</f>
        <v/>
      </c>
      <c r="C63" s="139">
        <f>IF(Facturacion!G62="","",Facturacion!G62)</f>
        <v/>
      </c>
      <c r="D63" s="140">
        <f>IF(Facturacion!N62="","",Facturacion!N62)</f>
        <v/>
      </c>
      <c r="E63" s="139">
        <f>IF(Facturacion!S62="","",Facturacion!S62)</f>
        <v/>
      </c>
      <c r="F63" s="138">
        <f>IF(Facturacion!T62="","",Facturacion!T62)</f>
        <v/>
      </c>
      <c r="G63" s="141">
        <f>IF(Facturacion!A62="","",IF(Facturacion!T62&lt;&gt;"",Facturacion!T62-Facturacion!A62,TODAY()-Facturacion!A62))</f>
        <v/>
      </c>
      <c r="H63" s="139">
        <f>IF(Facturacion!O62="","",Facturacion!O62)</f>
        <v/>
      </c>
      <c r="I63" s="140">
        <f>IF(Facturacion!U62="","",Facturacion!U62)</f>
        <v/>
      </c>
    </row>
    <row r="64" ht="15" customHeight="1" s="83">
      <c r="A64" s="138">
        <f>IF(Facturacion!A63="","",Facturacion!A63)</f>
        <v/>
      </c>
      <c r="B64" s="139">
        <f>IF(Facturacion!E63="","",Facturacion!E63)</f>
        <v/>
      </c>
      <c r="C64" s="139">
        <f>IF(Facturacion!G63="","",Facturacion!G63)</f>
        <v/>
      </c>
      <c r="D64" s="140">
        <f>IF(Facturacion!N63="","",Facturacion!N63)</f>
        <v/>
      </c>
      <c r="E64" s="139">
        <f>IF(Facturacion!S63="","",Facturacion!S63)</f>
        <v/>
      </c>
      <c r="F64" s="138">
        <f>IF(Facturacion!T63="","",Facturacion!T63)</f>
        <v/>
      </c>
      <c r="G64" s="141">
        <f>IF(Facturacion!A63="","",IF(Facturacion!T63&lt;&gt;"",Facturacion!T63-Facturacion!A63,TODAY()-Facturacion!A63))</f>
        <v/>
      </c>
      <c r="H64" s="139">
        <f>IF(Facturacion!O63="","",Facturacion!O63)</f>
        <v/>
      </c>
      <c r="I64" s="140">
        <f>IF(Facturacion!U63="","",Facturacion!U63)</f>
        <v/>
      </c>
    </row>
    <row r="65" ht="15" customHeight="1" s="83">
      <c r="A65" s="138">
        <f>IF(Facturacion!A64="","",Facturacion!A64)</f>
        <v/>
      </c>
      <c r="B65" s="139">
        <f>IF(Facturacion!E64="","",Facturacion!E64)</f>
        <v/>
      </c>
      <c r="C65" s="139">
        <f>IF(Facturacion!G64="","",Facturacion!G64)</f>
        <v/>
      </c>
      <c r="D65" s="140">
        <f>IF(Facturacion!N64="","",Facturacion!N64)</f>
        <v/>
      </c>
      <c r="E65" s="139">
        <f>IF(Facturacion!S64="","",Facturacion!S64)</f>
        <v/>
      </c>
      <c r="F65" s="138">
        <f>IF(Facturacion!T64="","",Facturacion!T64)</f>
        <v/>
      </c>
      <c r="G65" s="141">
        <f>IF(Facturacion!A64="","",IF(Facturacion!T64&lt;&gt;"",Facturacion!T64-Facturacion!A64,TODAY()-Facturacion!A64))</f>
        <v/>
      </c>
      <c r="H65" s="139">
        <f>IF(Facturacion!O64="","",Facturacion!O64)</f>
        <v/>
      </c>
      <c r="I65" s="140">
        <f>IF(Facturacion!U64="","",Facturacion!U64)</f>
        <v/>
      </c>
    </row>
    <row r="66" ht="15" customHeight="1" s="83">
      <c r="A66" s="138">
        <f>IF(Facturacion!A65="","",Facturacion!A65)</f>
        <v/>
      </c>
      <c r="B66" s="139">
        <f>IF(Facturacion!E65="","",Facturacion!E65)</f>
        <v/>
      </c>
      <c r="C66" s="139">
        <f>IF(Facturacion!G65="","",Facturacion!G65)</f>
        <v/>
      </c>
      <c r="D66" s="140">
        <f>IF(Facturacion!N65="","",Facturacion!N65)</f>
        <v/>
      </c>
      <c r="E66" s="139">
        <f>IF(Facturacion!S65="","",Facturacion!S65)</f>
        <v/>
      </c>
      <c r="F66" s="138">
        <f>IF(Facturacion!T65="","",Facturacion!T65)</f>
        <v/>
      </c>
      <c r="G66" s="141">
        <f>IF(Facturacion!A65="","",IF(Facturacion!T65&lt;&gt;"",Facturacion!T65-Facturacion!A65,TODAY()-Facturacion!A65))</f>
        <v/>
      </c>
      <c r="H66" s="139">
        <f>IF(Facturacion!O65="","",Facturacion!O65)</f>
        <v/>
      </c>
      <c r="I66" s="140">
        <f>IF(Facturacion!U65="","",Facturacion!U65)</f>
        <v/>
      </c>
    </row>
    <row r="67" ht="15" customHeight="1" s="83">
      <c r="A67" s="138">
        <f>IF(Facturacion!A66="","",Facturacion!A66)</f>
        <v/>
      </c>
      <c r="B67" s="139">
        <f>IF(Facturacion!E66="","",Facturacion!E66)</f>
        <v/>
      </c>
      <c r="C67" s="139">
        <f>IF(Facturacion!G66="","",Facturacion!G66)</f>
        <v/>
      </c>
      <c r="D67" s="140">
        <f>IF(Facturacion!N66="","",Facturacion!N66)</f>
        <v/>
      </c>
      <c r="E67" s="139">
        <f>IF(Facturacion!S66="","",Facturacion!S66)</f>
        <v/>
      </c>
      <c r="F67" s="138">
        <f>IF(Facturacion!T66="","",Facturacion!T66)</f>
        <v/>
      </c>
      <c r="G67" s="141">
        <f>IF(Facturacion!A66="","",IF(Facturacion!T66&lt;&gt;"",Facturacion!T66-Facturacion!A66,TODAY()-Facturacion!A66))</f>
        <v/>
      </c>
      <c r="H67" s="139">
        <f>IF(Facturacion!O66="","",Facturacion!O66)</f>
        <v/>
      </c>
      <c r="I67" s="140">
        <f>IF(Facturacion!U66="","",Facturacion!U66)</f>
        <v/>
      </c>
    </row>
    <row r="68" ht="15" customHeight="1" s="83">
      <c r="A68" s="138">
        <f>IF(Facturacion!A67="","",Facturacion!A67)</f>
        <v/>
      </c>
      <c r="B68" s="139">
        <f>IF(Facturacion!E67="","",Facturacion!E67)</f>
        <v/>
      </c>
      <c r="C68" s="139">
        <f>IF(Facturacion!G67="","",Facturacion!G67)</f>
        <v/>
      </c>
      <c r="D68" s="140">
        <f>IF(Facturacion!N67="","",Facturacion!N67)</f>
        <v/>
      </c>
      <c r="E68" s="139">
        <f>IF(Facturacion!S67="","",Facturacion!S67)</f>
        <v/>
      </c>
      <c r="F68" s="138">
        <f>IF(Facturacion!T67="","",Facturacion!T67)</f>
        <v/>
      </c>
      <c r="G68" s="141">
        <f>IF(Facturacion!A67="","",IF(Facturacion!T67&lt;&gt;"",Facturacion!T67-Facturacion!A67,TODAY()-Facturacion!A67))</f>
        <v/>
      </c>
      <c r="H68" s="139">
        <f>IF(Facturacion!O67="","",Facturacion!O67)</f>
        <v/>
      </c>
      <c r="I68" s="140">
        <f>IF(Facturacion!U67="","",Facturacion!U67)</f>
        <v/>
      </c>
    </row>
    <row r="69" ht="15" customHeight="1" s="83">
      <c r="A69" s="138">
        <f>IF(Facturacion!A68="","",Facturacion!A68)</f>
        <v/>
      </c>
      <c r="B69" s="139">
        <f>IF(Facturacion!E68="","",Facturacion!E68)</f>
        <v/>
      </c>
      <c r="C69" s="139">
        <f>IF(Facturacion!G68="","",Facturacion!G68)</f>
        <v/>
      </c>
      <c r="D69" s="140">
        <f>IF(Facturacion!N68="","",Facturacion!N68)</f>
        <v/>
      </c>
      <c r="E69" s="139">
        <f>IF(Facturacion!S68="","",Facturacion!S68)</f>
        <v/>
      </c>
      <c r="F69" s="138">
        <f>IF(Facturacion!T68="","",Facturacion!T68)</f>
        <v/>
      </c>
      <c r="G69" s="141">
        <f>IF(Facturacion!A68="","",IF(Facturacion!T68&lt;&gt;"",Facturacion!T68-Facturacion!A68,TODAY()-Facturacion!A68))</f>
        <v/>
      </c>
      <c r="H69" s="139">
        <f>IF(Facturacion!O68="","",Facturacion!O68)</f>
        <v/>
      </c>
      <c r="I69" s="140">
        <f>IF(Facturacion!U68="","",Facturacion!U68)</f>
        <v/>
      </c>
    </row>
    <row r="70" ht="15" customHeight="1" s="83">
      <c r="A70" s="138">
        <f>IF(Facturacion!A69="","",Facturacion!A69)</f>
        <v/>
      </c>
      <c r="B70" s="139">
        <f>IF(Facturacion!E69="","",Facturacion!E69)</f>
        <v/>
      </c>
      <c r="C70" s="139">
        <f>IF(Facturacion!G69="","",Facturacion!G69)</f>
        <v/>
      </c>
      <c r="D70" s="140">
        <f>IF(Facturacion!N69="","",Facturacion!N69)</f>
        <v/>
      </c>
      <c r="E70" s="139">
        <f>IF(Facturacion!S69="","",Facturacion!S69)</f>
        <v/>
      </c>
      <c r="F70" s="138">
        <f>IF(Facturacion!T69="","",Facturacion!T69)</f>
        <v/>
      </c>
      <c r="G70" s="141">
        <f>IF(Facturacion!A69="","",IF(Facturacion!T69&lt;&gt;"",Facturacion!T69-Facturacion!A69,TODAY()-Facturacion!A69))</f>
        <v/>
      </c>
      <c r="H70" s="139">
        <f>IF(Facturacion!O69="","",Facturacion!O69)</f>
        <v/>
      </c>
      <c r="I70" s="140">
        <f>IF(Facturacion!U69="","",Facturacion!U69)</f>
        <v/>
      </c>
    </row>
    <row r="71" ht="15" customHeight="1" s="83">
      <c r="A71" s="138">
        <f>IF(Facturacion!A70="","",Facturacion!A70)</f>
        <v/>
      </c>
      <c r="B71" s="139">
        <f>IF(Facturacion!E70="","",Facturacion!E70)</f>
        <v/>
      </c>
      <c r="C71" s="139">
        <f>IF(Facturacion!G70="","",Facturacion!G70)</f>
        <v/>
      </c>
      <c r="D71" s="140">
        <f>IF(Facturacion!N70="","",Facturacion!N70)</f>
        <v/>
      </c>
      <c r="E71" s="139">
        <f>IF(Facturacion!S70="","",Facturacion!S70)</f>
        <v/>
      </c>
      <c r="F71" s="138">
        <f>IF(Facturacion!T70="","",Facturacion!T70)</f>
        <v/>
      </c>
      <c r="G71" s="141">
        <f>IF(Facturacion!A70="","",IF(Facturacion!T70&lt;&gt;"",Facturacion!T70-Facturacion!A70,TODAY()-Facturacion!A70))</f>
        <v/>
      </c>
      <c r="H71" s="139">
        <f>IF(Facturacion!O70="","",Facturacion!O70)</f>
        <v/>
      </c>
      <c r="I71" s="140">
        <f>IF(Facturacion!U70="","",Facturacion!U70)</f>
        <v/>
      </c>
    </row>
    <row r="72" ht="15" customHeight="1" s="83">
      <c r="A72" s="138">
        <f>IF(Facturacion!A71="","",Facturacion!A71)</f>
        <v/>
      </c>
      <c r="B72" s="139">
        <f>IF(Facturacion!E71="","",Facturacion!E71)</f>
        <v/>
      </c>
      <c r="C72" s="139">
        <f>IF(Facturacion!G71="","",Facturacion!G71)</f>
        <v/>
      </c>
      <c r="D72" s="140">
        <f>IF(Facturacion!N71="","",Facturacion!N71)</f>
        <v/>
      </c>
      <c r="E72" s="139">
        <f>IF(Facturacion!S71="","",Facturacion!S71)</f>
        <v/>
      </c>
      <c r="F72" s="138">
        <f>IF(Facturacion!T71="","",Facturacion!T71)</f>
        <v/>
      </c>
      <c r="G72" s="141">
        <f>IF(Facturacion!A71="","",IF(Facturacion!T71&lt;&gt;"",Facturacion!T71-Facturacion!A71,TODAY()-Facturacion!A71))</f>
        <v/>
      </c>
      <c r="H72" s="139">
        <f>IF(Facturacion!O71="","",Facturacion!O71)</f>
        <v/>
      </c>
      <c r="I72" s="140">
        <f>IF(Facturacion!U71="","",Facturacion!U71)</f>
        <v/>
      </c>
    </row>
    <row r="73" ht="15" customHeight="1" s="83">
      <c r="A73" s="138">
        <f>IF(Facturacion!A72="","",Facturacion!A72)</f>
        <v/>
      </c>
      <c r="B73" s="139">
        <f>IF(Facturacion!E72="","",Facturacion!E72)</f>
        <v/>
      </c>
      <c r="C73" s="139">
        <f>IF(Facturacion!G72="","",Facturacion!G72)</f>
        <v/>
      </c>
      <c r="D73" s="140">
        <f>IF(Facturacion!N72="","",Facturacion!N72)</f>
        <v/>
      </c>
      <c r="E73" s="139">
        <f>IF(Facturacion!S72="","",Facturacion!S72)</f>
        <v/>
      </c>
      <c r="F73" s="138">
        <f>IF(Facturacion!T72="","",Facturacion!T72)</f>
        <v/>
      </c>
      <c r="G73" s="141">
        <f>IF(Facturacion!A72="","",IF(Facturacion!T72&lt;&gt;"",Facturacion!T72-Facturacion!A72,TODAY()-Facturacion!A72))</f>
        <v/>
      </c>
      <c r="H73" s="139">
        <f>IF(Facturacion!O72="","",Facturacion!O72)</f>
        <v/>
      </c>
      <c r="I73" s="140">
        <f>IF(Facturacion!U72="","",Facturacion!U72)</f>
        <v/>
      </c>
    </row>
    <row r="74" ht="15" customHeight="1" s="83">
      <c r="A74" s="138">
        <f>IF(Facturacion!A73="","",Facturacion!A73)</f>
        <v/>
      </c>
      <c r="B74" s="139">
        <f>IF(Facturacion!E73="","",Facturacion!E73)</f>
        <v/>
      </c>
      <c r="C74" s="139">
        <f>IF(Facturacion!G73="","",Facturacion!G73)</f>
        <v/>
      </c>
      <c r="D74" s="140">
        <f>IF(Facturacion!N73="","",Facturacion!N73)</f>
        <v/>
      </c>
      <c r="E74" s="139">
        <f>IF(Facturacion!S73="","",Facturacion!S73)</f>
        <v/>
      </c>
      <c r="F74" s="138">
        <f>IF(Facturacion!T73="","",Facturacion!T73)</f>
        <v/>
      </c>
      <c r="G74" s="141">
        <f>IF(Facturacion!A73="","",IF(Facturacion!T73&lt;&gt;"",Facturacion!T73-Facturacion!A73,TODAY()-Facturacion!A73))</f>
        <v/>
      </c>
      <c r="H74" s="139">
        <f>IF(Facturacion!O73="","",Facturacion!O73)</f>
        <v/>
      </c>
      <c r="I74" s="140">
        <f>IF(Facturacion!U73="","",Facturacion!U73)</f>
        <v/>
      </c>
    </row>
    <row r="75" ht="15" customHeight="1" s="83">
      <c r="A75" s="138">
        <f>IF(Facturacion!A74="","",Facturacion!A74)</f>
        <v/>
      </c>
      <c r="B75" s="139">
        <f>IF(Facturacion!E74="","",Facturacion!E74)</f>
        <v/>
      </c>
      <c r="C75" s="139">
        <f>IF(Facturacion!G74="","",Facturacion!G74)</f>
        <v/>
      </c>
      <c r="D75" s="140">
        <f>IF(Facturacion!N74="","",Facturacion!N74)</f>
        <v/>
      </c>
      <c r="E75" s="139">
        <f>IF(Facturacion!S74="","",Facturacion!S74)</f>
        <v/>
      </c>
      <c r="F75" s="138">
        <f>IF(Facturacion!T74="","",Facturacion!T74)</f>
        <v/>
      </c>
      <c r="G75" s="141">
        <f>IF(Facturacion!A74="","",IF(Facturacion!T74&lt;&gt;"",Facturacion!T74-Facturacion!A74,TODAY()-Facturacion!A74))</f>
        <v/>
      </c>
      <c r="H75" s="139">
        <f>IF(Facturacion!O74="","",Facturacion!O74)</f>
        <v/>
      </c>
      <c r="I75" s="140">
        <f>IF(Facturacion!U74="","",Facturacion!U74)</f>
        <v/>
      </c>
    </row>
    <row r="76" ht="15" customHeight="1" s="83">
      <c r="A76" s="138">
        <f>IF(Facturacion!A75="","",Facturacion!A75)</f>
        <v/>
      </c>
      <c r="B76" s="139">
        <f>IF(Facturacion!E75="","",Facturacion!E75)</f>
        <v/>
      </c>
      <c r="C76" s="139">
        <f>IF(Facturacion!G75="","",Facturacion!G75)</f>
        <v/>
      </c>
      <c r="D76" s="140">
        <f>IF(Facturacion!N75="","",Facturacion!N75)</f>
        <v/>
      </c>
      <c r="E76" s="139">
        <f>IF(Facturacion!S75="","",Facturacion!S75)</f>
        <v/>
      </c>
      <c r="F76" s="138">
        <f>IF(Facturacion!T75="","",Facturacion!T75)</f>
        <v/>
      </c>
      <c r="G76" s="141">
        <f>IF(Facturacion!A75="","",IF(Facturacion!T75&lt;&gt;"",Facturacion!T75-Facturacion!A75,TODAY()-Facturacion!A75))</f>
        <v/>
      </c>
      <c r="H76" s="139">
        <f>IF(Facturacion!O75="","",Facturacion!O75)</f>
        <v/>
      </c>
      <c r="I76" s="140">
        <f>IF(Facturacion!U75="","",Facturacion!U75)</f>
        <v/>
      </c>
    </row>
    <row r="77" ht="15" customHeight="1" s="83">
      <c r="A77" s="138">
        <f>IF(Facturacion!A76="","",Facturacion!A76)</f>
        <v/>
      </c>
      <c r="B77" s="139">
        <f>IF(Facturacion!E76="","",Facturacion!E76)</f>
        <v/>
      </c>
      <c r="C77" s="139">
        <f>IF(Facturacion!G76="","",Facturacion!G76)</f>
        <v/>
      </c>
      <c r="D77" s="140">
        <f>IF(Facturacion!N76="","",Facturacion!N76)</f>
        <v/>
      </c>
      <c r="E77" s="139">
        <f>IF(Facturacion!S76="","",Facturacion!S76)</f>
        <v/>
      </c>
      <c r="F77" s="138">
        <f>IF(Facturacion!T76="","",Facturacion!T76)</f>
        <v/>
      </c>
      <c r="G77" s="141">
        <f>IF(Facturacion!A76="","",IF(Facturacion!T76&lt;&gt;"",Facturacion!T76-Facturacion!A76,TODAY()-Facturacion!A76))</f>
        <v/>
      </c>
      <c r="H77" s="139">
        <f>IF(Facturacion!O76="","",Facturacion!O76)</f>
        <v/>
      </c>
      <c r="I77" s="140">
        <f>IF(Facturacion!U76="","",Facturacion!U76)</f>
        <v/>
      </c>
    </row>
    <row r="78" ht="15" customHeight="1" s="83">
      <c r="A78" s="138">
        <f>IF(Facturacion!A77="","",Facturacion!A77)</f>
        <v/>
      </c>
      <c r="B78" s="139">
        <f>IF(Facturacion!E77="","",Facturacion!E77)</f>
        <v/>
      </c>
      <c r="C78" s="139">
        <f>IF(Facturacion!G77="","",Facturacion!G77)</f>
        <v/>
      </c>
      <c r="D78" s="140">
        <f>IF(Facturacion!N77="","",Facturacion!N77)</f>
        <v/>
      </c>
      <c r="E78" s="139">
        <f>IF(Facturacion!S77="","",Facturacion!S77)</f>
        <v/>
      </c>
      <c r="F78" s="138">
        <f>IF(Facturacion!T77="","",Facturacion!T77)</f>
        <v/>
      </c>
      <c r="G78" s="141">
        <f>IF(Facturacion!A77="","",IF(Facturacion!T77&lt;&gt;"",Facturacion!T77-Facturacion!A77,TODAY()-Facturacion!A77))</f>
        <v/>
      </c>
      <c r="H78" s="139">
        <f>IF(Facturacion!O77="","",Facturacion!O77)</f>
        <v/>
      </c>
      <c r="I78" s="140">
        <f>IF(Facturacion!U77="","",Facturacion!U77)</f>
        <v/>
      </c>
    </row>
    <row r="79" ht="15" customHeight="1" s="83">
      <c r="A79" s="138">
        <f>IF(Facturacion!A78="","",Facturacion!A78)</f>
        <v/>
      </c>
      <c r="B79" s="139">
        <f>IF(Facturacion!E78="","",Facturacion!E78)</f>
        <v/>
      </c>
      <c r="C79" s="139">
        <f>IF(Facturacion!G78="","",Facturacion!G78)</f>
        <v/>
      </c>
      <c r="D79" s="140">
        <f>IF(Facturacion!N78="","",Facturacion!N78)</f>
        <v/>
      </c>
      <c r="E79" s="139">
        <f>IF(Facturacion!S78="","",Facturacion!S78)</f>
        <v/>
      </c>
      <c r="F79" s="138">
        <f>IF(Facturacion!T78="","",Facturacion!T78)</f>
        <v/>
      </c>
      <c r="G79" s="141">
        <f>IF(Facturacion!A78="","",IF(Facturacion!T78&lt;&gt;"",Facturacion!T78-Facturacion!A78,TODAY()-Facturacion!A78))</f>
        <v/>
      </c>
      <c r="H79" s="139">
        <f>IF(Facturacion!O78="","",Facturacion!O78)</f>
        <v/>
      </c>
      <c r="I79" s="140">
        <f>IF(Facturacion!U78="","",Facturacion!U78)</f>
        <v/>
      </c>
    </row>
    <row r="80" ht="15" customHeight="1" s="83">
      <c r="A80" s="138">
        <f>IF(Facturacion!A79="","",Facturacion!A79)</f>
        <v/>
      </c>
      <c r="B80" s="139">
        <f>IF(Facturacion!E79="","",Facturacion!E79)</f>
        <v/>
      </c>
      <c r="C80" s="139">
        <f>IF(Facturacion!G79="","",Facturacion!G79)</f>
        <v/>
      </c>
      <c r="D80" s="140">
        <f>IF(Facturacion!N79="","",Facturacion!N79)</f>
        <v/>
      </c>
      <c r="E80" s="139">
        <f>IF(Facturacion!S79="","",Facturacion!S79)</f>
        <v/>
      </c>
      <c r="F80" s="138">
        <f>IF(Facturacion!T79="","",Facturacion!T79)</f>
        <v/>
      </c>
      <c r="G80" s="141">
        <f>IF(Facturacion!A79="","",IF(Facturacion!T79&lt;&gt;"",Facturacion!T79-Facturacion!A79,TODAY()-Facturacion!A79))</f>
        <v/>
      </c>
      <c r="H80" s="139">
        <f>IF(Facturacion!O79="","",Facturacion!O79)</f>
        <v/>
      </c>
      <c r="I80" s="140">
        <f>IF(Facturacion!U79="","",Facturacion!U79)</f>
        <v/>
      </c>
    </row>
    <row r="81" ht="15" customHeight="1" s="83">
      <c r="A81" s="138">
        <f>IF(Facturacion!A80="","",Facturacion!A80)</f>
        <v/>
      </c>
      <c r="B81" s="139">
        <f>IF(Facturacion!E80="","",Facturacion!E80)</f>
        <v/>
      </c>
      <c r="C81" s="139">
        <f>IF(Facturacion!G80="","",Facturacion!G80)</f>
        <v/>
      </c>
      <c r="D81" s="140">
        <f>IF(Facturacion!N80="","",Facturacion!N80)</f>
        <v/>
      </c>
      <c r="E81" s="139">
        <f>IF(Facturacion!S80="","",Facturacion!S80)</f>
        <v/>
      </c>
      <c r="F81" s="138">
        <f>IF(Facturacion!T80="","",Facturacion!T80)</f>
        <v/>
      </c>
      <c r="G81" s="141">
        <f>IF(Facturacion!A80="","",IF(Facturacion!T80&lt;&gt;"",Facturacion!T80-Facturacion!A80,TODAY()-Facturacion!A80))</f>
        <v/>
      </c>
      <c r="H81" s="139">
        <f>IF(Facturacion!O80="","",Facturacion!O80)</f>
        <v/>
      </c>
      <c r="I81" s="140">
        <f>IF(Facturacion!U80="","",Facturacion!U80)</f>
        <v/>
      </c>
    </row>
    <row r="82" ht="15" customHeight="1" s="83">
      <c r="A82" s="138">
        <f>IF(Facturacion!A81="","",Facturacion!A81)</f>
        <v/>
      </c>
      <c r="B82" s="139">
        <f>IF(Facturacion!E81="","",Facturacion!E81)</f>
        <v/>
      </c>
      <c r="C82" s="139">
        <f>IF(Facturacion!G81="","",Facturacion!G81)</f>
        <v/>
      </c>
      <c r="D82" s="140">
        <f>IF(Facturacion!N81="","",Facturacion!N81)</f>
        <v/>
      </c>
      <c r="E82" s="139">
        <f>IF(Facturacion!S81="","",Facturacion!S81)</f>
        <v/>
      </c>
      <c r="F82" s="138">
        <f>IF(Facturacion!T81="","",Facturacion!T81)</f>
        <v/>
      </c>
      <c r="G82" s="141">
        <f>IF(Facturacion!A81="","",IF(Facturacion!T81&lt;&gt;"",Facturacion!T81-Facturacion!A81,TODAY()-Facturacion!A81))</f>
        <v/>
      </c>
      <c r="H82" s="139">
        <f>IF(Facturacion!O81="","",Facturacion!O81)</f>
        <v/>
      </c>
      <c r="I82" s="140">
        <f>IF(Facturacion!U81="","",Facturacion!U81)</f>
        <v/>
      </c>
    </row>
    <row r="83" ht="15" customHeight="1" s="83">
      <c r="A83" s="138">
        <f>IF(Facturacion!A82="","",Facturacion!A82)</f>
        <v/>
      </c>
      <c r="B83" s="139">
        <f>IF(Facturacion!E82="","",Facturacion!E82)</f>
        <v/>
      </c>
      <c r="C83" s="139">
        <f>IF(Facturacion!G82="","",Facturacion!G82)</f>
        <v/>
      </c>
      <c r="D83" s="140">
        <f>IF(Facturacion!N82="","",Facturacion!N82)</f>
        <v/>
      </c>
      <c r="E83" s="139">
        <f>IF(Facturacion!S82="","",Facturacion!S82)</f>
        <v/>
      </c>
      <c r="F83" s="138">
        <f>IF(Facturacion!T82="","",Facturacion!T82)</f>
        <v/>
      </c>
      <c r="G83" s="141">
        <f>IF(Facturacion!A82="","",IF(Facturacion!T82&lt;&gt;"",Facturacion!T82-Facturacion!A82,TODAY()-Facturacion!A82))</f>
        <v/>
      </c>
      <c r="H83" s="139">
        <f>IF(Facturacion!O82="","",Facturacion!O82)</f>
        <v/>
      </c>
      <c r="I83" s="140">
        <f>IF(Facturacion!U82="","",Facturacion!U82)</f>
        <v/>
      </c>
    </row>
    <row r="84" ht="15" customHeight="1" s="83">
      <c r="A84" s="138">
        <f>IF(Facturacion!A83="","",Facturacion!A83)</f>
        <v/>
      </c>
      <c r="B84" s="139">
        <f>IF(Facturacion!E83="","",Facturacion!E83)</f>
        <v/>
      </c>
      <c r="C84" s="139">
        <f>IF(Facturacion!G83="","",Facturacion!G83)</f>
        <v/>
      </c>
      <c r="D84" s="140">
        <f>IF(Facturacion!N83="","",Facturacion!N83)</f>
        <v/>
      </c>
      <c r="E84" s="139">
        <f>IF(Facturacion!S83="","",Facturacion!S83)</f>
        <v/>
      </c>
      <c r="F84" s="138">
        <f>IF(Facturacion!T83="","",Facturacion!T83)</f>
        <v/>
      </c>
      <c r="G84" s="141">
        <f>IF(Facturacion!A83="","",IF(Facturacion!T83&lt;&gt;"",Facturacion!T83-Facturacion!A83,TODAY()-Facturacion!A83))</f>
        <v/>
      </c>
      <c r="H84" s="139">
        <f>IF(Facturacion!O83="","",Facturacion!O83)</f>
        <v/>
      </c>
      <c r="I84" s="140">
        <f>IF(Facturacion!U83="","",Facturacion!U83)</f>
        <v/>
      </c>
    </row>
    <row r="85" ht="15" customHeight="1" s="83">
      <c r="A85" s="138">
        <f>IF(Facturacion!A84="","",Facturacion!A84)</f>
        <v/>
      </c>
      <c r="B85" s="139">
        <f>IF(Facturacion!E84="","",Facturacion!E84)</f>
        <v/>
      </c>
      <c r="C85" s="139">
        <f>IF(Facturacion!G84="","",Facturacion!G84)</f>
        <v/>
      </c>
      <c r="D85" s="140">
        <f>IF(Facturacion!N84="","",Facturacion!N84)</f>
        <v/>
      </c>
      <c r="E85" s="139">
        <f>IF(Facturacion!S84="","",Facturacion!S84)</f>
        <v/>
      </c>
      <c r="F85" s="138">
        <f>IF(Facturacion!T84="","",Facturacion!T84)</f>
        <v/>
      </c>
      <c r="G85" s="141">
        <f>IF(Facturacion!A84="","",IF(Facturacion!T84&lt;&gt;"",Facturacion!T84-Facturacion!A84,TODAY()-Facturacion!A84))</f>
        <v/>
      </c>
      <c r="H85" s="139">
        <f>IF(Facturacion!O84="","",Facturacion!O84)</f>
        <v/>
      </c>
      <c r="I85" s="140">
        <f>IF(Facturacion!U84="","",Facturacion!U84)</f>
        <v/>
      </c>
    </row>
    <row r="86" ht="15" customHeight="1" s="83">
      <c r="A86" s="138">
        <f>IF(Facturacion!A85="","",Facturacion!A85)</f>
        <v/>
      </c>
      <c r="B86" s="139">
        <f>IF(Facturacion!E85="","",Facturacion!E85)</f>
        <v/>
      </c>
      <c r="C86" s="139">
        <f>IF(Facturacion!G85="","",Facturacion!G85)</f>
        <v/>
      </c>
      <c r="D86" s="140">
        <f>IF(Facturacion!N85="","",Facturacion!N85)</f>
        <v/>
      </c>
      <c r="E86" s="139">
        <f>IF(Facturacion!S85="","",Facturacion!S85)</f>
        <v/>
      </c>
      <c r="F86" s="138">
        <f>IF(Facturacion!T85="","",Facturacion!T85)</f>
        <v/>
      </c>
      <c r="G86" s="141">
        <f>IF(Facturacion!A85="","",IF(Facturacion!T85&lt;&gt;"",Facturacion!T85-Facturacion!A85,TODAY()-Facturacion!A85))</f>
        <v/>
      </c>
      <c r="H86" s="139">
        <f>IF(Facturacion!O85="","",Facturacion!O85)</f>
        <v/>
      </c>
      <c r="I86" s="140">
        <f>IF(Facturacion!U85="","",Facturacion!U85)</f>
        <v/>
      </c>
    </row>
    <row r="87" ht="15" customHeight="1" s="83">
      <c r="A87" s="138">
        <f>IF(Facturacion!A86="","",Facturacion!A86)</f>
        <v/>
      </c>
      <c r="B87" s="139">
        <f>IF(Facturacion!E86="","",Facturacion!E86)</f>
        <v/>
      </c>
      <c r="C87" s="139">
        <f>IF(Facturacion!G86="","",Facturacion!G86)</f>
        <v/>
      </c>
      <c r="D87" s="140">
        <f>IF(Facturacion!N86="","",Facturacion!N86)</f>
        <v/>
      </c>
      <c r="E87" s="139">
        <f>IF(Facturacion!S86="","",Facturacion!S86)</f>
        <v/>
      </c>
      <c r="F87" s="138">
        <f>IF(Facturacion!T86="","",Facturacion!T86)</f>
        <v/>
      </c>
      <c r="G87" s="141">
        <f>IF(Facturacion!A86="","",IF(Facturacion!T86&lt;&gt;"",Facturacion!T86-Facturacion!A86,TODAY()-Facturacion!A86))</f>
        <v/>
      </c>
      <c r="H87" s="139">
        <f>IF(Facturacion!O86="","",Facturacion!O86)</f>
        <v/>
      </c>
      <c r="I87" s="140">
        <f>IF(Facturacion!U86="","",Facturacion!U86)</f>
        <v/>
      </c>
    </row>
    <row r="88" ht="15" customHeight="1" s="83">
      <c r="A88" s="138">
        <f>IF(Facturacion!A87="","",Facturacion!A87)</f>
        <v/>
      </c>
      <c r="B88" s="139">
        <f>IF(Facturacion!E87="","",Facturacion!E87)</f>
        <v/>
      </c>
      <c r="C88" s="139">
        <f>IF(Facturacion!G87="","",Facturacion!G87)</f>
        <v/>
      </c>
      <c r="D88" s="140">
        <f>IF(Facturacion!N87="","",Facturacion!N87)</f>
        <v/>
      </c>
      <c r="E88" s="139">
        <f>IF(Facturacion!S87="","",Facturacion!S87)</f>
        <v/>
      </c>
      <c r="F88" s="138">
        <f>IF(Facturacion!T87="","",Facturacion!T87)</f>
        <v/>
      </c>
      <c r="G88" s="141">
        <f>IF(Facturacion!A87="","",IF(Facturacion!T87&lt;&gt;"",Facturacion!T87-Facturacion!A87,TODAY()-Facturacion!A87))</f>
        <v/>
      </c>
      <c r="H88" s="139">
        <f>IF(Facturacion!O87="","",Facturacion!O87)</f>
        <v/>
      </c>
      <c r="I88" s="140">
        <f>IF(Facturacion!U87="","",Facturacion!U87)</f>
        <v/>
      </c>
    </row>
    <row r="89" ht="15" customHeight="1" s="83">
      <c r="A89" s="138">
        <f>IF(Facturacion!A88="","",Facturacion!A88)</f>
        <v/>
      </c>
      <c r="B89" s="139">
        <f>IF(Facturacion!E88="","",Facturacion!E88)</f>
        <v/>
      </c>
      <c r="C89" s="139">
        <f>IF(Facturacion!G88="","",Facturacion!G88)</f>
        <v/>
      </c>
      <c r="D89" s="140">
        <f>IF(Facturacion!N88="","",Facturacion!N88)</f>
        <v/>
      </c>
      <c r="E89" s="139">
        <f>IF(Facturacion!S88="","",Facturacion!S88)</f>
        <v/>
      </c>
      <c r="F89" s="138">
        <f>IF(Facturacion!T88="","",Facturacion!T88)</f>
        <v/>
      </c>
      <c r="G89" s="141">
        <f>IF(Facturacion!A88="","",IF(Facturacion!T88&lt;&gt;"",Facturacion!T88-Facturacion!A88,TODAY()-Facturacion!A88))</f>
        <v/>
      </c>
      <c r="H89" s="139">
        <f>IF(Facturacion!O88="","",Facturacion!O88)</f>
        <v/>
      </c>
      <c r="I89" s="140">
        <f>IF(Facturacion!U88="","",Facturacion!U88)</f>
        <v/>
      </c>
    </row>
    <row r="90" ht="15" customHeight="1" s="83">
      <c r="A90" s="138">
        <f>IF(Facturacion!A89="","",Facturacion!A89)</f>
        <v/>
      </c>
      <c r="B90" s="139">
        <f>IF(Facturacion!E89="","",Facturacion!E89)</f>
        <v/>
      </c>
      <c r="C90" s="139">
        <f>IF(Facturacion!G89="","",Facturacion!G89)</f>
        <v/>
      </c>
      <c r="D90" s="140">
        <f>IF(Facturacion!N89="","",Facturacion!N89)</f>
        <v/>
      </c>
      <c r="E90" s="139">
        <f>IF(Facturacion!S89="","",Facturacion!S89)</f>
        <v/>
      </c>
      <c r="F90" s="138">
        <f>IF(Facturacion!T89="","",Facturacion!T89)</f>
        <v/>
      </c>
      <c r="G90" s="141">
        <f>IF(Facturacion!A89="","",IF(Facturacion!T89&lt;&gt;"",Facturacion!T89-Facturacion!A89,TODAY()-Facturacion!A89))</f>
        <v/>
      </c>
      <c r="H90" s="139">
        <f>IF(Facturacion!O89="","",Facturacion!O89)</f>
        <v/>
      </c>
      <c r="I90" s="140">
        <f>IF(Facturacion!U89="","",Facturacion!U89)</f>
        <v/>
      </c>
    </row>
    <row r="91" ht="15" customHeight="1" s="83">
      <c r="A91" s="138">
        <f>IF(Facturacion!A90="","",Facturacion!A90)</f>
        <v/>
      </c>
      <c r="B91" s="139">
        <f>IF(Facturacion!E90="","",Facturacion!E90)</f>
        <v/>
      </c>
      <c r="C91" s="139">
        <f>IF(Facturacion!G90="","",Facturacion!G90)</f>
        <v/>
      </c>
      <c r="D91" s="140">
        <f>IF(Facturacion!N90="","",Facturacion!N90)</f>
        <v/>
      </c>
      <c r="E91" s="139">
        <f>IF(Facturacion!S90="","",Facturacion!S90)</f>
        <v/>
      </c>
      <c r="F91" s="138">
        <f>IF(Facturacion!T90="","",Facturacion!T90)</f>
        <v/>
      </c>
      <c r="G91" s="141">
        <f>IF(Facturacion!A90="","",IF(Facturacion!T90&lt;&gt;"",Facturacion!T90-Facturacion!A90,TODAY()-Facturacion!A90))</f>
        <v/>
      </c>
      <c r="H91" s="139">
        <f>IF(Facturacion!O90="","",Facturacion!O90)</f>
        <v/>
      </c>
      <c r="I91" s="140">
        <f>IF(Facturacion!U90="","",Facturacion!U90)</f>
        <v/>
      </c>
    </row>
    <row r="92" ht="15" customHeight="1" s="83">
      <c r="A92" s="138">
        <f>IF(Facturacion!A91="","",Facturacion!A91)</f>
        <v/>
      </c>
      <c r="B92" s="139">
        <f>IF(Facturacion!E91="","",Facturacion!E91)</f>
        <v/>
      </c>
      <c r="C92" s="139">
        <f>IF(Facturacion!G91="","",Facturacion!G91)</f>
        <v/>
      </c>
      <c r="D92" s="140">
        <f>IF(Facturacion!N91="","",Facturacion!N91)</f>
        <v/>
      </c>
      <c r="E92" s="139">
        <f>IF(Facturacion!S91="","",Facturacion!S91)</f>
        <v/>
      </c>
      <c r="F92" s="138">
        <f>IF(Facturacion!T91="","",Facturacion!T91)</f>
        <v/>
      </c>
      <c r="G92" s="141">
        <f>IF(Facturacion!A91="","",IF(Facturacion!T91&lt;&gt;"",Facturacion!T91-Facturacion!A91,TODAY()-Facturacion!A91))</f>
        <v/>
      </c>
      <c r="H92" s="139">
        <f>IF(Facturacion!O91="","",Facturacion!O91)</f>
        <v/>
      </c>
      <c r="I92" s="140">
        <f>IF(Facturacion!U91="","",Facturacion!U91)</f>
        <v/>
      </c>
    </row>
    <row r="93" ht="15" customHeight="1" s="83">
      <c r="A93" s="138">
        <f>IF(Facturacion!A92="","",Facturacion!A92)</f>
        <v/>
      </c>
      <c r="B93" s="139">
        <f>IF(Facturacion!E92="","",Facturacion!E92)</f>
        <v/>
      </c>
      <c r="C93" s="139">
        <f>IF(Facturacion!G92="","",Facturacion!G92)</f>
        <v/>
      </c>
      <c r="D93" s="140">
        <f>IF(Facturacion!N92="","",Facturacion!N92)</f>
        <v/>
      </c>
      <c r="E93" s="139">
        <f>IF(Facturacion!S92="","",Facturacion!S92)</f>
        <v/>
      </c>
      <c r="F93" s="138">
        <f>IF(Facturacion!T92="","",Facturacion!T92)</f>
        <v/>
      </c>
      <c r="G93" s="141">
        <f>IF(Facturacion!A92="","",IF(Facturacion!T92&lt;&gt;"",Facturacion!T92-Facturacion!A92,TODAY()-Facturacion!A92))</f>
        <v/>
      </c>
      <c r="H93" s="139">
        <f>IF(Facturacion!O92="","",Facturacion!O92)</f>
        <v/>
      </c>
      <c r="I93" s="140">
        <f>IF(Facturacion!U92="","",Facturacion!U92)</f>
        <v/>
      </c>
    </row>
    <row r="94" ht="15" customHeight="1" s="83">
      <c r="A94" s="138">
        <f>IF(Facturacion!A93="","",Facturacion!A93)</f>
        <v/>
      </c>
      <c r="B94" s="139">
        <f>IF(Facturacion!E93="","",Facturacion!E93)</f>
        <v/>
      </c>
      <c r="C94" s="139">
        <f>IF(Facturacion!G93="","",Facturacion!G93)</f>
        <v/>
      </c>
      <c r="D94" s="140">
        <f>IF(Facturacion!N93="","",Facturacion!N93)</f>
        <v/>
      </c>
      <c r="E94" s="139">
        <f>IF(Facturacion!S93="","",Facturacion!S93)</f>
        <v/>
      </c>
      <c r="F94" s="138">
        <f>IF(Facturacion!T93="","",Facturacion!T93)</f>
        <v/>
      </c>
      <c r="G94" s="141">
        <f>IF(Facturacion!A93="","",IF(Facturacion!T93&lt;&gt;"",Facturacion!T93-Facturacion!A93,TODAY()-Facturacion!A93))</f>
        <v/>
      </c>
      <c r="H94" s="139">
        <f>IF(Facturacion!O93="","",Facturacion!O93)</f>
        <v/>
      </c>
      <c r="I94" s="140">
        <f>IF(Facturacion!U93="","",Facturacion!U93)</f>
        <v/>
      </c>
    </row>
    <row r="95" ht="15" customHeight="1" s="83">
      <c r="A95" s="138">
        <f>IF(Facturacion!A94="","",Facturacion!A94)</f>
        <v/>
      </c>
      <c r="B95" s="139">
        <f>IF(Facturacion!E94="","",Facturacion!E94)</f>
        <v/>
      </c>
      <c r="C95" s="139">
        <f>IF(Facturacion!G94="","",Facturacion!G94)</f>
        <v/>
      </c>
      <c r="D95" s="140">
        <f>IF(Facturacion!N94="","",Facturacion!N94)</f>
        <v/>
      </c>
      <c r="E95" s="139">
        <f>IF(Facturacion!S94="","",Facturacion!S94)</f>
        <v/>
      </c>
      <c r="F95" s="138">
        <f>IF(Facturacion!T94="","",Facturacion!T94)</f>
        <v/>
      </c>
      <c r="G95" s="141">
        <f>IF(Facturacion!A94="","",IF(Facturacion!T94&lt;&gt;"",Facturacion!T94-Facturacion!A94,TODAY()-Facturacion!A94))</f>
        <v/>
      </c>
      <c r="H95" s="139">
        <f>IF(Facturacion!O94="","",Facturacion!O94)</f>
        <v/>
      </c>
      <c r="I95" s="140">
        <f>IF(Facturacion!U94="","",Facturacion!U94)</f>
        <v/>
      </c>
    </row>
    <row r="96" ht="15" customHeight="1" s="83">
      <c r="A96" s="138">
        <f>IF(Facturacion!A95="","",Facturacion!A95)</f>
        <v/>
      </c>
      <c r="B96" s="139">
        <f>IF(Facturacion!E95="","",Facturacion!E95)</f>
        <v/>
      </c>
      <c r="C96" s="139">
        <f>IF(Facturacion!G95="","",Facturacion!G95)</f>
        <v/>
      </c>
      <c r="D96" s="140">
        <f>IF(Facturacion!N95="","",Facturacion!N95)</f>
        <v/>
      </c>
      <c r="E96" s="139">
        <f>IF(Facturacion!S95="","",Facturacion!S95)</f>
        <v/>
      </c>
      <c r="F96" s="138">
        <f>IF(Facturacion!T95="","",Facturacion!T95)</f>
        <v/>
      </c>
      <c r="G96" s="141">
        <f>IF(Facturacion!A95="","",IF(Facturacion!T95&lt;&gt;"",Facturacion!T95-Facturacion!A95,TODAY()-Facturacion!A95))</f>
        <v/>
      </c>
      <c r="H96" s="139">
        <f>IF(Facturacion!O95="","",Facturacion!O95)</f>
        <v/>
      </c>
      <c r="I96" s="140">
        <f>IF(Facturacion!U95="","",Facturacion!U95)</f>
        <v/>
      </c>
    </row>
    <row r="97" ht="15" customHeight="1" s="83">
      <c r="A97" s="138">
        <f>IF(Facturacion!A96="","",Facturacion!A96)</f>
        <v/>
      </c>
      <c r="B97" s="139">
        <f>IF(Facturacion!E96="","",Facturacion!E96)</f>
        <v/>
      </c>
      <c r="C97" s="139">
        <f>IF(Facturacion!G96="","",Facturacion!G96)</f>
        <v/>
      </c>
      <c r="D97" s="140">
        <f>IF(Facturacion!N96="","",Facturacion!N96)</f>
        <v/>
      </c>
      <c r="E97" s="139">
        <f>IF(Facturacion!S96="","",Facturacion!S96)</f>
        <v/>
      </c>
      <c r="F97" s="138">
        <f>IF(Facturacion!T96="","",Facturacion!T96)</f>
        <v/>
      </c>
      <c r="G97" s="141">
        <f>IF(Facturacion!A96="","",IF(Facturacion!T96&lt;&gt;"",Facturacion!T96-Facturacion!A96,TODAY()-Facturacion!A96))</f>
        <v/>
      </c>
      <c r="H97" s="139">
        <f>IF(Facturacion!O96="","",Facturacion!O96)</f>
        <v/>
      </c>
      <c r="I97" s="140">
        <f>IF(Facturacion!U96="","",Facturacion!U96)</f>
        <v/>
      </c>
    </row>
    <row r="98" ht="15" customHeight="1" s="83">
      <c r="A98" s="138">
        <f>IF(Facturacion!A97="","",Facturacion!A97)</f>
        <v/>
      </c>
      <c r="B98" s="139">
        <f>IF(Facturacion!E97="","",Facturacion!E97)</f>
        <v/>
      </c>
      <c r="C98" s="139">
        <f>IF(Facturacion!G97="","",Facturacion!G97)</f>
        <v/>
      </c>
      <c r="D98" s="140">
        <f>IF(Facturacion!N97="","",Facturacion!N97)</f>
        <v/>
      </c>
      <c r="E98" s="139">
        <f>IF(Facturacion!S97="","",Facturacion!S97)</f>
        <v/>
      </c>
      <c r="F98" s="138">
        <f>IF(Facturacion!T97="","",Facturacion!T97)</f>
        <v/>
      </c>
      <c r="G98" s="141">
        <f>IF(Facturacion!A97="","",IF(Facturacion!T97&lt;&gt;"",Facturacion!T97-Facturacion!A97,TODAY()-Facturacion!A97))</f>
        <v/>
      </c>
      <c r="H98" s="139">
        <f>IF(Facturacion!O97="","",Facturacion!O97)</f>
        <v/>
      </c>
      <c r="I98" s="140">
        <f>IF(Facturacion!U97="","",Facturacion!U97)</f>
        <v/>
      </c>
    </row>
    <row r="99" ht="15" customHeight="1" s="83">
      <c r="A99" s="138">
        <f>IF(Facturacion!A98="","",Facturacion!A98)</f>
        <v/>
      </c>
      <c r="B99" s="139">
        <f>IF(Facturacion!E98="","",Facturacion!E98)</f>
        <v/>
      </c>
      <c r="C99" s="139">
        <f>IF(Facturacion!G98="","",Facturacion!G98)</f>
        <v/>
      </c>
      <c r="D99" s="140">
        <f>IF(Facturacion!N98="","",Facturacion!N98)</f>
        <v/>
      </c>
      <c r="E99" s="139">
        <f>IF(Facturacion!S98="","",Facturacion!S98)</f>
        <v/>
      </c>
      <c r="F99" s="138">
        <f>IF(Facturacion!T98="","",Facturacion!T98)</f>
        <v/>
      </c>
      <c r="G99" s="141">
        <f>IF(Facturacion!A98="","",IF(Facturacion!T98&lt;&gt;"",Facturacion!T98-Facturacion!A98,TODAY()-Facturacion!A98))</f>
        <v/>
      </c>
      <c r="H99" s="139">
        <f>IF(Facturacion!O98="","",Facturacion!O98)</f>
        <v/>
      </c>
      <c r="I99" s="140">
        <f>IF(Facturacion!U98="","",Facturacion!U98)</f>
        <v/>
      </c>
    </row>
    <row r="100" ht="15" customHeight="1" s="83">
      <c r="A100" s="138">
        <f>IF(Facturacion!A99="","",Facturacion!A99)</f>
        <v/>
      </c>
      <c r="B100" s="139">
        <f>IF(Facturacion!E99="","",Facturacion!E99)</f>
        <v/>
      </c>
      <c r="C100" s="139">
        <f>IF(Facturacion!G99="","",Facturacion!G99)</f>
        <v/>
      </c>
      <c r="D100" s="140">
        <f>IF(Facturacion!N99="","",Facturacion!N99)</f>
        <v/>
      </c>
      <c r="E100" s="139">
        <f>IF(Facturacion!S99="","",Facturacion!S99)</f>
        <v/>
      </c>
      <c r="F100" s="138">
        <f>IF(Facturacion!T99="","",Facturacion!T99)</f>
        <v/>
      </c>
      <c r="G100" s="141">
        <f>IF(Facturacion!A99="","",IF(Facturacion!T99&lt;&gt;"",Facturacion!T99-Facturacion!A99,TODAY()-Facturacion!A99))</f>
        <v/>
      </c>
      <c r="H100" s="139">
        <f>IF(Facturacion!O99="","",Facturacion!O99)</f>
        <v/>
      </c>
      <c r="I100" s="140">
        <f>IF(Facturacion!U99="","",Facturacion!U99)</f>
        <v/>
      </c>
    </row>
    <row r="101" ht="15" customHeight="1" s="83">
      <c r="A101" s="138">
        <f>IF(Facturacion!A100="","",Facturacion!A100)</f>
        <v/>
      </c>
      <c r="B101" s="139">
        <f>IF(Facturacion!E100="","",Facturacion!E100)</f>
        <v/>
      </c>
      <c r="C101" s="139">
        <f>IF(Facturacion!G100="","",Facturacion!G100)</f>
        <v/>
      </c>
      <c r="D101" s="140">
        <f>IF(Facturacion!N100="","",Facturacion!N100)</f>
        <v/>
      </c>
      <c r="E101" s="139">
        <f>IF(Facturacion!S100="","",Facturacion!S100)</f>
        <v/>
      </c>
      <c r="F101" s="138">
        <f>IF(Facturacion!T100="","",Facturacion!T100)</f>
        <v/>
      </c>
      <c r="G101" s="141">
        <f>IF(Facturacion!A100="","",IF(Facturacion!T100&lt;&gt;"",Facturacion!T100-Facturacion!A100,TODAY()-Facturacion!A100))</f>
        <v/>
      </c>
      <c r="H101" s="139">
        <f>IF(Facturacion!O100="","",Facturacion!O100)</f>
        <v/>
      </c>
      <c r="I101" s="140">
        <f>IF(Facturacion!U100="","",Facturacion!U100)</f>
        <v/>
      </c>
    </row>
    <row r="102" ht="15" customHeight="1" s="83">
      <c r="A102" s="138">
        <f>IF(Facturacion!A101="","",Facturacion!A101)</f>
        <v/>
      </c>
      <c r="B102" s="139">
        <f>IF(Facturacion!E101="","",Facturacion!E101)</f>
        <v/>
      </c>
      <c r="C102" s="139">
        <f>IF(Facturacion!G101="","",Facturacion!G101)</f>
        <v/>
      </c>
      <c r="D102" s="140">
        <f>IF(Facturacion!N101="","",Facturacion!N101)</f>
        <v/>
      </c>
      <c r="E102" s="139">
        <f>IF(Facturacion!S101="","",Facturacion!S101)</f>
        <v/>
      </c>
      <c r="F102" s="138">
        <f>IF(Facturacion!T101="","",Facturacion!T101)</f>
        <v/>
      </c>
      <c r="G102" s="141">
        <f>IF(Facturacion!A101="","",IF(Facturacion!T101&lt;&gt;"",Facturacion!T101-Facturacion!A101,TODAY()-Facturacion!A101))</f>
        <v/>
      </c>
      <c r="H102" s="139">
        <f>IF(Facturacion!O101="","",Facturacion!O101)</f>
        <v/>
      </c>
      <c r="I102" s="140">
        <f>IF(Facturacion!U101="","",Facturacion!U101)</f>
        <v/>
      </c>
    </row>
    <row r="103" ht="15" customHeight="1" s="83">
      <c r="A103" s="138">
        <f>IF(Facturacion!A102="","",Facturacion!A102)</f>
        <v/>
      </c>
      <c r="B103" s="139">
        <f>IF(Facturacion!E102="","",Facturacion!E102)</f>
        <v/>
      </c>
      <c r="C103" s="139">
        <f>IF(Facturacion!G102="","",Facturacion!G102)</f>
        <v/>
      </c>
      <c r="D103" s="140">
        <f>IF(Facturacion!N102="","",Facturacion!N102)</f>
        <v/>
      </c>
      <c r="E103" s="139">
        <f>IF(Facturacion!S102="","",Facturacion!S102)</f>
        <v/>
      </c>
      <c r="F103" s="138">
        <f>IF(Facturacion!T102="","",Facturacion!T102)</f>
        <v/>
      </c>
      <c r="G103" s="141">
        <f>IF(Facturacion!A102="","",IF(Facturacion!T102&lt;&gt;"",Facturacion!T102-Facturacion!A102,TODAY()-Facturacion!A102))</f>
        <v/>
      </c>
      <c r="H103" s="139">
        <f>IF(Facturacion!O102="","",Facturacion!O102)</f>
        <v/>
      </c>
      <c r="I103" s="140">
        <f>IF(Facturacion!U102="","",Facturacion!U102)</f>
        <v/>
      </c>
    </row>
    <row r="104" ht="15" customHeight="1" s="83">
      <c r="A104" s="138">
        <f>IF(Facturacion!A103="","",Facturacion!A103)</f>
        <v/>
      </c>
      <c r="B104" s="139">
        <f>IF(Facturacion!E103="","",Facturacion!E103)</f>
        <v/>
      </c>
      <c r="C104" s="139">
        <f>IF(Facturacion!G103="","",Facturacion!G103)</f>
        <v/>
      </c>
      <c r="D104" s="140">
        <f>IF(Facturacion!N103="","",Facturacion!N103)</f>
        <v/>
      </c>
      <c r="E104" s="139">
        <f>IF(Facturacion!S103="","",Facturacion!S103)</f>
        <v/>
      </c>
      <c r="F104" s="138">
        <f>IF(Facturacion!T103="","",Facturacion!T103)</f>
        <v/>
      </c>
      <c r="G104" s="141">
        <f>IF(Facturacion!A103="","",IF(Facturacion!T103&lt;&gt;"",Facturacion!T103-Facturacion!A103,TODAY()-Facturacion!A103))</f>
        <v/>
      </c>
      <c r="H104" s="139">
        <f>IF(Facturacion!O103="","",Facturacion!O103)</f>
        <v/>
      </c>
      <c r="I104" s="140">
        <f>IF(Facturacion!U103="","",Facturacion!U103)</f>
        <v/>
      </c>
    </row>
    <row r="105" ht="15" customHeight="1" s="83">
      <c r="A105" s="138">
        <f>IF(Facturacion!A104="","",Facturacion!A104)</f>
        <v/>
      </c>
      <c r="B105" s="139">
        <f>IF(Facturacion!E104="","",Facturacion!E104)</f>
        <v/>
      </c>
      <c r="C105" s="139">
        <f>IF(Facturacion!G104="","",Facturacion!G104)</f>
        <v/>
      </c>
      <c r="D105" s="140">
        <f>IF(Facturacion!N104="","",Facturacion!N104)</f>
        <v/>
      </c>
      <c r="E105" s="139">
        <f>IF(Facturacion!S104="","",Facturacion!S104)</f>
        <v/>
      </c>
      <c r="F105" s="138">
        <f>IF(Facturacion!T104="","",Facturacion!T104)</f>
        <v/>
      </c>
      <c r="G105" s="141">
        <f>IF(Facturacion!A104="","",IF(Facturacion!T104&lt;&gt;"",Facturacion!T104-Facturacion!A104,TODAY()-Facturacion!A104))</f>
        <v/>
      </c>
      <c r="H105" s="139">
        <f>IF(Facturacion!O104="","",Facturacion!O104)</f>
        <v/>
      </c>
      <c r="I105" s="140">
        <f>IF(Facturacion!U104="","",Facturacion!U104)</f>
        <v/>
      </c>
    </row>
    <row r="106" ht="15" customHeight="1" s="83">
      <c r="A106" s="138">
        <f>IF(Facturacion!A105="","",Facturacion!A105)</f>
        <v/>
      </c>
      <c r="B106" s="139">
        <f>IF(Facturacion!E105="","",Facturacion!E105)</f>
        <v/>
      </c>
      <c r="C106" s="139">
        <f>IF(Facturacion!G105="","",Facturacion!G105)</f>
        <v/>
      </c>
      <c r="D106" s="140">
        <f>IF(Facturacion!N105="","",Facturacion!N105)</f>
        <v/>
      </c>
      <c r="E106" s="139">
        <f>IF(Facturacion!S105="","",Facturacion!S105)</f>
        <v/>
      </c>
      <c r="F106" s="138">
        <f>IF(Facturacion!T105="","",Facturacion!T105)</f>
        <v/>
      </c>
      <c r="G106" s="141">
        <f>IF(Facturacion!A105="","",IF(Facturacion!T105&lt;&gt;"",Facturacion!T105-Facturacion!A105,TODAY()-Facturacion!A105))</f>
        <v/>
      </c>
      <c r="H106" s="139">
        <f>IF(Facturacion!O105="","",Facturacion!O105)</f>
        <v/>
      </c>
      <c r="I106" s="140">
        <f>IF(Facturacion!U105="","",Facturacion!U105)</f>
        <v/>
      </c>
    </row>
    <row r="107" ht="15" customHeight="1" s="83">
      <c r="A107" s="138">
        <f>IF(Facturacion!A106="","",Facturacion!A106)</f>
        <v/>
      </c>
      <c r="B107" s="139">
        <f>IF(Facturacion!E106="","",Facturacion!E106)</f>
        <v/>
      </c>
      <c r="C107" s="139">
        <f>IF(Facturacion!G106="","",Facturacion!G106)</f>
        <v/>
      </c>
      <c r="D107" s="140">
        <f>IF(Facturacion!N106="","",Facturacion!N106)</f>
        <v/>
      </c>
      <c r="E107" s="139">
        <f>IF(Facturacion!S106="","",Facturacion!S106)</f>
        <v/>
      </c>
      <c r="F107" s="138">
        <f>IF(Facturacion!T106="","",Facturacion!T106)</f>
        <v/>
      </c>
      <c r="G107" s="141">
        <f>IF(Facturacion!A106="","",IF(Facturacion!T106&lt;&gt;"",Facturacion!T106-Facturacion!A106,TODAY()-Facturacion!A106))</f>
        <v/>
      </c>
      <c r="H107" s="139">
        <f>IF(Facturacion!O106="","",Facturacion!O106)</f>
        <v/>
      </c>
      <c r="I107" s="140">
        <f>IF(Facturacion!U106="","",Facturacion!U106)</f>
        <v/>
      </c>
    </row>
    <row r="108" ht="15" customHeight="1" s="83">
      <c r="A108" s="138">
        <f>IF(Facturacion!A107="","",Facturacion!A107)</f>
        <v/>
      </c>
      <c r="B108" s="139">
        <f>IF(Facturacion!E107="","",Facturacion!E107)</f>
        <v/>
      </c>
      <c r="C108" s="139">
        <f>IF(Facturacion!G107="","",Facturacion!G107)</f>
        <v/>
      </c>
      <c r="D108" s="140">
        <f>IF(Facturacion!N107="","",Facturacion!N107)</f>
        <v/>
      </c>
      <c r="E108" s="139">
        <f>IF(Facturacion!S107="","",Facturacion!S107)</f>
        <v/>
      </c>
      <c r="F108" s="138">
        <f>IF(Facturacion!T107="","",Facturacion!T107)</f>
        <v/>
      </c>
      <c r="G108" s="141">
        <f>IF(Facturacion!A107="","",IF(Facturacion!T107&lt;&gt;"",Facturacion!T107-Facturacion!A107,TODAY()-Facturacion!A107))</f>
        <v/>
      </c>
      <c r="H108" s="139">
        <f>IF(Facturacion!O107="","",Facturacion!O107)</f>
        <v/>
      </c>
      <c r="I108" s="140">
        <f>IF(Facturacion!U107="","",Facturacion!U107)</f>
        <v/>
      </c>
    </row>
    <row r="109" ht="15" customHeight="1" s="83">
      <c r="A109" s="138">
        <f>IF(Facturacion!A108="","",Facturacion!A108)</f>
        <v/>
      </c>
      <c r="B109" s="139">
        <f>IF(Facturacion!E108="","",Facturacion!E108)</f>
        <v/>
      </c>
      <c r="C109" s="139">
        <f>IF(Facturacion!G108="","",Facturacion!G108)</f>
        <v/>
      </c>
      <c r="D109" s="140">
        <f>IF(Facturacion!N108="","",Facturacion!N108)</f>
        <v/>
      </c>
      <c r="E109" s="139">
        <f>IF(Facturacion!S108="","",Facturacion!S108)</f>
        <v/>
      </c>
      <c r="F109" s="138">
        <f>IF(Facturacion!T108="","",Facturacion!T108)</f>
        <v/>
      </c>
      <c r="G109" s="141">
        <f>IF(Facturacion!A108="","",IF(Facturacion!T108&lt;&gt;"",Facturacion!T108-Facturacion!A108,TODAY()-Facturacion!A108))</f>
        <v/>
      </c>
      <c r="H109" s="139">
        <f>IF(Facturacion!O108="","",Facturacion!O108)</f>
        <v/>
      </c>
      <c r="I109" s="140">
        <f>IF(Facturacion!U108="","",Facturacion!U108)</f>
        <v/>
      </c>
    </row>
    <row r="110" ht="15" customHeight="1" s="83">
      <c r="A110" s="138">
        <f>IF(Facturacion!A109="","",Facturacion!A109)</f>
        <v/>
      </c>
      <c r="B110" s="139">
        <f>IF(Facturacion!E109="","",Facturacion!E109)</f>
        <v/>
      </c>
      <c r="C110" s="139">
        <f>IF(Facturacion!G109="","",Facturacion!G109)</f>
        <v/>
      </c>
      <c r="D110" s="140">
        <f>IF(Facturacion!N109="","",Facturacion!N109)</f>
        <v/>
      </c>
      <c r="E110" s="139">
        <f>IF(Facturacion!S109="","",Facturacion!S109)</f>
        <v/>
      </c>
      <c r="F110" s="138">
        <f>IF(Facturacion!T109="","",Facturacion!T109)</f>
        <v/>
      </c>
      <c r="G110" s="141">
        <f>IF(Facturacion!A109="","",IF(Facturacion!T109&lt;&gt;"",Facturacion!T109-Facturacion!A109,TODAY()-Facturacion!A109))</f>
        <v/>
      </c>
      <c r="H110" s="139">
        <f>IF(Facturacion!O109="","",Facturacion!O109)</f>
        <v/>
      </c>
      <c r="I110" s="140">
        <f>IF(Facturacion!U109="","",Facturacion!U109)</f>
        <v/>
      </c>
    </row>
    <row r="111" ht="15" customHeight="1" s="83">
      <c r="A111" s="138">
        <f>IF(Facturacion!A110="","",Facturacion!A110)</f>
        <v/>
      </c>
      <c r="B111" s="139">
        <f>IF(Facturacion!E110="","",Facturacion!E110)</f>
        <v/>
      </c>
      <c r="C111" s="139">
        <f>IF(Facturacion!G110="","",Facturacion!G110)</f>
        <v/>
      </c>
      <c r="D111" s="140">
        <f>IF(Facturacion!N110="","",Facturacion!N110)</f>
        <v/>
      </c>
      <c r="E111" s="139">
        <f>IF(Facturacion!S110="","",Facturacion!S110)</f>
        <v/>
      </c>
      <c r="F111" s="138">
        <f>IF(Facturacion!T110="","",Facturacion!T110)</f>
        <v/>
      </c>
      <c r="G111" s="141">
        <f>IF(Facturacion!A110="","",IF(Facturacion!T110&lt;&gt;"",Facturacion!T110-Facturacion!A110,TODAY()-Facturacion!A110))</f>
        <v/>
      </c>
      <c r="H111" s="139">
        <f>IF(Facturacion!O110="","",Facturacion!O110)</f>
        <v/>
      </c>
      <c r="I111" s="140">
        <f>IF(Facturacion!U110="","",Facturacion!U110)</f>
        <v/>
      </c>
    </row>
    <row r="112" ht="15" customHeight="1" s="83">
      <c r="A112" s="138">
        <f>IF(Facturacion!A111="","",Facturacion!A111)</f>
        <v/>
      </c>
      <c r="B112" s="139">
        <f>IF(Facturacion!E111="","",Facturacion!E111)</f>
        <v/>
      </c>
      <c r="C112" s="139">
        <f>IF(Facturacion!G111="","",Facturacion!G111)</f>
        <v/>
      </c>
      <c r="D112" s="140">
        <f>IF(Facturacion!N111="","",Facturacion!N111)</f>
        <v/>
      </c>
      <c r="E112" s="139">
        <f>IF(Facturacion!S111="","",Facturacion!S111)</f>
        <v/>
      </c>
      <c r="F112" s="138">
        <f>IF(Facturacion!T111="","",Facturacion!T111)</f>
        <v/>
      </c>
      <c r="G112" s="141">
        <f>IF(Facturacion!A111="","",IF(Facturacion!T111&lt;&gt;"",Facturacion!T111-Facturacion!A111,TODAY()-Facturacion!A111))</f>
        <v/>
      </c>
      <c r="H112" s="139">
        <f>IF(Facturacion!O111="","",Facturacion!O111)</f>
        <v/>
      </c>
      <c r="I112" s="140">
        <f>IF(Facturacion!U111="","",Facturacion!U111)</f>
        <v/>
      </c>
    </row>
    <row r="113" ht="15" customHeight="1" s="83">
      <c r="A113" s="138">
        <f>IF(Facturacion!A112="","",Facturacion!A112)</f>
        <v/>
      </c>
      <c r="B113" s="139">
        <f>IF(Facturacion!E112="","",Facturacion!E112)</f>
        <v/>
      </c>
      <c r="C113" s="139">
        <f>IF(Facturacion!G112="","",Facturacion!G112)</f>
        <v/>
      </c>
      <c r="D113" s="140">
        <f>IF(Facturacion!N112="","",Facturacion!N112)</f>
        <v/>
      </c>
      <c r="E113" s="139">
        <f>IF(Facturacion!S112="","",Facturacion!S112)</f>
        <v/>
      </c>
      <c r="F113" s="138">
        <f>IF(Facturacion!T112="","",Facturacion!T112)</f>
        <v/>
      </c>
      <c r="G113" s="141">
        <f>IF(Facturacion!A112="","",IF(Facturacion!T112&lt;&gt;"",Facturacion!T112-Facturacion!A112,TODAY()-Facturacion!A112))</f>
        <v/>
      </c>
      <c r="H113" s="139">
        <f>IF(Facturacion!O112="","",Facturacion!O112)</f>
        <v/>
      </c>
      <c r="I113" s="140">
        <f>IF(Facturacion!U112="","",Facturacion!U112)</f>
        <v/>
      </c>
    </row>
    <row r="114" ht="15" customHeight="1" s="83">
      <c r="A114" s="138">
        <f>IF(Facturacion!A113="","",Facturacion!A113)</f>
        <v/>
      </c>
      <c r="B114" s="139">
        <f>IF(Facturacion!E113="","",Facturacion!E113)</f>
        <v/>
      </c>
      <c r="C114" s="139">
        <f>IF(Facturacion!G113="","",Facturacion!G113)</f>
        <v/>
      </c>
      <c r="D114" s="140">
        <f>IF(Facturacion!N113="","",Facturacion!N113)</f>
        <v/>
      </c>
      <c r="E114" s="139">
        <f>IF(Facturacion!S113="","",Facturacion!S113)</f>
        <v/>
      </c>
      <c r="F114" s="138">
        <f>IF(Facturacion!T113="","",Facturacion!T113)</f>
        <v/>
      </c>
      <c r="G114" s="141">
        <f>IF(Facturacion!A113="","",IF(Facturacion!T113&lt;&gt;"",Facturacion!T113-Facturacion!A113,TODAY()-Facturacion!A113))</f>
        <v/>
      </c>
      <c r="H114" s="139">
        <f>IF(Facturacion!O113="","",Facturacion!O113)</f>
        <v/>
      </c>
      <c r="I114" s="140">
        <f>IF(Facturacion!U113="","",Facturacion!U113)</f>
        <v/>
      </c>
    </row>
    <row r="115" ht="15" customHeight="1" s="83">
      <c r="A115" s="138">
        <f>IF(Facturacion!A114="","",Facturacion!A114)</f>
        <v/>
      </c>
      <c r="B115" s="139">
        <f>IF(Facturacion!E114="","",Facturacion!E114)</f>
        <v/>
      </c>
      <c r="C115" s="139">
        <f>IF(Facturacion!G114="","",Facturacion!G114)</f>
        <v/>
      </c>
      <c r="D115" s="140">
        <f>IF(Facturacion!N114="","",Facturacion!N114)</f>
        <v/>
      </c>
      <c r="E115" s="139">
        <f>IF(Facturacion!S114="","",Facturacion!S114)</f>
        <v/>
      </c>
      <c r="F115" s="138">
        <f>IF(Facturacion!T114="","",Facturacion!T114)</f>
        <v/>
      </c>
      <c r="G115" s="141">
        <f>IF(Facturacion!A114="","",IF(Facturacion!T114&lt;&gt;"",Facturacion!T114-Facturacion!A114,TODAY()-Facturacion!A114))</f>
        <v/>
      </c>
      <c r="H115" s="139">
        <f>IF(Facturacion!O114="","",Facturacion!O114)</f>
        <v/>
      </c>
      <c r="I115" s="140">
        <f>IF(Facturacion!U114="","",Facturacion!U114)</f>
        <v/>
      </c>
    </row>
    <row r="116" ht="15" customHeight="1" s="83">
      <c r="A116" s="138">
        <f>IF(Facturacion!A115="","",Facturacion!A115)</f>
        <v/>
      </c>
      <c r="B116" s="139">
        <f>IF(Facturacion!E115="","",Facturacion!E115)</f>
        <v/>
      </c>
      <c r="C116" s="139">
        <f>IF(Facturacion!G115="","",Facturacion!G115)</f>
        <v/>
      </c>
      <c r="D116" s="140">
        <f>IF(Facturacion!N115="","",Facturacion!N115)</f>
        <v/>
      </c>
      <c r="E116" s="139">
        <f>IF(Facturacion!S115="","",Facturacion!S115)</f>
        <v/>
      </c>
      <c r="F116" s="138">
        <f>IF(Facturacion!T115="","",Facturacion!T115)</f>
        <v/>
      </c>
      <c r="G116" s="141">
        <f>IF(Facturacion!A115="","",IF(Facturacion!T115&lt;&gt;"",Facturacion!T115-Facturacion!A115,TODAY()-Facturacion!A115))</f>
        <v/>
      </c>
      <c r="H116" s="139">
        <f>IF(Facturacion!O115="","",Facturacion!O115)</f>
        <v/>
      </c>
      <c r="I116" s="140">
        <f>IF(Facturacion!U115="","",Facturacion!U115)</f>
        <v/>
      </c>
    </row>
    <row r="117" ht="15" customHeight="1" s="83">
      <c r="A117" s="138">
        <f>IF(Facturacion!A116="","",Facturacion!A116)</f>
        <v/>
      </c>
      <c r="B117" s="139">
        <f>IF(Facturacion!E116="","",Facturacion!E116)</f>
        <v/>
      </c>
      <c r="C117" s="139">
        <f>IF(Facturacion!G116="","",Facturacion!G116)</f>
        <v/>
      </c>
      <c r="D117" s="140">
        <f>IF(Facturacion!N116="","",Facturacion!N116)</f>
        <v/>
      </c>
      <c r="E117" s="139">
        <f>IF(Facturacion!S116="","",Facturacion!S116)</f>
        <v/>
      </c>
      <c r="F117" s="138">
        <f>IF(Facturacion!T116="","",Facturacion!T116)</f>
        <v/>
      </c>
      <c r="G117" s="141">
        <f>IF(Facturacion!A116="","",IF(Facturacion!T116&lt;&gt;"",Facturacion!T116-Facturacion!A116,TODAY()-Facturacion!A116))</f>
        <v/>
      </c>
      <c r="H117" s="139">
        <f>IF(Facturacion!O116="","",Facturacion!O116)</f>
        <v/>
      </c>
      <c r="I117" s="140">
        <f>IF(Facturacion!U116="","",Facturacion!U116)</f>
        <v/>
      </c>
    </row>
    <row r="118" ht="15" customHeight="1" s="83">
      <c r="A118" s="138">
        <f>IF(Facturacion!A117="","",Facturacion!A117)</f>
        <v/>
      </c>
      <c r="B118" s="139">
        <f>IF(Facturacion!E117="","",Facturacion!E117)</f>
        <v/>
      </c>
      <c r="C118" s="139">
        <f>IF(Facturacion!G117="","",Facturacion!G117)</f>
        <v/>
      </c>
      <c r="D118" s="140">
        <f>IF(Facturacion!N117="","",Facturacion!N117)</f>
        <v/>
      </c>
      <c r="E118" s="139">
        <f>IF(Facturacion!S117="","",Facturacion!S117)</f>
        <v/>
      </c>
      <c r="F118" s="138">
        <f>IF(Facturacion!T117="","",Facturacion!T117)</f>
        <v/>
      </c>
      <c r="G118" s="141">
        <f>IF(Facturacion!A117="","",IF(Facturacion!T117&lt;&gt;"",Facturacion!T117-Facturacion!A117,TODAY()-Facturacion!A117))</f>
        <v/>
      </c>
      <c r="H118" s="139">
        <f>IF(Facturacion!O117="","",Facturacion!O117)</f>
        <v/>
      </c>
      <c r="I118" s="140">
        <f>IF(Facturacion!U117="","",Facturacion!U117)</f>
        <v/>
      </c>
    </row>
    <row r="119" ht="15" customHeight="1" s="83">
      <c r="A119" s="138">
        <f>IF(Facturacion!A118="","",Facturacion!A118)</f>
        <v/>
      </c>
      <c r="B119" s="139">
        <f>IF(Facturacion!E118="","",Facturacion!E118)</f>
        <v/>
      </c>
      <c r="C119" s="139">
        <f>IF(Facturacion!G118="","",Facturacion!G118)</f>
        <v/>
      </c>
      <c r="D119" s="140">
        <f>IF(Facturacion!N118="","",Facturacion!N118)</f>
        <v/>
      </c>
      <c r="E119" s="139">
        <f>IF(Facturacion!S118="","",Facturacion!S118)</f>
        <v/>
      </c>
      <c r="F119" s="138">
        <f>IF(Facturacion!T118="","",Facturacion!T118)</f>
        <v/>
      </c>
      <c r="G119" s="141">
        <f>IF(Facturacion!A118="","",IF(Facturacion!T118&lt;&gt;"",Facturacion!T118-Facturacion!A118,TODAY()-Facturacion!A118))</f>
        <v/>
      </c>
      <c r="H119" s="139">
        <f>IF(Facturacion!O118="","",Facturacion!O118)</f>
        <v/>
      </c>
      <c r="I119" s="140">
        <f>IF(Facturacion!U118="","",Facturacion!U118)</f>
        <v/>
      </c>
    </row>
    <row r="120" ht="15" customHeight="1" s="83">
      <c r="A120" s="138">
        <f>IF(Facturacion!A119="","",Facturacion!A119)</f>
        <v/>
      </c>
      <c r="B120" s="139">
        <f>IF(Facturacion!E119="","",Facturacion!E119)</f>
        <v/>
      </c>
      <c r="C120" s="139">
        <f>IF(Facturacion!G119="","",Facturacion!G119)</f>
        <v/>
      </c>
      <c r="D120" s="140">
        <f>IF(Facturacion!N119="","",Facturacion!N119)</f>
        <v/>
      </c>
      <c r="E120" s="139">
        <f>IF(Facturacion!S119="","",Facturacion!S119)</f>
        <v/>
      </c>
      <c r="F120" s="138">
        <f>IF(Facturacion!T119="","",Facturacion!T119)</f>
        <v/>
      </c>
      <c r="G120" s="141">
        <f>IF(Facturacion!A119="","",IF(Facturacion!T119&lt;&gt;"",Facturacion!T119-Facturacion!A119,TODAY()-Facturacion!A119))</f>
        <v/>
      </c>
      <c r="H120" s="139">
        <f>IF(Facturacion!O119="","",Facturacion!O119)</f>
        <v/>
      </c>
      <c r="I120" s="140">
        <f>IF(Facturacion!U119="","",Facturacion!U119)</f>
        <v/>
      </c>
    </row>
    <row r="121" ht="15" customHeight="1" s="83">
      <c r="A121" s="138">
        <f>IF(Facturacion!A120="","",Facturacion!A120)</f>
        <v/>
      </c>
      <c r="B121" s="139">
        <f>IF(Facturacion!E120="","",Facturacion!E120)</f>
        <v/>
      </c>
      <c r="C121" s="139">
        <f>IF(Facturacion!G120="","",Facturacion!G120)</f>
        <v/>
      </c>
      <c r="D121" s="140">
        <f>IF(Facturacion!N120="","",Facturacion!N120)</f>
        <v/>
      </c>
      <c r="E121" s="139">
        <f>IF(Facturacion!S120="","",Facturacion!S120)</f>
        <v/>
      </c>
      <c r="F121" s="138">
        <f>IF(Facturacion!T120="","",Facturacion!T120)</f>
        <v/>
      </c>
      <c r="G121" s="141">
        <f>IF(Facturacion!A120="","",IF(Facturacion!T120&lt;&gt;"",Facturacion!T120-Facturacion!A120,TODAY()-Facturacion!A120))</f>
        <v/>
      </c>
      <c r="H121" s="139">
        <f>IF(Facturacion!O120="","",Facturacion!O120)</f>
        <v/>
      </c>
      <c r="I121" s="140">
        <f>IF(Facturacion!U120="","",Facturacion!U120)</f>
        <v/>
      </c>
    </row>
    <row r="122" ht="15" customHeight="1" s="83">
      <c r="A122" s="138">
        <f>IF(Facturacion!A121="","",Facturacion!A121)</f>
        <v/>
      </c>
      <c r="B122" s="139">
        <f>IF(Facturacion!E121="","",Facturacion!E121)</f>
        <v/>
      </c>
      <c r="C122" s="139">
        <f>IF(Facturacion!G121="","",Facturacion!G121)</f>
        <v/>
      </c>
      <c r="D122" s="140">
        <f>IF(Facturacion!N121="","",Facturacion!N121)</f>
        <v/>
      </c>
      <c r="E122" s="139">
        <f>IF(Facturacion!S121="","",Facturacion!S121)</f>
        <v/>
      </c>
      <c r="F122" s="138">
        <f>IF(Facturacion!T121="","",Facturacion!T121)</f>
        <v/>
      </c>
      <c r="G122" s="141">
        <f>IF(Facturacion!A121="","",IF(Facturacion!T121&lt;&gt;"",Facturacion!T121-Facturacion!A121,TODAY()-Facturacion!A121))</f>
        <v/>
      </c>
      <c r="H122" s="139">
        <f>IF(Facturacion!O121="","",Facturacion!O121)</f>
        <v/>
      </c>
      <c r="I122" s="140">
        <f>IF(Facturacion!U121="","",Facturacion!U121)</f>
        <v/>
      </c>
    </row>
    <row r="123" ht="15" customHeight="1" s="83">
      <c r="A123" s="138">
        <f>IF(Facturacion!A122="","",Facturacion!A122)</f>
        <v/>
      </c>
      <c r="B123" s="139">
        <f>IF(Facturacion!E122="","",Facturacion!E122)</f>
        <v/>
      </c>
      <c r="C123" s="139">
        <f>IF(Facturacion!G122="","",Facturacion!G122)</f>
        <v/>
      </c>
      <c r="D123" s="140">
        <f>IF(Facturacion!N122="","",Facturacion!N122)</f>
        <v/>
      </c>
      <c r="E123" s="139">
        <f>IF(Facturacion!S122="","",Facturacion!S122)</f>
        <v/>
      </c>
      <c r="F123" s="138">
        <f>IF(Facturacion!T122="","",Facturacion!T122)</f>
        <v/>
      </c>
      <c r="G123" s="141">
        <f>IF(Facturacion!A122="","",IF(Facturacion!T122&lt;&gt;"",Facturacion!T122-Facturacion!A122,TODAY()-Facturacion!A122))</f>
        <v/>
      </c>
      <c r="H123" s="139">
        <f>IF(Facturacion!O122="","",Facturacion!O122)</f>
        <v/>
      </c>
      <c r="I123" s="140">
        <f>IF(Facturacion!U122="","",Facturacion!U122)</f>
        <v/>
      </c>
    </row>
    <row r="124" ht="15" customHeight="1" s="83">
      <c r="A124" s="138">
        <f>IF(Facturacion!A123="","",Facturacion!A123)</f>
        <v/>
      </c>
      <c r="B124" s="139">
        <f>IF(Facturacion!E123="","",Facturacion!E123)</f>
        <v/>
      </c>
      <c r="C124" s="139">
        <f>IF(Facturacion!G123="","",Facturacion!G123)</f>
        <v/>
      </c>
      <c r="D124" s="140">
        <f>IF(Facturacion!N123="","",Facturacion!N123)</f>
        <v/>
      </c>
      <c r="E124" s="139">
        <f>IF(Facturacion!S123="","",Facturacion!S123)</f>
        <v/>
      </c>
      <c r="F124" s="138">
        <f>IF(Facturacion!T123="","",Facturacion!T123)</f>
        <v/>
      </c>
      <c r="G124" s="141">
        <f>IF(Facturacion!A123="","",IF(Facturacion!T123&lt;&gt;"",Facturacion!T123-Facturacion!A123,TODAY()-Facturacion!A123))</f>
        <v/>
      </c>
      <c r="H124" s="139">
        <f>IF(Facturacion!O123="","",Facturacion!O123)</f>
        <v/>
      </c>
      <c r="I124" s="140">
        <f>IF(Facturacion!U123="","",Facturacion!U123)</f>
        <v/>
      </c>
    </row>
    <row r="125" ht="15" customHeight="1" s="83">
      <c r="A125" s="138">
        <f>IF(Facturacion!A124="","",Facturacion!A124)</f>
        <v/>
      </c>
      <c r="B125" s="139">
        <f>IF(Facturacion!E124="","",Facturacion!E124)</f>
        <v/>
      </c>
      <c r="C125" s="139">
        <f>IF(Facturacion!G124="","",Facturacion!G124)</f>
        <v/>
      </c>
      <c r="D125" s="140">
        <f>IF(Facturacion!N124="","",Facturacion!N124)</f>
        <v/>
      </c>
      <c r="E125" s="139">
        <f>IF(Facturacion!S124="","",Facturacion!S124)</f>
        <v/>
      </c>
      <c r="F125" s="138">
        <f>IF(Facturacion!T124="","",Facturacion!T124)</f>
        <v/>
      </c>
      <c r="G125" s="141">
        <f>IF(Facturacion!A124="","",IF(Facturacion!T124&lt;&gt;"",Facturacion!T124-Facturacion!A124,TODAY()-Facturacion!A124))</f>
        <v/>
      </c>
      <c r="H125" s="139">
        <f>IF(Facturacion!O124="","",Facturacion!O124)</f>
        <v/>
      </c>
      <c r="I125" s="140">
        <f>IF(Facturacion!U124="","",Facturacion!U124)</f>
        <v/>
      </c>
    </row>
    <row r="126" ht="15" customHeight="1" s="83">
      <c r="A126" s="138">
        <f>IF(Facturacion!A125="","",Facturacion!A125)</f>
        <v/>
      </c>
      <c r="B126" s="139">
        <f>IF(Facturacion!E125="","",Facturacion!E125)</f>
        <v/>
      </c>
      <c r="C126" s="139">
        <f>IF(Facturacion!G125="","",Facturacion!G125)</f>
        <v/>
      </c>
      <c r="D126" s="140">
        <f>IF(Facturacion!N125="","",Facturacion!N125)</f>
        <v/>
      </c>
      <c r="E126" s="139">
        <f>IF(Facturacion!S125="","",Facturacion!S125)</f>
        <v/>
      </c>
      <c r="F126" s="138">
        <f>IF(Facturacion!T125="","",Facturacion!T125)</f>
        <v/>
      </c>
      <c r="G126" s="141">
        <f>IF(Facturacion!A125="","",IF(Facturacion!T125&lt;&gt;"",Facturacion!T125-Facturacion!A125,TODAY()-Facturacion!A125))</f>
        <v/>
      </c>
      <c r="H126" s="139">
        <f>IF(Facturacion!O125="","",Facturacion!O125)</f>
        <v/>
      </c>
      <c r="I126" s="140">
        <f>IF(Facturacion!U125="","",Facturacion!U125)</f>
        <v/>
      </c>
    </row>
    <row r="127" ht="15" customHeight="1" s="83">
      <c r="A127" s="138">
        <f>IF(Facturacion!A126="","",Facturacion!A126)</f>
        <v/>
      </c>
      <c r="B127" s="139">
        <f>IF(Facturacion!E126="","",Facturacion!E126)</f>
        <v/>
      </c>
      <c r="C127" s="139">
        <f>IF(Facturacion!G126="","",Facturacion!G126)</f>
        <v/>
      </c>
      <c r="D127" s="140">
        <f>IF(Facturacion!N126="","",Facturacion!N126)</f>
        <v/>
      </c>
      <c r="E127" s="139">
        <f>IF(Facturacion!S126="","",Facturacion!S126)</f>
        <v/>
      </c>
      <c r="F127" s="138">
        <f>IF(Facturacion!T126="","",Facturacion!T126)</f>
        <v/>
      </c>
      <c r="G127" s="141">
        <f>IF(Facturacion!A126="","",IF(Facturacion!T126&lt;&gt;"",Facturacion!T126-Facturacion!A126,TODAY()-Facturacion!A126))</f>
        <v/>
      </c>
      <c r="H127" s="139">
        <f>IF(Facturacion!O126="","",Facturacion!O126)</f>
        <v/>
      </c>
      <c r="I127" s="140">
        <f>IF(Facturacion!U126="","",Facturacion!U126)</f>
        <v/>
      </c>
    </row>
    <row r="128" ht="15" customHeight="1" s="83">
      <c r="A128" s="138">
        <f>IF(Facturacion!A127="","",Facturacion!A127)</f>
        <v/>
      </c>
      <c r="B128" s="139">
        <f>IF(Facturacion!E127="","",Facturacion!E127)</f>
        <v/>
      </c>
      <c r="C128" s="139">
        <f>IF(Facturacion!G127="","",Facturacion!G127)</f>
        <v/>
      </c>
      <c r="D128" s="140">
        <f>IF(Facturacion!N127="","",Facturacion!N127)</f>
        <v/>
      </c>
      <c r="E128" s="139">
        <f>IF(Facturacion!S127="","",Facturacion!S127)</f>
        <v/>
      </c>
      <c r="F128" s="138">
        <f>IF(Facturacion!T127="","",Facturacion!T127)</f>
        <v/>
      </c>
      <c r="G128" s="141">
        <f>IF(Facturacion!A127="","",IF(Facturacion!T127&lt;&gt;"",Facturacion!T127-Facturacion!A127,TODAY()-Facturacion!A127))</f>
        <v/>
      </c>
      <c r="H128" s="139">
        <f>IF(Facturacion!O127="","",Facturacion!O127)</f>
        <v/>
      </c>
      <c r="I128" s="140">
        <f>IF(Facturacion!U127="","",Facturacion!U127)</f>
        <v/>
      </c>
    </row>
    <row r="129" ht="15" customHeight="1" s="83">
      <c r="A129" s="138">
        <f>IF(Facturacion!A128="","",Facturacion!A128)</f>
        <v/>
      </c>
      <c r="B129" s="139">
        <f>IF(Facturacion!E128="","",Facturacion!E128)</f>
        <v/>
      </c>
      <c r="C129" s="139">
        <f>IF(Facturacion!G128="","",Facturacion!G128)</f>
        <v/>
      </c>
      <c r="D129" s="140">
        <f>IF(Facturacion!N128="","",Facturacion!N128)</f>
        <v/>
      </c>
      <c r="E129" s="139">
        <f>IF(Facturacion!S128="","",Facturacion!S128)</f>
        <v/>
      </c>
      <c r="F129" s="138">
        <f>IF(Facturacion!T128="","",Facturacion!T128)</f>
        <v/>
      </c>
      <c r="G129" s="141">
        <f>IF(Facturacion!A128="","",IF(Facturacion!T128&lt;&gt;"",Facturacion!T128-Facturacion!A128,TODAY()-Facturacion!A128))</f>
        <v/>
      </c>
      <c r="H129" s="139">
        <f>IF(Facturacion!O128="","",Facturacion!O128)</f>
        <v/>
      </c>
      <c r="I129" s="140">
        <f>IF(Facturacion!U128="","",Facturacion!U128)</f>
        <v/>
      </c>
    </row>
    <row r="130" ht="15" customHeight="1" s="83">
      <c r="A130" s="138">
        <f>IF(Facturacion!A129="","",Facturacion!A129)</f>
        <v/>
      </c>
      <c r="B130" s="139">
        <f>IF(Facturacion!E129="","",Facturacion!E129)</f>
        <v/>
      </c>
      <c r="C130" s="139">
        <f>IF(Facturacion!G129="","",Facturacion!G129)</f>
        <v/>
      </c>
      <c r="D130" s="140">
        <f>IF(Facturacion!N129="","",Facturacion!N129)</f>
        <v/>
      </c>
      <c r="E130" s="139">
        <f>IF(Facturacion!S129="","",Facturacion!S129)</f>
        <v/>
      </c>
      <c r="F130" s="138">
        <f>IF(Facturacion!T129="","",Facturacion!T129)</f>
        <v/>
      </c>
      <c r="G130" s="141">
        <f>IF(Facturacion!A129="","",IF(Facturacion!T129&lt;&gt;"",Facturacion!T129-Facturacion!A129,TODAY()-Facturacion!A129))</f>
        <v/>
      </c>
      <c r="H130" s="139">
        <f>IF(Facturacion!O129="","",Facturacion!O129)</f>
        <v/>
      </c>
      <c r="I130" s="140">
        <f>IF(Facturacion!U129="","",Facturacion!U129)</f>
        <v/>
      </c>
    </row>
    <row r="131" ht="15" customHeight="1" s="83">
      <c r="A131" s="138">
        <f>IF(Facturacion!A130="","",Facturacion!A130)</f>
        <v/>
      </c>
      <c r="B131" s="139">
        <f>IF(Facturacion!E130="","",Facturacion!E130)</f>
        <v/>
      </c>
      <c r="C131" s="139">
        <f>IF(Facturacion!G130="","",Facturacion!G130)</f>
        <v/>
      </c>
      <c r="D131" s="140">
        <f>IF(Facturacion!N130="","",Facturacion!N130)</f>
        <v/>
      </c>
      <c r="E131" s="139">
        <f>IF(Facturacion!S130="","",Facturacion!S130)</f>
        <v/>
      </c>
      <c r="F131" s="138">
        <f>IF(Facturacion!T130="","",Facturacion!T130)</f>
        <v/>
      </c>
      <c r="G131" s="141">
        <f>IF(Facturacion!A130="","",IF(Facturacion!T130&lt;&gt;"",Facturacion!T130-Facturacion!A130,TODAY()-Facturacion!A130))</f>
        <v/>
      </c>
      <c r="H131" s="139">
        <f>IF(Facturacion!O130="","",Facturacion!O130)</f>
        <v/>
      </c>
      <c r="I131" s="140">
        <f>IF(Facturacion!U130="","",Facturacion!U130)</f>
        <v/>
      </c>
    </row>
    <row r="132" ht="15" customHeight="1" s="83">
      <c r="A132" s="138">
        <f>IF(Facturacion!A131="","",Facturacion!A131)</f>
        <v/>
      </c>
      <c r="B132" s="139">
        <f>IF(Facturacion!E131="","",Facturacion!E131)</f>
        <v/>
      </c>
      <c r="C132" s="139">
        <f>IF(Facturacion!G131="","",Facturacion!G131)</f>
        <v/>
      </c>
      <c r="D132" s="140">
        <f>IF(Facturacion!N131="","",Facturacion!N131)</f>
        <v/>
      </c>
      <c r="E132" s="139">
        <f>IF(Facturacion!S131="","",Facturacion!S131)</f>
        <v/>
      </c>
      <c r="F132" s="138">
        <f>IF(Facturacion!T131="","",Facturacion!T131)</f>
        <v/>
      </c>
      <c r="G132" s="141">
        <f>IF(Facturacion!A131="","",IF(Facturacion!T131&lt;&gt;"",Facturacion!T131-Facturacion!A131,TODAY()-Facturacion!A131))</f>
        <v/>
      </c>
      <c r="H132" s="139">
        <f>IF(Facturacion!O131="","",Facturacion!O131)</f>
        <v/>
      </c>
      <c r="I132" s="140">
        <f>IF(Facturacion!U131="","",Facturacion!U131)</f>
        <v/>
      </c>
    </row>
    <row r="133" ht="15" customHeight="1" s="83">
      <c r="A133" s="138">
        <f>IF(Facturacion!A132="","",Facturacion!A132)</f>
        <v/>
      </c>
      <c r="B133" s="139">
        <f>IF(Facturacion!E132="","",Facturacion!E132)</f>
        <v/>
      </c>
      <c r="C133" s="139">
        <f>IF(Facturacion!G132="","",Facturacion!G132)</f>
        <v/>
      </c>
      <c r="D133" s="140">
        <f>IF(Facturacion!N132="","",Facturacion!N132)</f>
        <v/>
      </c>
      <c r="E133" s="139">
        <f>IF(Facturacion!S132="","",Facturacion!S132)</f>
        <v/>
      </c>
      <c r="F133" s="138">
        <f>IF(Facturacion!T132="","",Facturacion!T132)</f>
        <v/>
      </c>
      <c r="G133" s="141">
        <f>IF(Facturacion!A132="","",IF(Facturacion!T132&lt;&gt;"",Facturacion!T132-Facturacion!A132,TODAY()-Facturacion!A132))</f>
        <v/>
      </c>
      <c r="H133" s="139">
        <f>IF(Facturacion!O132="","",Facturacion!O132)</f>
        <v/>
      </c>
      <c r="I133" s="140">
        <f>IF(Facturacion!U132="","",Facturacion!U132)</f>
        <v/>
      </c>
    </row>
    <row r="134" ht="15" customHeight="1" s="83">
      <c r="A134" s="138">
        <f>IF(Facturacion!A133="","",Facturacion!A133)</f>
        <v/>
      </c>
      <c r="B134" s="139">
        <f>IF(Facturacion!E133="","",Facturacion!E133)</f>
        <v/>
      </c>
      <c r="C134" s="139">
        <f>IF(Facturacion!G133="","",Facturacion!G133)</f>
        <v/>
      </c>
      <c r="D134" s="140">
        <f>IF(Facturacion!N133="","",Facturacion!N133)</f>
        <v/>
      </c>
      <c r="E134" s="139">
        <f>IF(Facturacion!S133="","",Facturacion!S133)</f>
        <v/>
      </c>
      <c r="F134" s="138">
        <f>IF(Facturacion!T133="","",Facturacion!T133)</f>
        <v/>
      </c>
      <c r="G134" s="141">
        <f>IF(Facturacion!A133="","",IF(Facturacion!T133&lt;&gt;"",Facturacion!T133-Facturacion!A133,TODAY()-Facturacion!A133))</f>
        <v/>
      </c>
      <c r="H134" s="139">
        <f>IF(Facturacion!O133="","",Facturacion!O133)</f>
        <v/>
      </c>
      <c r="I134" s="140">
        <f>IF(Facturacion!U133="","",Facturacion!U133)</f>
        <v/>
      </c>
    </row>
    <row r="135" ht="15" customHeight="1" s="83">
      <c r="A135" s="138">
        <f>IF(Facturacion!A134="","",Facturacion!A134)</f>
        <v/>
      </c>
      <c r="B135" s="139">
        <f>IF(Facturacion!E134="","",Facturacion!E134)</f>
        <v/>
      </c>
      <c r="C135" s="139">
        <f>IF(Facturacion!G134="","",Facturacion!G134)</f>
        <v/>
      </c>
      <c r="D135" s="140">
        <f>IF(Facturacion!N134="","",Facturacion!N134)</f>
        <v/>
      </c>
      <c r="E135" s="139">
        <f>IF(Facturacion!S134="","",Facturacion!S134)</f>
        <v/>
      </c>
      <c r="F135" s="138">
        <f>IF(Facturacion!T134="","",Facturacion!T134)</f>
        <v/>
      </c>
      <c r="G135" s="141">
        <f>IF(Facturacion!A134="","",IF(Facturacion!T134&lt;&gt;"",Facturacion!T134-Facturacion!A134,TODAY()-Facturacion!A134))</f>
        <v/>
      </c>
      <c r="H135" s="139">
        <f>IF(Facturacion!O134="","",Facturacion!O134)</f>
        <v/>
      </c>
      <c r="I135" s="140">
        <f>IF(Facturacion!U134="","",Facturacion!U134)</f>
        <v/>
      </c>
    </row>
    <row r="136" ht="15" customHeight="1" s="83">
      <c r="A136" s="138">
        <f>IF(Facturacion!A135="","",Facturacion!A135)</f>
        <v/>
      </c>
      <c r="B136" s="139">
        <f>IF(Facturacion!E135="","",Facturacion!E135)</f>
        <v/>
      </c>
      <c r="C136" s="139">
        <f>IF(Facturacion!G135="","",Facturacion!G135)</f>
        <v/>
      </c>
      <c r="D136" s="140">
        <f>IF(Facturacion!N135="","",Facturacion!N135)</f>
        <v/>
      </c>
      <c r="E136" s="139">
        <f>IF(Facturacion!S135="","",Facturacion!S135)</f>
        <v/>
      </c>
      <c r="F136" s="138">
        <f>IF(Facturacion!T135="","",Facturacion!T135)</f>
        <v/>
      </c>
      <c r="G136" s="141">
        <f>IF(Facturacion!A135="","",IF(Facturacion!T135&lt;&gt;"",Facturacion!T135-Facturacion!A135,TODAY()-Facturacion!A135))</f>
        <v/>
      </c>
      <c r="H136" s="139">
        <f>IF(Facturacion!O135="","",Facturacion!O135)</f>
        <v/>
      </c>
      <c r="I136" s="140">
        <f>IF(Facturacion!U135="","",Facturacion!U135)</f>
        <v/>
      </c>
    </row>
    <row r="137" ht="15" customHeight="1" s="83">
      <c r="A137" s="138">
        <f>IF(Facturacion!A136="","",Facturacion!A136)</f>
        <v/>
      </c>
      <c r="B137" s="139">
        <f>IF(Facturacion!E136="","",Facturacion!E136)</f>
        <v/>
      </c>
      <c r="C137" s="139">
        <f>IF(Facturacion!G136="","",Facturacion!G136)</f>
        <v/>
      </c>
      <c r="D137" s="140">
        <f>IF(Facturacion!N136="","",Facturacion!N136)</f>
        <v/>
      </c>
      <c r="E137" s="139">
        <f>IF(Facturacion!S136="","",Facturacion!S136)</f>
        <v/>
      </c>
      <c r="F137" s="138">
        <f>IF(Facturacion!T136="","",Facturacion!T136)</f>
        <v/>
      </c>
      <c r="G137" s="141">
        <f>IF(Facturacion!A136="","",IF(Facturacion!T136&lt;&gt;"",Facturacion!T136-Facturacion!A136,TODAY()-Facturacion!A136))</f>
        <v/>
      </c>
      <c r="H137" s="139">
        <f>IF(Facturacion!O136="","",Facturacion!O136)</f>
        <v/>
      </c>
      <c r="I137" s="140">
        <f>IF(Facturacion!U136="","",Facturacion!U136)</f>
        <v/>
      </c>
    </row>
    <row r="138" ht="15" customHeight="1" s="83">
      <c r="A138" s="138">
        <f>IF(Facturacion!A137="","",Facturacion!A137)</f>
        <v/>
      </c>
      <c r="B138" s="139">
        <f>IF(Facturacion!E137="","",Facturacion!E137)</f>
        <v/>
      </c>
      <c r="C138" s="139">
        <f>IF(Facturacion!G137="","",Facturacion!G137)</f>
        <v/>
      </c>
      <c r="D138" s="140">
        <f>IF(Facturacion!N137="","",Facturacion!N137)</f>
        <v/>
      </c>
      <c r="E138" s="139">
        <f>IF(Facturacion!S137="","",Facturacion!S137)</f>
        <v/>
      </c>
      <c r="F138" s="138">
        <f>IF(Facturacion!T137="","",Facturacion!T137)</f>
        <v/>
      </c>
      <c r="G138" s="141">
        <f>IF(Facturacion!A137="","",IF(Facturacion!T137&lt;&gt;"",Facturacion!T137-Facturacion!A137,TODAY()-Facturacion!A137))</f>
        <v/>
      </c>
      <c r="H138" s="139">
        <f>IF(Facturacion!O137="","",Facturacion!O137)</f>
        <v/>
      </c>
      <c r="I138" s="140">
        <f>IF(Facturacion!U137="","",Facturacion!U137)</f>
        <v/>
      </c>
    </row>
    <row r="139" ht="15" customHeight="1" s="83">
      <c r="A139" s="138">
        <f>IF(Facturacion!A138="","",Facturacion!A138)</f>
        <v/>
      </c>
      <c r="B139" s="139">
        <f>IF(Facturacion!E138="","",Facturacion!E138)</f>
        <v/>
      </c>
      <c r="C139" s="139">
        <f>IF(Facturacion!G138="","",Facturacion!G138)</f>
        <v/>
      </c>
      <c r="D139" s="140">
        <f>IF(Facturacion!N138="","",Facturacion!N138)</f>
        <v/>
      </c>
      <c r="E139" s="139">
        <f>IF(Facturacion!S138="","",Facturacion!S138)</f>
        <v/>
      </c>
      <c r="F139" s="138">
        <f>IF(Facturacion!T138="","",Facturacion!T138)</f>
        <v/>
      </c>
      <c r="G139" s="141">
        <f>IF(Facturacion!A138="","",IF(Facturacion!T138&lt;&gt;"",Facturacion!T138-Facturacion!A138,TODAY()-Facturacion!A138))</f>
        <v/>
      </c>
      <c r="H139" s="139">
        <f>IF(Facturacion!O138="","",Facturacion!O138)</f>
        <v/>
      </c>
      <c r="I139" s="140">
        <f>IF(Facturacion!U138="","",Facturacion!U138)</f>
        <v/>
      </c>
    </row>
    <row r="140" ht="15" customHeight="1" s="83">
      <c r="A140" s="138">
        <f>IF(Facturacion!A139="","",Facturacion!A139)</f>
        <v/>
      </c>
      <c r="B140" s="139">
        <f>IF(Facturacion!E139="","",Facturacion!E139)</f>
        <v/>
      </c>
      <c r="C140" s="139">
        <f>IF(Facturacion!G139="","",Facturacion!G139)</f>
        <v/>
      </c>
      <c r="D140" s="140">
        <f>IF(Facturacion!N139="","",Facturacion!N139)</f>
        <v/>
      </c>
      <c r="E140" s="139">
        <f>IF(Facturacion!S139="","",Facturacion!S139)</f>
        <v/>
      </c>
      <c r="F140" s="138">
        <f>IF(Facturacion!T139="","",Facturacion!T139)</f>
        <v/>
      </c>
      <c r="G140" s="141">
        <f>IF(Facturacion!A139="","",IF(Facturacion!T139&lt;&gt;"",Facturacion!T139-Facturacion!A139,TODAY()-Facturacion!A139))</f>
        <v/>
      </c>
      <c r="H140" s="139">
        <f>IF(Facturacion!O139="","",Facturacion!O139)</f>
        <v/>
      </c>
      <c r="I140" s="140">
        <f>IF(Facturacion!U139="","",Facturacion!U139)</f>
        <v/>
      </c>
    </row>
    <row r="141" ht="15" customHeight="1" s="83">
      <c r="A141" s="138">
        <f>IF(Facturacion!A140="","",Facturacion!A140)</f>
        <v/>
      </c>
      <c r="B141" s="139">
        <f>IF(Facturacion!E140="","",Facturacion!E140)</f>
        <v/>
      </c>
      <c r="C141" s="139">
        <f>IF(Facturacion!G140="","",Facturacion!G140)</f>
        <v/>
      </c>
      <c r="D141" s="140">
        <f>IF(Facturacion!N140="","",Facturacion!N140)</f>
        <v/>
      </c>
      <c r="E141" s="139">
        <f>IF(Facturacion!S140="","",Facturacion!S140)</f>
        <v/>
      </c>
      <c r="F141" s="138">
        <f>IF(Facturacion!T140="","",Facturacion!T140)</f>
        <v/>
      </c>
      <c r="G141" s="141">
        <f>IF(Facturacion!A140="","",IF(Facturacion!T140&lt;&gt;"",Facturacion!T140-Facturacion!A140,TODAY()-Facturacion!A140))</f>
        <v/>
      </c>
      <c r="H141" s="139">
        <f>IF(Facturacion!O140="","",Facturacion!O140)</f>
        <v/>
      </c>
      <c r="I141" s="140">
        <f>IF(Facturacion!U140="","",Facturacion!U140)</f>
        <v/>
      </c>
    </row>
    <row r="142" ht="15" customHeight="1" s="83">
      <c r="A142" s="138">
        <f>IF(Facturacion!A141="","",Facturacion!A141)</f>
        <v/>
      </c>
      <c r="B142" s="139">
        <f>IF(Facturacion!E141="","",Facturacion!E141)</f>
        <v/>
      </c>
      <c r="C142" s="139">
        <f>IF(Facturacion!G141="","",Facturacion!G141)</f>
        <v/>
      </c>
      <c r="D142" s="140">
        <f>IF(Facturacion!N141="","",Facturacion!N141)</f>
        <v/>
      </c>
      <c r="E142" s="139">
        <f>IF(Facturacion!S141="","",Facturacion!S141)</f>
        <v/>
      </c>
      <c r="F142" s="138">
        <f>IF(Facturacion!T141="","",Facturacion!T141)</f>
        <v/>
      </c>
      <c r="G142" s="141">
        <f>IF(Facturacion!A141="","",IF(Facturacion!T141&lt;&gt;"",Facturacion!T141-Facturacion!A141,TODAY()-Facturacion!A141))</f>
        <v/>
      </c>
      <c r="H142" s="139">
        <f>IF(Facturacion!O141="","",Facturacion!O141)</f>
        <v/>
      </c>
      <c r="I142" s="140">
        <f>IF(Facturacion!U141="","",Facturacion!U141)</f>
        <v/>
      </c>
    </row>
    <row r="143" ht="15" customHeight="1" s="83">
      <c r="A143" s="138">
        <f>IF(Facturacion!A142="","",Facturacion!A142)</f>
        <v/>
      </c>
      <c r="B143" s="139">
        <f>IF(Facturacion!E142="","",Facturacion!E142)</f>
        <v/>
      </c>
      <c r="C143" s="139">
        <f>IF(Facturacion!G142="","",Facturacion!G142)</f>
        <v/>
      </c>
      <c r="D143" s="140">
        <f>IF(Facturacion!N142="","",Facturacion!N142)</f>
        <v/>
      </c>
      <c r="E143" s="139">
        <f>IF(Facturacion!S142="","",Facturacion!S142)</f>
        <v/>
      </c>
      <c r="F143" s="138">
        <f>IF(Facturacion!T142="","",Facturacion!T142)</f>
        <v/>
      </c>
      <c r="G143" s="141">
        <f>IF(Facturacion!A142="","",IF(Facturacion!T142&lt;&gt;"",Facturacion!T142-Facturacion!A142,TODAY()-Facturacion!A142))</f>
        <v/>
      </c>
      <c r="H143" s="139">
        <f>IF(Facturacion!O142="","",Facturacion!O142)</f>
        <v/>
      </c>
      <c r="I143" s="140">
        <f>IF(Facturacion!U142="","",Facturacion!U142)</f>
        <v/>
      </c>
    </row>
    <row r="144" ht="15" customHeight="1" s="83">
      <c r="A144" s="138">
        <f>IF(Facturacion!A143="","",Facturacion!A143)</f>
        <v/>
      </c>
      <c r="B144" s="139">
        <f>IF(Facturacion!E143="","",Facturacion!E143)</f>
        <v/>
      </c>
      <c r="C144" s="139">
        <f>IF(Facturacion!G143="","",Facturacion!G143)</f>
        <v/>
      </c>
      <c r="D144" s="140">
        <f>IF(Facturacion!N143="","",Facturacion!N143)</f>
        <v/>
      </c>
      <c r="E144" s="139">
        <f>IF(Facturacion!S143="","",Facturacion!S143)</f>
        <v/>
      </c>
      <c r="F144" s="138">
        <f>IF(Facturacion!T143="","",Facturacion!T143)</f>
        <v/>
      </c>
      <c r="G144" s="141">
        <f>IF(Facturacion!A143="","",IF(Facturacion!T143&lt;&gt;"",Facturacion!T143-Facturacion!A143,TODAY()-Facturacion!A143))</f>
        <v/>
      </c>
      <c r="H144" s="139">
        <f>IF(Facturacion!O143="","",Facturacion!O143)</f>
        <v/>
      </c>
      <c r="I144" s="140">
        <f>IF(Facturacion!U143="","",Facturacion!U143)</f>
        <v/>
      </c>
    </row>
    <row r="145" ht="15" customHeight="1" s="83">
      <c r="A145" s="138">
        <f>IF(Facturacion!A144="","",Facturacion!A144)</f>
        <v/>
      </c>
      <c r="B145" s="139">
        <f>IF(Facturacion!E144="","",Facturacion!E144)</f>
        <v/>
      </c>
      <c r="C145" s="139">
        <f>IF(Facturacion!G144="","",Facturacion!G144)</f>
        <v/>
      </c>
      <c r="D145" s="140">
        <f>IF(Facturacion!N144="","",Facturacion!N144)</f>
        <v/>
      </c>
      <c r="E145" s="139">
        <f>IF(Facturacion!S144="","",Facturacion!S144)</f>
        <v/>
      </c>
      <c r="F145" s="138">
        <f>IF(Facturacion!T144="","",Facturacion!T144)</f>
        <v/>
      </c>
      <c r="G145" s="141">
        <f>IF(Facturacion!A144="","",IF(Facturacion!T144&lt;&gt;"",Facturacion!T144-Facturacion!A144,TODAY()-Facturacion!A144))</f>
        <v/>
      </c>
      <c r="H145" s="139">
        <f>IF(Facturacion!O144="","",Facturacion!O144)</f>
        <v/>
      </c>
      <c r="I145" s="140">
        <f>IF(Facturacion!U144="","",Facturacion!U144)</f>
        <v/>
      </c>
    </row>
    <row r="146" ht="15" customHeight="1" s="83">
      <c r="A146" s="138">
        <f>IF(Facturacion!A145="","",Facturacion!A145)</f>
        <v/>
      </c>
      <c r="B146" s="139">
        <f>IF(Facturacion!E145="","",Facturacion!E145)</f>
        <v/>
      </c>
      <c r="C146" s="139">
        <f>IF(Facturacion!G145="","",Facturacion!G145)</f>
        <v/>
      </c>
      <c r="D146" s="140">
        <f>IF(Facturacion!N145="","",Facturacion!N145)</f>
        <v/>
      </c>
      <c r="E146" s="139">
        <f>IF(Facturacion!S145="","",Facturacion!S145)</f>
        <v/>
      </c>
      <c r="F146" s="138">
        <f>IF(Facturacion!T145="","",Facturacion!T145)</f>
        <v/>
      </c>
      <c r="G146" s="141">
        <f>IF(Facturacion!A145="","",IF(Facturacion!T145&lt;&gt;"",Facturacion!T145-Facturacion!A145,TODAY()-Facturacion!A145))</f>
        <v/>
      </c>
      <c r="H146" s="139">
        <f>IF(Facturacion!O145="","",Facturacion!O145)</f>
        <v/>
      </c>
      <c r="I146" s="140">
        <f>IF(Facturacion!U145="","",Facturacion!U145)</f>
        <v/>
      </c>
    </row>
    <row r="147" ht="15" customHeight="1" s="83">
      <c r="A147" s="138">
        <f>IF(Facturacion!A146="","",Facturacion!A146)</f>
        <v/>
      </c>
      <c r="B147" s="139">
        <f>IF(Facturacion!E146="","",Facturacion!E146)</f>
        <v/>
      </c>
      <c r="C147" s="139">
        <f>IF(Facturacion!G146="","",Facturacion!G146)</f>
        <v/>
      </c>
      <c r="D147" s="140">
        <f>IF(Facturacion!N146="","",Facturacion!N146)</f>
        <v/>
      </c>
      <c r="E147" s="139">
        <f>IF(Facturacion!S146="","",Facturacion!S146)</f>
        <v/>
      </c>
      <c r="F147" s="138">
        <f>IF(Facturacion!T146="","",Facturacion!T146)</f>
        <v/>
      </c>
      <c r="G147" s="141">
        <f>IF(Facturacion!A146="","",IF(Facturacion!T146&lt;&gt;"",Facturacion!T146-Facturacion!A146,TODAY()-Facturacion!A146))</f>
        <v/>
      </c>
      <c r="H147" s="139">
        <f>IF(Facturacion!O146="","",Facturacion!O146)</f>
        <v/>
      </c>
      <c r="I147" s="140">
        <f>IF(Facturacion!U146="","",Facturacion!U146)</f>
        <v/>
      </c>
    </row>
    <row r="148" ht="15" customHeight="1" s="83">
      <c r="A148" s="138">
        <f>IF(Facturacion!A147="","",Facturacion!A147)</f>
        <v/>
      </c>
      <c r="B148" s="139">
        <f>IF(Facturacion!E147="","",Facturacion!E147)</f>
        <v/>
      </c>
      <c r="C148" s="139">
        <f>IF(Facturacion!G147="","",Facturacion!G147)</f>
        <v/>
      </c>
      <c r="D148" s="140">
        <f>IF(Facturacion!N147="","",Facturacion!N147)</f>
        <v/>
      </c>
      <c r="E148" s="139">
        <f>IF(Facturacion!S147="","",Facturacion!S147)</f>
        <v/>
      </c>
      <c r="F148" s="138">
        <f>IF(Facturacion!T147="","",Facturacion!T147)</f>
        <v/>
      </c>
      <c r="G148" s="141">
        <f>IF(Facturacion!A147="","",IF(Facturacion!T147&lt;&gt;"",Facturacion!T147-Facturacion!A147,TODAY()-Facturacion!A147))</f>
        <v/>
      </c>
      <c r="H148" s="139">
        <f>IF(Facturacion!O147="","",Facturacion!O147)</f>
        <v/>
      </c>
      <c r="I148" s="140">
        <f>IF(Facturacion!U147="","",Facturacion!U147)</f>
        <v/>
      </c>
    </row>
    <row r="149" ht="15" customHeight="1" s="83">
      <c r="A149" s="138">
        <f>IF(Facturacion!A148="","",Facturacion!A148)</f>
        <v/>
      </c>
      <c r="B149" s="139">
        <f>IF(Facturacion!E148="","",Facturacion!E148)</f>
        <v/>
      </c>
      <c r="C149" s="139">
        <f>IF(Facturacion!G148="","",Facturacion!G148)</f>
        <v/>
      </c>
      <c r="D149" s="140">
        <f>IF(Facturacion!N148="","",Facturacion!N148)</f>
        <v/>
      </c>
      <c r="E149" s="139">
        <f>IF(Facturacion!S148="","",Facturacion!S148)</f>
        <v/>
      </c>
      <c r="F149" s="138">
        <f>IF(Facturacion!T148="","",Facturacion!T148)</f>
        <v/>
      </c>
      <c r="G149" s="141">
        <f>IF(Facturacion!A148="","",IF(Facturacion!T148&lt;&gt;"",Facturacion!T148-Facturacion!A148,TODAY()-Facturacion!A148))</f>
        <v/>
      </c>
      <c r="H149" s="139">
        <f>IF(Facturacion!O148="","",Facturacion!O148)</f>
        <v/>
      </c>
      <c r="I149" s="140">
        <f>IF(Facturacion!U148="","",Facturacion!U148)</f>
        <v/>
      </c>
    </row>
    <row r="150" ht="15" customHeight="1" s="83">
      <c r="A150" s="138">
        <f>IF(Facturacion!A149="","",Facturacion!A149)</f>
        <v/>
      </c>
      <c r="B150" s="139">
        <f>IF(Facturacion!E149="","",Facturacion!E149)</f>
        <v/>
      </c>
      <c r="C150" s="139">
        <f>IF(Facturacion!G149="","",Facturacion!G149)</f>
        <v/>
      </c>
      <c r="D150" s="140">
        <f>IF(Facturacion!N149="","",Facturacion!N149)</f>
        <v/>
      </c>
      <c r="E150" s="139">
        <f>IF(Facturacion!S149="","",Facturacion!S149)</f>
        <v/>
      </c>
      <c r="F150" s="138">
        <f>IF(Facturacion!T149="","",Facturacion!T149)</f>
        <v/>
      </c>
      <c r="G150" s="141">
        <f>IF(Facturacion!A149="","",IF(Facturacion!T149&lt;&gt;"",Facturacion!T149-Facturacion!A149,TODAY()-Facturacion!A149))</f>
        <v/>
      </c>
      <c r="H150" s="139">
        <f>IF(Facturacion!O149="","",Facturacion!O149)</f>
        <v/>
      </c>
      <c r="I150" s="140">
        <f>IF(Facturacion!U149="","",Facturacion!U149)</f>
        <v/>
      </c>
    </row>
    <row r="151" ht="15" customHeight="1" s="83">
      <c r="A151" s="138">
        <f>IF(Facturacion!A150="","",Facturacion!A150)</f>
        <v/>
      </c>
      <c r="B151" s="139">
        <f>IF(Facturacion!E150="","",Facturacion!E150)</f>
        <v/>
      </c>
      <c r="C151" s="139">
        <f>IF(Facturacion!G150="","",Facturacion!G150)</f>
        <v/>
      </c>
      <c r="D151" s="140">
        <f>IF(Facturacion!N150="","",Facturacion!N150)</f>
        <v/>
      </c>
      <c r="E151" s="139">
        <f>IF(Facturacion!S150="","",Facturacion!S150)</f>
        <v/>
      </c>
      <c r="F151" s="138">
        <f>IF(Facturacion!T150="","",Facturacion!T150)</f>
        <v/>
      </c>
      <c r="G151" s="141">
        <f>IF(Facturacion!A150="","",IF(Facturacion!T150&lt;&gt;"",Facturacion!T150-Facturacion!A150,TODAY()-Facturacion!A150))</f>
        <v/>
      </c>
      <c r="H151" s="139">
        <f>IF(Facturacion!O150="","",Facturacion!O150)</f>
        <v/>
      </c>
      <c r="I151" s="140">
        <f>IF(Facturacion!U150="","",Facturacion!U150)</f>
        <v/>
      </c>
    </row>
    <row r="152" ht="15" customHeight="1" s="83">
      <c r="A152" s="138">
        <f>IF(Facturacion!A151="","",Facturacion!A151)</f>
        <v/>
      </c>
      <c r="B152" s="139">
        <f>IF(Facturacion!E151="","",Facturacion!E151)</f>
        <v/>
      </c>
      <c r="C152" s="139">
        <f>IF(Facturacion!G151="","",Facturacion!G151)</f>
        <v/>
      </c>
      <c r="D152" s="140">
        <f>IF(Facturacion!N151="","",Facturacion!N151)</f>
        <v/>
      </c>
      <c r="E152" s="139">
        <f>IF(Facturacion!S151="","",Facturacion!S151)</f>
        <v/>
      </c>
      <c r="F152" s="138">
        <f>IF(Facturacion!T151="","",Facturacion!T151)</f>
        <v/>
      </c>
      <c r="G152" s="141">
        <f>IF(Facturacion!A151="","",IF(Facturacion!T151&lt;&gt;"",Facturacion!T151-Facturacion!A151,TODAY()-Facturacion!A151))</f>
        <v/>
      </c>
      <c r="H152" s="139">
        <f>IF(Facturacion!O151="","",Facturacion!O151)</f>
        <v/>
      </c>
      <c r="I152" s="140">
        <f>IF(Facturacion!U151="","",Facturacion!U151)</f>
        <v/>
      </c>
    </row>
    <row r="153" ht="15" customHeight="1" s="83">
      <c r="A153" s="138">
        <f>IF(Facturacion!A152="","",Facturacion!A152)</f>
        <v/>
      </c>
      <c r="B153" s="139">
        <f>IF(Facturacion!E152="","",Facturacion!E152)</f>
        <v/>
      </c>
      <c r="C153" s="139">
        <f>IF(Facturacion!G152="","",Facturacion!G152)</f>
        <v/>
      </c>
      <c r="D153" s="140">
        <f>IF(Facturacion!N152="","",Facturacion!N152)</f>
        <v/>
      </c>
      <c r="E153" s="139">
        <f>IF(Facturacion!S152="","",Facturacion!S152)</f>
        <v/>
      </c>
      <c r="F153" s="138">
        <f>IF(Facturacion!T152="","",Facturacion!T152)</f>
        <v/>
      </c>
      <c r="G153" s="141">
        <f>IF(Facturacion!A152="","",IF(Facturacion!T152&lt;&gt;"",Facturacion!T152-Facturacion!A152,TODAY()-Facturacion!A152))</f>
        <v/>
      </c>
      <c r="H153" s="139">
        <f>IF(Facturacion!O152="","",Facturacion!O152)</f>
        <v/>
      </c>
      <c r="I153" s="140">
        <f>IF(Facturacion!U152="","",Facturacion!U152)</f>
        <v/>
      </c>
    </row>
    <row r="154" ht="15" customHeight="1" s="83">
      <c r="A154" s="138">
        <f>IF(Facturacion!A153="","",Facturacion!A153)</f>
        <v/>
      </c>
      <c r="B154" s="139">
        <f>IF(Facturacion!E153="","",Facturacion!E153)</f>
        <v/>
      </c>
      <c r="C154" s="139">
        <f>IF(Facturacion!G153="","",Facturacion!G153)</f>
        <v/>
      </c>
      <c r="D154" s="140">
        <f>IF(Facturacion!N153="","",Facturacion!N153)</f>
        <v/>
      </c>
      <c r="E154" s="139">
        <f>IF(Facturacion!S153="","",Facturacion!S153)</f>
        <v/>
      </c>
      <c r="F154" s="138">
        <f>IF(Facturacion!T153="","",Facturacion!T153)</f>
        <v/>
      </c>
      <c r="G154" s="141">
        <f>IF(Facturacion!A153="","",IF(Facturacion!T153&lt;&gt;"",Facturacion!T153-Facturacion!A153,TODAY()-Facturacion!A153))</f>
        <v/>
      </c>
      <c r="H154" s="139">
        <f>IF(Facturacion!O153="","",Facturacion!O153)</f>
        <v/>
      </c>
      <c r="I154" s="140">
        <f>IF(Facturacion!U153="","",Facturacion!U153)</f>
        <v/>
      </c>
    </row>
    <row r="155" ht="15" customHeight="1" s="83">
      <c r="A155" s="138">
        <f>IF(Facturacion!A154="","",Facturacion!A154)</f>
        <v/>
      </c>
      <c r="B155" s="139">
        <f>IF(Facturacion!E154="","",Facturacion!E154)</f>
        <v/>
      </c>
      <c r="C155" s="139">
        <f>IF(Facturacion!G154="","",Facturacion!G154)</f>
        <v/>
      </c>
      <c r="D155" s="140">
        <f>IF(Facturacion!N154="","",Facturacion!N154)</f>
        <v/>
      </c>
      <c r="E155" s="139">
        <f>IF(Facturacion!S154="","",Facturacion!S154)</f>
        <v/>
      </c>
      <c r="F155" s="138">
        <f>IF(Facturacion!T154="","",Facturacion!T154)</f>
        <v/>
      </c>
      <c r="G155" s="141">
        <f>IF(Facturacion!A154="","",IF(Facturacion!T154&lt;&gt;"",Facturacion!T154-Facturacion!A154,TODAY()-Facturacion!A154))</f>
        <v/>
      </c>
      <c r="H155" s="139">
        <f>IF(Facturacion!O154="","",Facturacion!O154)</f>
        <v/>
      </c>
      <c r="I155" s="140">
        <f>IF(Facturacion!U154="","",Facturacion!U154)</f>
        <v/>
      </c>
    </row>
    <row r="156" ht="15" customHeight="1" s="83">
      <c r="A156" s="138">
        <f>IF(Facturacion!A155="","",Facturacion!A155)</f>
        <v/>
      </c>
      <c r="B156" s="139">
        <f>IF(Facturacion!E155="","",Facturacion!E155)</f>
        <v/>
      </c>
      <c r="C156" s="139">
        <f>IF(Facturacion!G155="","",Facturacion!G155)</f>
        <v/>
      </c>
      <c r="D156" s="140">
        <f>IF(Facturacion!N155="","",Facturacion!N155)</f>
        <v/>
      </c>
      <c r="E156" s="139">
        <f>IF(Facturacion!S155="","",Facturacion!S155)</f>
        <v/>
      </c>
      <c r="F156" s="138">
        <f>IF(Facturacion!T155="","",Facturacion!T155)</f>
        <v/>
      </c>
      <c r="G156" s="141">
        <f>IF(Facturacion!A155="","",IF(Facturacion!T155&lt;&gt;"",Facturacion!T155-Facturacion!A155,TODAY()-Facturacion!A155))</f>
        <v/>
      </c>
      <c r="H156" s="139">
        <f>IF(Facturacion!O155="","",Facturacion!O155)</f>
        <v/>
      </c>
      <c r="I156" s="140">
        <f>IF(Facturacion!U155="","",Facturacion!U155)</f>
        <v/>
      </c>
    </row>
    <row r="157" ht="15" customHeight="1" s="83">
      <c r="A157" s="138">
        <f>IF(Facturacion!A156="","",Facturacion!A156)</f>
        <v/>
      </c>
      <c r="B157" s="139">
        <f>IF(Facturacion!E156="","",Facturacion!E156)</f>
        <v/>
      </c>
      <c r="C157" s="139">
        <f>IF(Facturacion!G156="","",Facturacion!G156)</f>
        <v/>
      </c>
      <c r="D157" s="140">
        <f>IF(Facturacion!N156="","",Facturacion!N156)</f>
        <v/>
      </c>
      <c r="E157" s="139">
        <f>IF(Facturacion!S156="","",Facturacion!S156)</f>
        <v/>
      </c>
      <c r="F157" s="138">
        <f>IF(Facturacion!T156="","",Facturacion!T156)</f>
        <v/>
      </c>
      <c r="G157" s="141">
        <f>IF(Facturacion!A156="","",IF(Facturacion!T156&lt;&gt;"",Facturacion!T156-Facturacion!A156,TODAY()-Facturacion!A156))</f>
        <v/>
      </c>
      <c r="H157" s="139">
        <f>IF(Facturacion!O156="","",Facturacion!O156)</f>
        <v/>
      </c>
      <c r="I157" s="140">
        <f>IF(Facturacion!U156="","",Facturacion!U156)</f>
        <v/>
      </c>
    </row>
    <row r="158" ht="15" customHeight="1" s="83">
      <c r="A158" s="138">
        <f>IF(Facturacion!A157="","",Facturacion!A157)</f>
        <v/>
      </c>
      <c r="B158" s="139">
        <f>IF(Facturacion!E157="","",Facturacion!E157)</f>
        <v/>
      </c>
      <c r="C158" s="139">
        <f>IF(Facturacion!G157="","",Facturacion!G157)</f>
        <v/>
      </c>
      <c r="D158" s="140">
        <f>IF(Facturacion!N157="","",Facturacion!N157)</f>
        <v/>
      </c>
      <c r="E158" s="139">
        <f>IF(Facturacion!S157="","",Facturacion!S157)</f>
        <v/>
      </c>
      <c r="F158" s="138">
        <f>IF(Facturacion!T157="","",Facturacion!T157)</f>
        <v/>
      </c>
      <c r="G158" s="141">
        <f>IF(Facturacion!A157="","",IF(Facturacion!T157&lt;&gt;"",Facturacion!T157-Facturacion!A157,TODAY()-Facturacion!A157))</f>
        <v/>
      </c>
      <c r="H158" s="139">
        <f>IF(Facturacion!O157="","",Facturacion!O157)</f>
        <v/>
      </c>
      <c r="I158" s="140">
        <f>IF(Facturacion!U157="","",Facturacion!U157)</f>
        <v/>
      </c>
    </row>
    <row r="159" ht="15" customHeight="1" s="83">
      <c r="A159" s="138">
        <f>IF(Facturacion!A158="","",Facturacion!A158)</f>
        <v/>
      </c>
      <c r="B159" s="139">
        <f>IF(Facturacion!E158="","",Facturacion!E158)</f>
        <v/>
      </c>
      <c r="C159" s="139">
        <f>IF(Facturacion!G158="","",Facturacion!G158)</f>
        <v/>
      </c>
      <c r="D159" s="140">
        <f>IF(Facturacion!N158="","",Facturacion!N158)</f>
        <v/>
      </c>
      <c r="E159" s="139">
        <f>IF(Facturacion!S158="","",Facturacion!S158)</f>
        <v/>
      </c>
      <c r="F159" s="138">
        <f>IF(Facturacion!T158="","",Facturacion!T158)</f>
        <v/>
      </c>
      <c r="G159" s="141">
        <f>IF(Facturacion!A158="","",IF(Facturacion!T158&lt;&gt;"",Facturacion!T158-Facturacion!A158,TODAY()-Facturacion!A158))</f>
        <v/>
      </c>
      <c r="H159" s="139">
        <f>IF(Facturacion!O158="","",Facturacion!O158)</f>
        <v/>
      </c>
      <c r="I159" s="140">
        <f>IF(Facturacion!U158="","",Facturacion!U158)</f>
        <v/>
      </c>
    </row>
    <row r="160" ht="15" customHeight="1" s="83">
      <c r="A160" s="138">
        <f>IF(Facturacion!A159="","",Facturacion!A159)</f>
        <v/>
      </c>
      <c r="B160" s="139">
        <f>IF(Facturacion!E159="","",Facturacion!E159)</f>
        <v/>
      </c>
      <c r="C160" s="139">
        <f>IF(Facturacion!G159="","",Facturacion!G159)</f>
        <v/>
      </c>
      <c r="D160" s="140">
        <f>IF(Facturacion!N159="","",Facturacion!N159)</f>
        <v/>
      </c>
      <c r="E160" s="139">
        <f>IF(Facturacion!S159="","",Facturacion!S159)</f>
        <v/>
      </c>
      <c r="F160" s="138">
        <f>IF(Facturacion!T159="","",Facturacion!T159)</f>
        <v/>
      </c>
      <c r="G160" s="141">
        <f>IF(Facturacion!A159="","",IF(Facturacion!T159&lt;&gt;"",Facturacion!T159-Facturacion!A159,TODAY()-Facturacion!A159))</f>
        <v/>
      </c>
      <c r="H160" s="139">
        <f>IF(Facturacion!O159="","",Facturacion!O159)</f>
        <v/>
      </c>
      <c r="I160" s="140">
        <f>IF(Facturacion!U159="","",Facturacion!U159)</f>
        <v/>
      </c>
    </row>
    <row r="161" ht="15" customHeight="1" s="83">
      <c r="A161" s="138">
        <f>IF(Facturacion!A160="","",Facturacion!A160)</f>
        <v/>
      </c>
      <c r="B161" s="139">
        <f>IF(Facturacion!E160="","",Facturacion!E160)</f>
        <v/>
      </c>
      <c r="C161" s="139">
        <f>IF(Facturacion!G160="","",Facturacion!G160)</f>
        <v/>
      </c>
      <c r="D161" s="140">
        <f>IF(Facturacion!N160="","",Facturacion!N160)</f>
        <v/>
      </c>
      <c r="E161" s="139">
        <f>IF(Facturacion!S160="","",Facturacion!S160)</f>
        <v/>
      </c>
      <c r="F161" s="138">
        <f>IF(Facturacion!T160="","",Facturacion!T160)</f>
        <v/>
      </c>
      <c r="G161" s="141">
        <f>IF(Facturacion!A160="","",IF(Facturacion!T160&lt;&gt;"",Facturacion!T160-Facturacion!A160,TODAY()-Facturacion!A160))</f>
        <v/>
      </c>
      <c r="H161" s="139">
        <f>IF(Facturacion!O160="","",Facturacion!O160)</f>
        <v/>
      </c>
      <c r="I161" s="140">
        <f>IF(Facturacion!U160="","",Facturacion!U160)</f>
        <v/>
      </c>
    </row>
    <row r="162" ht="15" customHeight="1" s="83">
      <c r="A162" s="138">
        <f>IF(Facturacion!A161="","",Facturacion!A161)</f>
        <v/>
      </c>
      <c r="B162" s="139">
        <f>IF(Facturacion!E161="","",Facturacion!E161)</f>
        <v/>
      </c>
      <c r="C162" s="139">
        <f>IF(Facturacion!G161="","",Facturacion!G161)</f>
        <v/>
      </c>
      <c r="D162" s="140">
        <f>IF(Facturacion!N161="","",Facturacion!N161)</f>
        <v/>
      </c>
      <c r="E162" s="139">
        <f>IF(Facturacion!S161="","",Facturacion!S161)</f>
        <v/>
      </c>
      <c r="F162" s="138">
        <f>IF(Facturacion!T161="","",Facturacion!T161)</f>
        <v/>
      </c>
      <c r="G162" s="141">
        <f>IF(Facturacion!A161="","",IF(Facturacion!T161&lt;&gt;"",Facturacion!T161-Facturacion!A161,TODAY()-Facturacion!A161))</f>
        <v/>
      </c>
      <c r="H162" s="139">
        <f>IF(Facturacion!O161="","",Facturacion!O161)</f>
        <v/>
      </c>
      <c r="I162" s="140">
        <f>IF(Facturacion!U161="","",Facturacion!U161)</f>
        <v/>
      </c>
    </row>
    <row r="163" ht="15" customHeight="1" s="83">
      <c r="A163" s="138">
        <f>IF(Facturacion!A162="","",Facturacion!A162)</f>
        <v/>
      </c>
      <c r="B163" s="139">
        <f>IF(Facturacion!E162="","",Facturacion!E162)</f>
        <v/>
      </c>
      <c r="C163" s="139">
        <f>IF(Facturacion!G162="","",Facturacion!G162)</f>
        <v/>
      </c>
      <c r="D163" s="140">
        <f>IF(Facturacion!N162="","",Facturacion!N162)</f>
        <v/>
      </c>
      <c r="E163" s="139">
        <f>IF(Facturacion!S162="","",Facturacion!S162)</f>
        <v/>
      </c>
      <c r="F163" s="138">
        <f>IF(Facturacion!T162="","",Facturacion!T162)</f>
        <v/>
      </c>
      <c r="G163" s="141">
        <f>IF(Facturacion!A162="","",IF(Facturacion!T162&lt;&gt;"",Facturacion!T162-Facturacion!A162,TODAY()-Facturacion!A162))</f>
        <v/>
      </c>
      <c r="H163" s="139">
        <f>IF(Facturacion!O162="","",Facturacion!O162)</f>
        <v/>
      </c>
      <c r="I163" s="140">
        <f>IF(Facturacion!U162="","",Facturacion!U162)</f>
        <v/>
      </c>
    </row>
    <row r="164" ht="15" customHeight="1" s="83">
      <c r="A164" s="138">
        <f>IF(Facturacion!A163="","",Facturacion!A163)</f>
        <v/>
      </c>
      <c r="B164" s="139">
        <f>IF(Facturacion!E163="","",Facturacion!E163)</f>
        <v/>
      </c>
      <c r="C164" s="139">
        <f>IF(Facturacion!G163="","",Facturacion!G163)</f>
        <v/>
      </c>
      <c r="D164" s="140">
        <f>IF(Facturacion!N163="","",Facturacion!N163)</f>
        <v/>
      </c>
      <c r="E164" s="139">
        <f>IF(Facturacion!S163="","",Facturacion!S163)</f>
        <v/>
      </c>
      <c r="F164" s="138">
        <f>IF(Facturacion!T163="","",Facturacion!T163)</f>
        <v/>
      </c>
      <c r="G164" s="141">
        <f>IF(Facturacion!A163="","",IF(Facturacion!T163&lt;&gt;"",Facturacion!T163-Facturacion!A163,TODAY()-Facturacion!A163))</f>
        <v/>
      </c>
      <c r="H164" s="139">
        <f>IF(Facturacion!O163="","",Facturacion!O163)</f>
        <v/>
      </c>
      <c r="I164" s="140">
        <f>IF(Facturacion!U163="","",Facturacion!U163)</f>
        <v/>
      </c>
    </row>
    <row r="165" ht="15" customHeight="1" s="83">
      <c r="A165" s="138">
        <f>IF(Facturacion!A164="","",Facturacion!A164)</f>
        <v/>
      </c>
      <c r="B165" s="139">
        <f>IF(Facturacion!E164="","",Facturacion!E164)</f>
        <v/>
      </c>
      <c r="C165" s="139">
        <f>IF(Facturacion!G164="","",Facturacion!G164)</f>
        <v/>
      </c>
      <c r="D165" s="140">
        <f>IF(Facturacion!N164="","",Facturacion!N164)</f>
        <v/>
      </c>
      <c r="E165" s="139">
        <f>IF(Facturacion!S164="","",Facturacion!S164)</f>
        <v/>
      </c>
      <c r="F165" s="138">
        <f>IF(Facturacion!T164="","",Facturacion!T164)</f>
        <v/>
      </c>
      <c r="G165" s="141">
        <f>IF(Facturacion!A164="","",IF(Facturacion!T164&lt;&gt;"",Facturacion!T164-Facturacion!A164,TODAY()-Facturacion!A164))</f>
        <v/>
      </c>
      <c r="H165" s="139">
        <f>IF(Facturacion!O164="","",Facturacion!O164)</f>
        <v/>
      </c>
      <c r="I165" s="140">
        <f>IF(Facturacion!U164="","",Facturacion!U164)</f>
        <v/>
      </c>
    </row>
    <row r="166" ht="15" customHeight="1" s="83">
      <c r="A166" s="138">
        <f>IF(Facturacion!A165="","",Facturacion!A165)</f>
        <v/>
      </c>
      <c r="B166" s="139">
        <f>IF(Facturacion!E165="","",Facturacion!E165)</f>
        <v/>
      </c>
      <c r="C166" s="139">
        <f>IF(Facturacion!G165="","",Facturacion!G165)</f>
        <v/>
      </c>
      <c r="D166" s="140">
        <f>IF(Facturacion!N165="","",Facturacion!N165)</f>
        <v/>
      </c>
      <c r="E166" s="139">
        <f>IF(Facturacion!S165="","",Facturacion!S165)</f>
        <v/>
      </c>
      <c r="F166" s="138">
        <f>IF(Facturacion!T165="","",Facturacion!T165)</f>
        <v/>
      </c>
      <c r="G166" s="141">
        <f>IF(Facturacion!A165="","",IF(Facturacion!T165&lt;&gt;"",Facturacion!T165-Facturacion!A165,TODAY()-Facturacion!A165))</f>
        <v/>
      </c>
      <c r="H166" s="139">
        <f>IF(Facturacion!O165="","",Facturacion!O165)</f>
        <v/>
      </c>
      <c r="I166" s="140">
        <f>IF(Facturacion!U165="","",Facturacion!U165)</f>
        <v/>
      </c>
    </row>
    <row r="167" ht="15" customHeight="1" s="83">
      <c r="A167" s="138">
        <f>IF(Facturacion!A166="","",Facturacion!A166)</f>
        <v/>
      </c>
      <c r="B167" s="139">
        <f>IF(Facturacion!E166="","",Facturacion!E166)</f>
        <v/>
      </c>
      <c r="C167" s="139">
        <f>IF(Facturacion!G166="","",Facturacion!G166)</f>
        <v/>
      </c>
      <c r="D167" s="140">
        <f>IF(Facturacion!N166="","",Facturacion!N166)</f>
        <v/>
      </c>
      <c r="E167" s="139">
        <f>IF(Facturacion!S166="","",Facturacion!S166)</f>
        <v/>
      </c>
      <c r="F167" s="138">
        <f>IF(Facturacion!T166="","",Facturacion!T166)</f>
        <v/>
      </c>
      <c r="G167" s="141">
        <f>IF(Facturacion!A166="","",IF(Facturacion!T166&lt;&gt;"",Facturacion!T166-Facturacion!A166,TODAY()-Facturacion!A166))</f>
        <v/>
      </c>
      <c r="H167" s="139">
        <f>IF(Facturacion!O166="","",Facturacion!O166)</f>
        <v/>
      </c>
      <c r="I167" s="140">
        <f>IF(Facturacion!U166="","",Facturacion!U166)</f>
        <v/>
      </c>
    </row>
    <row r="168" ht="15" customHeight="1" s="83">
      <c r="A168" s="138">
        <f>IF(Facturacion!A167="","",Facturacion!A167)</f>
        <v/>
      </c>
      <c r="B168" s="139">
        <f>IF(Facturacion!E167="","",Facturacion!E167)</f>
        <v/>
      </c>
      <c r="C168" s="139">
        <f>IF(Facturacion!G167="","",Facturacion!G167)</f>
        <v/>
      </c>
      <c r="D168" s="140">
        <f>IF(Facturacion!N167="","",Facturacion!N167)</f>
        <v/>
      </c>
      <c r="E168" s="139">
        <f>IF(Facturacion!S167="","",Facturacion!S167)</f>
        <v/>
      </c>
      <c r="F168" s="138">
        <f>IF(Facturacion!T167="","",Facturacion!T167)</f>
        <v/>
      </c>
      <c r="G168" s="141">
        <f>IF(Facturacion!A167="","",IF(Facturacion!T167&lt;&gt;"",Facturacion!T167-Facturacion!A167,TODAY()-Facturacion!A167))</f>
        <v/>
      </c>
      <c r="H168" s="139">
        <f>IF(Facturacion!O167="","",Facturacion!O167)</f>
        <v/>
      </c>
      <c r="I168" s="140">
        <f>IF(Facturacion!U167="","",Facturacion!U167)</f>
        <v/>
      </c>
    </row>
    <row r="169" ht="15" customHeight="1" s="83">
      <c r="A169" s="138">
        <f>IF(Facturacion!A168="","",Facturacion!A168)</f>
        <v/>
      </c>
      <c r="B169" s="139">
        <f>IF(Facturacion!E168="","",Facturacion!E168)</f>
        <v/>
      </c>
      <c r="C169" s="139">
        <f>IF(Facturacion!G168="","",Facturacion!G168)</f>
        <v/>
      </c>
      <c r="D169" s="140">
        <f>IF(Facturacion!N168="","",Facturacion!N168)</f>
        <v/>
      </c>
      <c r="E169" s="139">
        <f>IF(Facturacion!S168="","",Facturacion!S168)</f>
        <v/>
      </c>
      <c r="F169" s="138">
        <f>IF(Facturacion!T168="","",Facturacion!T168)</f>
        <v/>
      </c>
      <c r="G169" s="141">
        <f>IF(Facturacion!A168="","",IF(Facturacion!T168&lt;&gt;"",Facturacion!T168-Facturacion!A168,TODAY()-Facturacion!A168))</f>
        <v/>
      </c>
      <c r="H169" s="139">
        <f>IF(Facturacion!O168="","",Facturacion!O168)</f>
        <v/>
      </c>
      <c r="I169" s="140">
        <f>IF(Facturacion!U168="","",Facturacion!U168)</f>
        <v/>
      </c>
    </row>
    <row r="170" ht="15" customHeight="1" s="83">
      <c r="A170" s="138">
        <f>IF(Facturacion!A169="","",Facturacion!A169)</f>
        <v/>
      </c>
      <c r="B170" s="139">
        <f>IF(Facturacion!E169="","",Facturacion!E169)</f>
        <v/>
      </c>
      <c r="C170" s="139">
        <f>IF(Facturacion!G169="","",Facturacion!G169)</f>
        <v/>
      </c>
      <c r="D170" s="140">
        <f>IF(Facturacion!N169="","",Facturacion!N169)</f>
        <v/>
      </c>
      <c r="E170" s="139">
        <f>IF(Facturacion!S169="","",Facturacion!S169)</f>
        <v/>
      </c>
      <c r="F170" s="138">
        <f>IF(Facturacion!T169="","",Facturacion!T169)</f>
        <v/>
      </c>
      <c r="G170" s="141">
        <f>IF(Facturacion!A169="","",IF(Facturacion!T169&lt;&gt;"",Facturacion!T169-Facturacion!A169,TODAY()-Facturacion!A169))</f>
        <v/>
      </c>
      <c r="H170" s="139">
        <f>IF(Facturacion!O169="","",Facturacion!O169)</f>
        <v/>
      </c>
      <c r="I170" s="140">
        <f>IF(Facturacion!U169="","",Facturacion!U169)</f>
        <v/>
      </c>
    </row>
    <row r="171" ht="15" customHeight="1" s="83">
      <c r="A171" s="138">
        <f>IF(Facturacion!A170="","",Facturacion!A170)</f>
        <v/>
      </c>
      <c r="B171" s="139">
        <f>IF(Facturacion!E170="","",Facturacion!E170)</f>
        <v/>
      </c>
      <c r="C171" s="139">
        <f>IF(Facturacion!G170="","",Facturacion!G170)</f>
        <v/>
      </c>
      <c r="D171" s="140">
        <f>IF(Facturacion!N170="","",Facturacion!N170)</f>
        <v/>
      </c>
      <c r="E171" s="139">
        <f>IF(Facturacion!S170="","",Facturacion!S170)</f>
        <v/>
      </c>
      <c r="F171" s="138">
        <f>IF(Facturacion!T170="","",Facturacion!T170)</f>
        <v/>
      </c>
      <c r="G171" s="141">
        <f>IF(Facturacion!A170="","",IF(Facturacion!T170&lt;&gt;"",Facturacion!T170-Facturacion!A170,TODAY()-Facturacion!A170))</f>
        <v/>
      </c>
      <c r="H171" s="139">
        <f>IF(Facturacion!O170="","",Facturacion!O170)</f>
        <v/>
      </c>
      <c r="I171" s="140">
        <f>IF(Facturacion!U170="","",Facturacion!U170)</f>
        <v/>
      </c>
    </row>
    <row r="172" ht="15" customHeight="1" s="83">
      <c r="A172" s="138">
        <f>IF(Facturacion!A171="","",Facturacion!A171)</f>
        <v/>
      </c>
      <c r="B172" s="139">
        <f>IF(Facturacion!E171="","",Facturacion!E171)</f>
        <v/>
      </c>
      <c r="C172" s="139">
        <f>IF(Facturacion!G171="","",Facturacion!G171)</f>
        <v/>
      </c>
      <c r="D172" s="140">
        <f>IF(Facturacion!N171="","",Facturacion!N171)</f>
        <v/>
      </c>
      <c r="E172" s="139">
        <f>IF(Facturacion!S171="","",Facturacion!S171)</f>
        <v/>
      </c>
      <c r="F172" s="138">
        <f>IF(Facturacion!T171="","",Facturacion!T171)</f>
        <v/>
      </c>
      <c r="G172" s="141">
        <f>IF(Facturacion!A171="","",IF(Facturacion!T171&lt;&gt;"",Facturacion!T171-Facturacion!A171,TODAY()-Facturacion!A171))</f>
        <v/>
      </c>
      <c r="H172" s="139">
        <f>IF(Facturacion!O171="","",Facturacion!O171)</f>
        <v/>
      </c>
      <c r="I172" s="140">
        <f>IF(Facturacion!U171="","",Facturacion!U171)</f>
        <v/>
      </c>
    </row>
    <row r="173" ht="15" customHeight="1" s="83">
      <c r="A173" s="138">
        <f>IF(Facturacion!A172="","",Facturacion!A172)</f>
        <v/>
      </c>
      <c r="B173" s="139">
        <f>IF(Facturacion!E172="","",Facturacion!E172)</f>
        <v/>
      </c>
      <c r="C173" s="139">
        <f>IF(Facturacion!G172="","",Facturacion!G172)</f>
        <v/>
      </c>
      <c r="D173" s="140">
        <f>IF(Facturacion!N172="","",Facturacion!N172)</f>
        <v/>
      </c>
      <c r="E173" s="139">
        <f>IF(Facturacion!S172="","",Facturacion!S172)</f>
        <v/>
      </c>
      <c r="F173" s="138">
        <f>IF(Facturacion!T172="","",Facturacion!T172)</f>
        <v/>
      </c>
      <c r="G173" s="141">
        <f>IF(Facturacion!A172="","",IF(Facturacion!T172&lt;&gt;"",Facturacion!T172-Facturacion!A172,TODAY()-Facturacion!A172))</f>
        <v/>
      </c>
      <c r="H173" s="139">
        <f>IF(Facturacion!O172="","",Facturacion!O172)</f>
        <v/>
      </c>
      <c r="I173" s="140">
        <f>IF(Facturacion!U172="","",Facturacion!U172)</f>
        <v/>
      </c>
    </row>
    <row r="174" ht="15" customHeight="1" s="83">
      <c r="A174" s="138">
        <f>IF(Facturacion!A173="","",Facturacion!A173)</f>
        <v/>
      </c>
      <c r="B174" s="139">
        <f>IF(Facturacion!E173="","",Facturacion!E173)</f>
        <v/>
      </c>
      <c r="C174" s="139">
        <f>IF(Facturacion!G173="","",Facturacion!G173)</f>
        <v/>
      </c>
      <c r="D174" s="140">
        <f>IF(Facturacion!N173="","",Facturacion!N173)</f>
        <v/>
      </c>
      <c r="E174" s="139">
        <f>IF(Facturacion!S173="","",Facturacion!S173)</f>
        <v/>
      </c>
      <c r="F174" s="138">
        <f>IF(Facturacion!T173="","",Facturacion!T173)</f>
        <v/>
      </c>
      <c r="G174" s="141">
        <f>IF(Facturacion!A173="","",IF(Facturacion!T173&lt;&gt;"",Facturacion!T173-Facturacion!A173,TODAY()-Facturacion!A173))</f>
        <v/>
      </c>
      <c r="H174" s="139">
        <f>IF(Facturacion!O173="","",Facturacion!O173)</f>
        <v/>
      </c>
      <c r="I174" s="140">
        <f>IF(Facturacion!U173="","",Facturacion!U173)</f>
        <v/>
      </c>
    </row>
    <row r="175" ht="15" customHeight="1" s="83">
      <c r="A175" s="138">
        <f>IF(Facturacion!A174="","",Facturacion!A174)</f>
        <v/>
      </c>
      <c r="B175" s="139">
        <f>IF(Facturacion!E174="","",Facturacion!E174)</f>
        <v/>
      </c>
      <c r="C175" s="139">
        <f>IF(Facturacion!G174="","",Facturacion!G174)</f>
        <v/>
      </c>
      <c r="D175" s="140">
        <f>IF(Facturacion!N174="","",Facturacion!N174)</f>
        <v/>
      </c>
      <c r="E175" s="139">
        <f>IF(Facturacion!S174="","",Facturacion!S174)</f>
        <v/>
      </c>
      <c r="F175" s="138">
        <f>IF(Facturacion!T174="","",Facturacion!T174)</f>
        <v/>
      </c>
      <c r="G175" s="141">
        <f>IF(Facturacion!A174="","",IF(Facturacion!T174&lt;&gt;"",Facturacion!T174-Facturacion!A174,TODAY()-Facturacion!A174))</f>
        <v/>
      </c>
      <c r="H175" s="139">
        <f>IF(Facturacion!O174="","",Facturacion!O174)</f>
        <v/>
      </c>
      <c r="I175" s="140">
        <f>IF(Facturacion!U174="","",Facturacion!U174)</f>
        <v/>
      </c>
    </row>
    <row r="176" ht="15" customHeight="1" s="83">
      <c r="A176" s="138">
        <f>IF(Facturacion!A175="","",Facturacion!A175)</f>
        <v/>
      </c>
      <c r="B176" s="139">
        <f>IF(Facturacion!E175="","",Facturacion!E175)</f>
        <v/>
      </c>
      <c r="C176" s="139">
        <f>IF(Facturacion!G175="","",Facturacion!G175)</f>
        <v/>
      </c>
      <c r="D176" s="140">
        <f>IF(Facturacion!N175="","",Facturacion!N175)</f>
        <v/>
      </c>
      <c r="E176" s="139">
        <f>IF(Facturacion!S175="","",Facturacion!S175)</f>
        <v/>
      </c>
      <c r="F176" s="138">
        <f>IF(Facturacion!T175="","",Facturacion!T175)</f>
        <v/>
      </c>
      <c r="G176" s="141">
        <f>IF(Facturacion!A175="","",IF(Facturacion!T175&lt;&gt;"",Facturacion!T175-Facturacion!A175,TODAY()-Facturacion!A175))</f>
        <v/>
      </c>
      <c r="H176" s="139">
        <f>IF(Facturacion!O175="","",Facturacion!O175)</f>
        <v/>
      </c>
      <c r="I176" s="140">
        <f>IF(Facturacion!U175="","",Facturacion!U175)</f>
        <v/>
      </c>
    </row>
    <row r="177" ht="15" customHeight="1" s="83">
      <c r="A177" s="138">
        <f>IF(Facturacion!A176="","",Facturacion!A176)</f>
        <v/>
      </c>
      <c r="B177" s="139">
        <f>IF(Facturacion!E176="","",Facturacion!E176)</f>
        <v/>
      </c>
      <c r="C177" s="139">
        <f>IF(Facturacion!G176="","",Facturacion!G176)</f>
        <v/>
      </c>
      <c r="D177" s="140">
        <f>IF(Facturacion!N176="","",Facturacion!N176)</f>
        <v/>
      </c>
      <c r="E177" s="139">
        <f>IF(Facturacion!S176="","",Facturacion!S176)</f>
        <v/>
      </c>
      <c r="F177" s="138">
        <f>IF(Facturacion!T176="","",Facturacion!T176)</f>
        <v/>
      </c>
      <c r="G177" s="141">
        <f>IF(Facturacion!A176="","",IF(Facturacion!T176&lt;&gt;"",Facturacion!T176-Facturacion!A176,TODAY()-Facturacion!A176))</f>
        <v/>
      </c>
      <c r="H177" s="139">
        <f>IF(Facturacion!O176="","",Facturacion!O176)</f>
        <v/>
      </c>
      <c r="I177" s="140">
        <f>IF(Facturacion!U176="","",Facturacion!U176)</f>
        <v/>
      </c>
    </row>
    <row r="178" ht="15" customHeight="1" s="83">
      <c r="A178" s="138">
        <f>IF(Facturacion!A177="","",Facturacion!A177)</f>
        <v/>
      </c>
      <c r="B178" s="139">
        <f>IF(Facturacion!E177="","",Facturacion!E177)</f>
        <v/>
      </c>
      <c r="C178" s="139">
        <f>IF(Facturacion!G177="","",Facturacion!G177)</f>
        <v/>
      </c>
      <c r="D178" s="140">
        <f>IF(Facturacion!N177="","",Facturacion!N177)</f>
        <v/>
      </c>
      <c r="E178" s="139">
        <f>IF(Facturacion!S177="","",Facturacion!S177)</f>
        <v/>
      </c>
      <c r="F178" s="138">
        <f>IF(Facturacion!T177="","",Facturacion!T177)</f>
        <v/>
      </c>
      <c r="G178" s="141">
        <f>IF(Facturacion!A177="","",IF(Facturacion!T177&lt;&gt;"",Facturacion!T177-Facturacion!A177,TODAY()-Facturacion!A177))</f>
        <v/>
      </c>
      <c r="H178" s="139">
        <f>IF(Facturacion!O177="","",Facturacion!O177)</f>
        <v/>
      </c>
      <c r="I178" s="140">
        <f>IF(Facturacion!U177="","",Facturacion!U177)</f>
        <v/>
      </c>
    </row>
    <row r="179" ht="15" customHeight="1" s="83">
      <c r="A179" s="138">
        <f>IF(Facturacion!A178="","",Facturacion!A178)</f>
        <v/>
      </c>
      <c r="B179" s="139">
        <f>IF(Facturacion!E178="","",Facturacion!E178)</f>
        <v/>
      </c>
      <c r="C179" s="139">
        <f>IF(Facturacion!G178="","",Facturacion!G178)</f>
        <v/>
      </c>
      <c r="D179" s="140">
        <f>IF(Facturacion!N178="","",Facturacion!N178)</f>
        <v/>
      </c>
      <c r="E179" s="139">
        <f>IF(Facturacion!S178="","",Facturacion!S178)</f>
        <v/>
      </c>
      <c r="F179" s="138">
        <f>IF(Facturacion!T178="","",Facturacion!T178)</f>
        <v/>
      </c>
      <c r="G179" s="141">
        <f>IF(Facturacion!A178="","",IF(Facturacion!T178&lt;&gt;"",Facturacion!T178-Facturacion!A178,TODAY()-Facturacion!A178))</f>
        <v/>
      </c>
      <c r="H179" s="139">
        <f>IF(Facturacion!O178="","",Facturacion!O178)</f>
        <v/>
      </c>
      <c r="I179" s="140">
        <f>IF(Facturacion!U178="","",Facturacion!U178)</f>
        <v/>
      </c>
    </row>
    <row r="180" ht="15" customHeight="1" s="83">
      <c r="A180" s="138">
        <f>IF(Facturacion!A179="","",Facturacion!A179)</f>
        <v/>
      </c>
      <c r="B180" s="139">
        <f>IF(Facturacion!E179="","",Facturacion!E179)</f>
        <v/>
      </c>
      <c r="C180" s="139">
        <f>IF(Facturacion!G179="","",Facturacion!G179)</f>
        <v/>
      </c>
      <c r="D180" s="140">
        <f>IF(Facturacion!N179="","",Facturacion!N179)</f>
        <v/>
      </c>
      <c r="E180" s="139">
        <f>IF(Facturacion!S179="","",Facturacion!S179)</f>
        <v/>
      </c>
      <c r="F180" s="138">
        <f>IF(Facturacion!T179="","",Facturacion!T179)</f>
        <v/>
      </c>
      <c r="G180" s="141">
        <f>IF(Facturacion!A179="","",IF(Facturacion!T179&lt;&gt;"",Facturacion!T179-Facturacion!A179,TODAY()-Facturacion!A179))</f>
        <v/>
      </c>
      <c r="H180" s="139">
        <f>IF(Facturacion!O179="","",Facturacion!O179)</f>
        <v/>
      </c>
      <c r="I180" s="140">
        <f>IF(Facturacion!U179="","",Facturacion!U179)</f>
        <v/>
      </c>
    </row>
    <row r="181" ht="15" customHeight="1" s="83">
      <c r="A181" s="138">
        <f>IF(Facturacion!A180="","",Facturacion!A180)</f>
        <v/>
      </c>
      <c r="B181" s="139">
        <f>IF(Facturacion!E180="","",Facturacion!E180)</f>
        <v/>
      </c>
      <c r="C181" s="139">
        <f>IF(Facturacion!G180="","",Facturacion!G180)</f>
        <v/>
      </c>
      <c r="D181" s="140">
        <f>IF(Facturacion!N180="","",Facturacion!N180)</f>
        <v/>
      </c>
      <c r="E181" s="139">
        <f>IF(Facturacion!S180="","",Facturacion!S180)</f>
        <v/>
      </c>
      <c r="F181" s="138">
        <f>IF(Facturacion!T180="","",Facturacion!T180)</f>
        <v/>
      </c>
      <c r="G181" s="141">
        <f>IF(Facturacion!A180="","",IF(Facturacion!T180&lt;&gt;"",Facturacion!T180-Facturacion!A180,TODAY()-Facturacion!A180))</f>
        <v/>
      </c>
      <c r="H181" s="139">
        <f>IF(Facturacion!O180="","",Facturacion!O180)</f>
        <v/>
      </c>
      <c r="I181" s="140">
        <f>IF(Facturacion!U180="","",Facturacion!U180)</f>
        <v/>
      </c>
    </row>
    <row r="182" ht="15" customHeight="1" s="83">
      <c r="A182" s="138">
        <f>IF(Facturacion!A181="","",Facturacion!A181)</f>
        <v/>
      </c>
      <c r="B182" s="139">
        <f>IF(Facturacion!E181="","",Facturacion!E181)</f>
        <v/>
      </c>
      <c r="C182" s="139">
        <f>IF(Facturacion!G181="","",Facturacion!G181)</f>
        <v/>
      </c>
      <c r="D182" s="140">
        <f>IF(Facturacion!N181="","",Facturacion!N181)</f>
        <v/>
      </c>
      <c r="E182" s="139">
        <f>IF(Facturacion!S181="","",Facturacion!S181)</f>
        <v/>
      </c>
      <c r="F182" s="138">
        <f>IF(Facturacion!T181="","",Facturacion!T181)</f>
        <v/>
      </c>
      <c r="G182" s="141">
        <f>IF(Facturacion!A181="","",IF(Facturacion!T181&lt;&gt;"",Facturacion!T181-Facturacion!A181,TODAY()-Facturacion!A181))</f>
        <v/>
      </c>
      <c r="H182" s="139">
        <f>IF(Facturacion!O181="","",Facturacion!O181)</f>
        <v/>
      </c>
      <c r="I182" s="140">
        <f>IF(Facturacion!U181="","",Facturacion!U181)</f>
        <v/>
      </c>
    </row>
    <row r="183" ht="15" customHeight="1" s="83">
      <c r="A183" s="138">
        <f>IF(Facturacion!A182="","",Facturacion!A182)</f>
        <v/>
      </c>
      <c r="B183" s="139">
        <f>IF(Facturacion!E182="","",Facturacion!E182)</f>
        <v/>
      </c>
      <c r="C183" s="139">
        <f>IF(Facturacion!G182="","",Facturacion!G182)</f>
        <v/>
      </c>
      <c r="D183" s="140">
        <f>IF(Facturacion!N182="","",Facturacion!N182)</f>
        <v/>
      </c>
      <c r="E183" s="139">
        <f>IF(Facturacion!S182="","",Facturacion!S182)</f>
        <v/>
      </c>
      <c r="F183" s="138">
        <f>IF(Facturacion!T182="","",Facturacion!T182)</f>
        <v/>
      </c>
      <c r="G183" s="141">
        <f>IF(Facturacion!A182="","",IF(Facturacion!T182&lt;&gt;"",Facturacion!T182-Facturacion!A182,TODAY()-Facturacion!A182))</f>
        <v/>
      </c>
      <c r="H183" s="139">
        <f>IF(Facturacion!O182="","",Facturacion!O182)</f>
        <v/>
      </c>
      <c r="I183" s="140">
        <f>IF(Facturacion!U182="","",Facturacion!U182)</f>
        <v/>
      </c>
    </row>
    <row r="184" ht="15" customHeight="1" s="83">
      <c r="A184" s="138">
        <f>IF(Facturacion!A183="","",Facturacion!A183)</f>
        <v/>
      </c>
      <c r="B184" s="139">
        <f>IF(Facturacion!E183="","",Facturacion!E183)</f>
        <v/>
      </c>
      <c r="C184" s="139">
        <f>IF(Facturacion!G183="","",Facturacion!G183)</f>
        <v/>
      </c>
      <c r="D184" s="140">
        <f>IF(Facturacion!N183="","",Facturacion!N183)</f>
        <v/>
      </c>
      <c r="E184" s="139">
        <f>IF(Facturacion!S183="","",Facturacion!S183)</f>
        <v/>
      </c>
      <c r="F184" s="138">
        <f>IF(Facturacion!T183="","",Facturacion!T183)</f>
        <v/>
      </c>
      <c r="G184" s="141">
        <f>IF(Facturacion!A183="","",IF(Facturacion!T183&lt;&gt;"",Facturacion!T183-Facturacion!A183,TODAY()-Facturacion!A183))</f>
        <v/>
      </c>
      <c r="H184" s="139">
        <f>IF(Facturacion!O183="","",Facturacion!O183)</f>
        <v/>
      </c>
      <c r="I184" s="140">
        <f>IF(Facturacion!U183="","",Facturacion!U183)</f>
        <v/>
      </c>
    </row>
    <row r="185" ht="15" customHeight="1" s="83">
      <c r="A185" s="138">
        <f>IF(Facturacion!A184="","",Facturacion!A184)</f>
        <v/>
      </c>
      <c r="B185" s="139">
        <f>IF(Facturacion!E184="","",Facturacion!E184)</f>
        <v/>
      </c>
      <c r="C185" s="139">
        <f>IF(Facturacion!G184="","",Facturacion!G184)</f>
        <v/>
      </c>
      <c r="D185" s="140">
        <f>IF(Facturacion!N184="","",Facturacion!N184)</f>
        <v/>
      </c>
      <c r="E185" s="139">
        <f>IF(Facturacion!S184="","",Facturacion!S184)</f>
        <v/>
      </c>
      <c r="F185" s="138">
        <f>IF(Facturacion!T184="","",Facturacion!T184)</f>
        <v/>
      </c>
      <c r="G185" s="141">
        <f>IF(Facturacion!A184="","",IF(Facturacion!T184&lt;&gt;"",Facturacion!T184-Facturacion!A184,TODAY()-Facturacion!A184))</f>
        <v/>
      </c>
      <c r="H185" s="139">
        <f>IF(Facturacion!O184="","",Facturacion!O184)</f>
        <v/>
      </c>
      <c r="I185" s="140">
        <f>IF(Facturacion!U184="","",Facturacion!U184)</f>
        <v/>
      </c>
    </row>
    <row r="186" ht="15" customHeight="1" s="83">
      <c r="A186" s="138">
        <f>IF(Facturacion!A185="","",Facturacion!A185)</f>
        <v/>
      </c>
      <c r="B186" s="139">
        <f>IF(Facturacion!E185="","",Facturacion!E185)</f>
        <v/>
      </c>
      <c r="C186" s="139">
        <f>IF(Facturacion!G185="","",Facturacion!G185)</f>
        <v/>
      </c>
      <c r="D186" s="140">
        <f>IF(Facturacion!N185="","",Facturacion!N185)</f>
        <v/>
      </c>
      <c r="E186" s="139">
        <f>IF(Facturacion!S185="","",Facturacion!S185)</f>
        <v/>
      </c>
      <c r="F186" s="138">
        <f>IF(Facturacion!T185="","",Facturacion!T185)</f>
        <v/>
      </c>
      <c r="G186" s="141">
        <f>IF(Facturacion!A185="","",IF(Facturacion!T185&lt;&gt;"",Facturacion!T185-Facturacion!A185,TODAY()-Facturacion!A185))</f>
        <v/>
      </c>
      <c r="H186" s="139">
        <f>IF(Facturacion!O185="","",Facturacion!O185)</f>
        <v/>
      </c>
      <c r="I186" s="140">
        <f>IF(Facturacion!U185="","",Facturacion!U185)</f>
        <v/>
      </c>
    </row>
    <row r="187" ht="15" customHeight="1" s="83">
      <c r="A187" s="138">
        <f>IF(Facturacion!A186="","",Facturacion!A186)</f>
        <v/>
      </c>
      <c r="B187" s="139">
        <f>IF(Facturacion!E186="","",Facturacion!E186)</f>
        <v/>
      </c>
      <c r="C187" s="139">
        <f>IF(Facturacion!G186="","",Facturacion!G186)</f>
        <v/>
      </c>
      <c r="D187" s="140">
        <f>IF(Facturacion!N186="","",Facturacion!N186)</f>
        <v/>
      </c>
      <c r="E187" s="139">
        <f>IF(Facturacion!S186="","",Facturacion!S186)</f>
        <v/>
      </c>
      <c r="F187" s="138">
        <f>IF(Facturacion!T186="","",Facturacion!T186)</f>
        <v/>
      </c>
      <c r="G187" s="141">
        <f>IF(Facturacion!A186="","",IF(Facturacion!T186&lt;&gt;"",Facturacion!T186-Facturacion!A186,TODAY()-Facturacion!A186))</f>
        <v/>
      </c>
      <c r="H187" s="139">
        <f>IF(Facturacion!O186="","",Facturacion!O186)</f>
        <v/>
      </c>
      <c r="I187" s="140">
        <f>IF(Facturacion!U186="","",Facturacion!U186)</f>
        <v/>
      </c>
    </row>
    <row r="188" ht="15" customHeight="1" s="83">
      <c r="A188" s="138">
        <f>IF(Facturacion!A187="","",Facturacion!A187)</f>
        <v/>
      </c>
      <c r="B188" s="139">
        <f>IF(Facturacion!E187="","",Facturacion!E187)</f>
        <v/>
      </c>
      <c r="C188" s="139">
        <f>IF(Facturacion!G187="","",Facturacion!G187)</f>
        <v/>
      </c>
      <c r="D188" s="140">
        <f>IF(Facturacion!N187="","",Facturacion!N187)</f>
        <v/>
      </c>
      <c r="E188" s="139">
        <f>IF(Facturacion!S187="","",Facturacion!S187)</f>
        <v/>
      </c>
      <c r="F188" s="138">
        <f>IF(Facturacion!T187="","",Facturacion!T187)</f>
        <v/>
      </c>
      <c r="G188" s="141">
        <f>IF(Facturacion!A187="","",IF(Facturacion!T187&lt;&gt;"",Facturacion!T187-Facturacion!A187,TODAY()-Facturacion!A187))</f>
        <v/>
      </c>
      <c r="H188" s="139">
        <f>IF(Facturacion!O187="","",Facturacion!O187)</f>
        <v/>
      </c>
      <c r="I188" s="140">
        <f>IF(Facturacion!U187="","",Facturacion!U187)</f>
        <v/>
      </c>
    </row>
    <row r="189" ht="15" customHeight="1" s="83">
      <c r="A189" s="138">
        <f>IF(Facturacion!A188="","",Facturacion!A188)</f>
        <v/>
      </c>
      <c r="B189" s="139">
        <f>IF(Facturacion!E188="","",Facturacion!E188)</f>
        <v/>
      </c>
      <c r="C189" s="139">
        <f>IF(Facturacion!G188="","",Facturacion!G188)</f>
        <v/>
      </c>
      <c r="D189" s="140">
        <f>IF(Facturacion!N188="","",Facturacion!N188)</f>
        <v/>
      </c>
      <c r="E189" s="139">
        <f>IF(Facturacion!S188="","",Facturacion!S188)</f>
        <v/>
      </c>
      <c r="F189" s="138">
        <f>IF(Facturacion!T188="","",Facturacion!T188)</f>
        <v/>
      </c>
      <c r="G189" s="141">
        <f>IF(Facturacion!A188="","",IF(Facturacion!T188&lt;&gt;"",Facturacion!T188-Facturacion!A188,TODAY()-Facturacion!A188))</f>
        <v/>
      </c>
      <c r="H189" s="139">
        <f>IF(Facturacion!O188="","",Facturacion!O188)</f>
        <v/>
      </c>
      <c r="I189" s="140">
        <f>IF(Facturacion!U188="","",Facturacion!U188)</f>
        <v/>
      </c>
    </row>
    <row r="190" ht="15" customHeight="1" s="83">
      <c r="A190" s="138">
        <f>IF(Facturacion!A189="","",Facturacion!A189)</f>
        <v/>
      </c>
      <c r="B190" s="139">
        <f>IF(Facturacion!E189="","",Facturacion!E189)</f>
        <v/>
      </c>
      <c r="C190" s="139">
        <f>IF(Facturacion!G189="","",Facturacion!G189)</f>
        <v/>
      </c>
      <c r="D190" s="140">
        <f>IF(Facturacion!N189="","",Facturacion!N189)</f>
        <v/>
      </c>
      <c r="E190" s="139">
        <f>IF(Facturacion!S189="","",Facturacion!S189)</f>
        <v/>
      </c>
      <c r="F190" s="138">
        <f>IF(Facturacion!T189="","",Facturacion!T189)</f>
        <v/>
      </c>
      <c r="G190" s="141">
        <f>IF(Facturacion!A189="","",IF(Facturacion!T189&lt;&gt;"",Facturacion!T189-Facturacion!A189,TODAY()-Facturacion!A189))</f>
        <v/>
      </c>
      <c r="H190" s="139">
        <f>IF(Facturacion!O189="","",Facturacion!O189)</f>
        <v/>
      </c>
      <c r="I190" s="140">
        <f>IF(Facturacion!U189="","",Facturacion!U189)</f>
        <v/>
      </c>
    </row>
    <row r="191" ht="15" customHeight="1" s="83">
      <c r="A191" s="138">
        <f>IF(Facturacion!A190="","",Facturacion!A190)</f>
        <v/>
      </c>
      <c r="B191" s="139">
        <f>IF(Facturacion!E190="","",Facturacion!E190)</f>
        <v/>
      </c>
      <c r="C191" s="139">
        <f>IF(Facturacion!G190="","",Facturacion!G190)</f>
        <v/>
      </c>
      <c r="D191" s="140">
        <f>IF(Facturacion!N190="","",Facturacion!N190)</f>
        <v/>
      </c>
      <c r="E191" s="139">
        <f>IF(Facturacion!S190="","",Facturacion!S190)</f>
        <v/>
      </c>
      <c r="F191" s="138">
        <f>IF(Facturacion!T190="","",Facturacion!T190)</f>
        <v/>
      </c>
      <c r="G191" s="141">
        <f>IF(Facturacion!A190="","",IF(Facturacion!T190&lt;&gt;"",Facturacion!T190-Facturacion!A190,TODAY()-Facturacion!A190))</f>
        <v/>
      </c>
      <c r="H191" s="139">
        <f>IF(Facturacion!O190="","",Facturacion!O190)</f>
        <v/>
      </c>
      <c r="I191" s="140">
        <f>IF(Facturacion!U190="","",Facturacion!U190)</f>
        <v/>
      </c>
    </row>
    <row r="192" ht="15" customHeight="1" s="83">
      <c r="A192" s="138">
        <f>IF(Facturacion!A191="","",Facturacion!A191)</f>
        <v/>
      </c>
      <c r="B192" s="139">
        <f>IF(Facturacion!E191="","",Facturacion!E191)</f>
        <v/>
      </c>
      <c r="C192" s="139">
        <f>IF(Facturacion!G191="","",Facturacion!G191)</f>
        <v/>
      </c>
      <c r="D192" s="140">
        <f>IF(Facturacion!N191="","",Facturacion!N191)</f>
        <v/>
      </c>
      <c r="E192" s="139">
        <f>IF(Facturacion!S191="","",Facturacion!S191)</f>
        <v/>
      </c>
      <c r="F192" s="138">
        <f>IF(Facturacion!T191="","",Facturacion!T191)</f>
        <v/>
      </c>
      <c r="G192" s="141">
        <f>IF(Facturacion!A191="","",IF(Facturacion!T191&lt;&gt;"",Facturacion!T191-Facturacion!A191,TODAY()-Facturacion!A191))</f>
        <v/>
      </c>
      <c r="H192" s="139">
        <f>IF(Facturacion!O191="","",Facturacion!O191)</f>
        <v/>
      </c>
      <c r="I192" s="140">
        <f>IF(Facturacion!U191="","",Facturacion!U191)</f>
        <v/>
      </c>
    </row>
    <row r="193" ht="15" customHeight="1" s="83">
      <c r="A193" s="138">
        <f>IF(Facturacion!A192="","",Facturacion!A192)</f>
        <v/>
      </c>
      <c r="B193" s="139">
        <f>IF(Facturacion!E192="","",Facturacion!E192)</f>
        <v/>
      </c>
      <c r="C193" s="139">
        <f>IF(Facturacion!G192="","",Facturacion!G192)</f>
        <v/>
      </c>
      <c r="D193" s="140">
        <f>IF(Facturacion!N192="","",Facturacion!N192)</f>
        <v/>
      </c>
      <c r="E193" s="139">
        <f>IF(Facturacion!S192="","",Facturacion!S192)</f>
        <v/>
      </c>
      <c r="F193" s="138">
        <f>IF(Facturacion!T192="","",Facturacion!T192)</f>
        <v/>
      </c>
      <c r="G193" s="141">
        <f>IF(Facturacion!A192="","",IF(Facturacion!T192&lt;&gt;"",Facturacion!T192-Facturacion!A192,TODAY()-Facturacion!A192))</f>
        <v/>
      </c>
      <c r="H193" s="139">
        <f>IF(Facturacion!O192="","",Facturacion!O192)</f>
        <v/>
      </c>
      <c r="I193" s="140">
        <f>IF(Facturacion!U192="","",Facturacion!U192)</f>
        <v/>
      </c>
    </row>
    <row r="194" ht="15" customHeight="1" s="83">
      <c r="A194" s="138">
        <f>IF(Facturacion!A193="","",Facturacion!A193)</f>
        <v/>
      </c>
      <c r="B194" s="139">
        <f>IF(Facturacion!E193="","",Facturacion!E193)</f>
        <v/>
      </c>
      <c r="C194" s="139">
        <f>IF(Facturacion!G193="","",Facturacion!G193)</f>
        <v/>
      </c>
      <c r="D194" s="140">
        <f>IF(Facturacion!N193="","",Facturacion!N193)</f>
        <v/>
      </c>
      <c r="E194" s="139">
        <f>IF(Facturacion!S193="","",Facturacion!S193)</f>
        <v/>
      </c>
      <c r="F194" s="138">
        <f>IF(Facturacion!T193="","",Facturacion!T193)</f>
        <v/>
      </c>
      <c r="G194" s="141">
        <f>IF(Facturacion!A193="","",IF(Facturacion!T193&lt;&gt;"",Facturacion!T193-Facturacion!A193,TODAY()-Facturacion!A193))</f>
        <v/>
      </c>
      <c r="H194" s="139">
        <f>IF(Facturacion!O193="","",Facturacion!O193)</f>
        <v/>
      </c>
      <c r="I194" s="140">
        <f>IF(Facturacion!U193="","",Facturacion!U193)</f>
        <v/>
      </c>
    </row>
    <row r="195" ht="15" customHeight="1" s="83">
      <c r="A195" s="138">
        <f>IF(Facturacion!A194="","",Facturacion!A194)</f>
        <v/>
      </c>
      <c r="B195" s="139">
        <f>IF(Facturacion!E194="","",Facturacion!E194)</f>
        <v/>
      </c>
      <c r="C195" s="139">
        <f>IF(Facturacion!G194="","",Facturacion!G194)</f>
        <v/>
      </c>
      <c r="D195" s="140">
        <f>IF(Facturacion!N194="","",Facturacion!N194)</f>
        <v/>
      </c>
      <c r="E195" s="139">
        <f>IF(Facturacion!S194="","",Facturacion!S194)</f>
        <v/>
      </c>
      <c r="F195" s="138">
        <f>IF(Facturacion!T194="","",Facturacion!T194)</f>
        <v/>
      </c>
      <c r="G195" s="141">
        <f>IF(Facturacion!A194="","",IF(Facturacion!T194&lt;&gt;"",Facturacion!T194-Facturacion!A194,TODAY()-Facturacion!A194))</f>
        <v/>
      </c>
      <c r="H195" s="139">
        <f>IF(Facturacion!O194="","",Facturacion!O194)</f>
        <v/>
      </c>
      <c r="I195" s="140">
        <f>IF(Facturacion!U194="","",Facturacion!U194)</f>
        <v/>
      </c>
    </row>
    <row r="196" ht="15" customHeight="1" s="83">
      <c r="A196" s="138">
        <f>IF(Facturacion!A195="","",Facturacion!A195)</f>
        <v/>
      </c>
      <c r="B196" s="139">
        <f>IF(Facturacion!E195="","",Facturacion!E195)</f>
        <v/>
      </c>
      <c r="C196" s="139">
        <f>IF(Facturacion!G195="","",Facturacion!G195)</f>
        <v/>
      </c>
      <c r="D196" s="140">
        <f>IF(Facturacion!N195="","",Facturacion!N195)</f>
        <v/>
      </c>
      <c r="E196" s="139">
        <f>IF(Facturacion!S195="","",Facturacion!S195)</f>
        <v/>
      </c>
      <c r="F196" s="138">
        <f>IF(Facturacion!T195="","",Facturacion!T195)</f>
        <v/>
      </c>
      <c r="G196" s="141">
        <f>IF(Facturacion!A195="","",IF(Facturacion!T195&lt;&gt;"",Facturacion!T195-Facturacion!A195,TODAY()-Facturacion!A195))</f>
        <v/>
      </c>
      <c r="H196" s="139">
        <f>IF(Facturacion!O195="","",Facturacion!O195)</f>
        <v/>
      </c>
      <c r="I196" s="140">
        <f>IF(Facturacion!U195="","",Facturacion!U195)</f>
        <v/>
      </c>
    </row>
    <row r="197" ht="15" customHeight="1" s="83">
      <c r="A197" s="138">
        <f>IF(Facturacion!A196="","",Facturacion!A196)</f>
        <v/>
      </c>
      <c r="B197" s="139">
        <f>IF(Facturacion!E196="","",Facturacion!E196)</f>
        <v/>
      </c>
      <c r="C197" s="139">
        <f>IF(Facturacion!G196="","",Facturacion!G196)</f>
        <v/>
      </c>
      <c r="D197" s="140">
        <f>IF(Facturacion!N196="","",Facturacion!N196)</f>
        <v/>
      </c>
      <c r="E197" s="139">
        <f>IF(Facturacion!S196="","",Facturacion!S196)</f>
        <v/>
      </c>
      <c r="F197" s="138">
        <f>IF(Facturacion!T196="","",Facturacion!T196)</f>
        <v/>
      </c>
      <c r="G197" s="141">
        <f>IF(Facturacion!A196="","",IF(Facturacion!T196&lt;&gt;"",Facturacion!T196-Facturacion!A196,TODAY()-Facturacion!A196))</f>
        <v/>
      </c>
      <c r="H197" s="139">
        <f>IF(Facturacion!O196="","",Facturacion!O196)</f>
        <v/>
      </c>
      <c r="I197" s="140">
        <f>IF(Facturacion!U196="","",Facturacion!U196)</f>
        <v/>
      </c>
    </row>
    <row r="198" ht="15" customHeight="1" s="83">
      <c r="A198" s="138">
        <f>IF(Facturacion!A197="","",Facturacion!A197)</f>
        <v/>
      </c>
      <c r="B198" s="139">
        <f>IF(Facturacion!E197="","",Facturacion!E197)</f>
        <v/>
      </c>
      <c r="C198" s="139">
        <f>IF(Facturacion!G197="","",Facturacion!G197)</f>
        <v/>
      </c>
      <c r="D198" s="140">
        <f>IF(Facturacion!N197="","",Facturacion!N197)</f>
        <v/>
      </c>
      <c r="E198" s="139">
        <f>IF(Facturacion!S197="","",Facturacion!S197)</f>
        <v/>
      </c>
      <c r="F198" s="138">
        <f>IF(Facturacion!T197="","",Facturacion!T197)</f>
        <v/>
      </c>
      <c r="G198" s="141">
        <f>IF(Facturacion!A197="","",IF(Facturacion!T197&lt;&gt;"",Facturacion!T197-Facturacion!A197,TODAY()-Facturacion!A197))</f>
        <v/>
      </c>
      <c r="H198" s="139">
        <f>IF(Facturacion!O197="","",Facturacion!O197)</f>
        <v/>
      </c>
      <c r="I198" s="140">
        <f>IF(Facturacion!U197="","",Facturacion!U197)</f>
        <v/>
      </c>
    </row>
    <row r="199" ht="15" customHeight="1" s="83">
      <c r="A199" s="138">
        <f>IF(Facturacion!A198="","",Facturacion!A198)</f>
        <v/>
      </c>
      <c r="B199" s="139">
        <f>IF(Facturacion!E198="","",Facturacion!E198)</f>
        <v/>
      </c>
      <c r="C199" s="139">
        <f>IF(Facturacion!G198="","",Facturacion!G198)</f>
        <v/>
      </c>
      <c r="D199" s="140">
        <f>IF(Facturacion!N198="","",Facturacion!N198)</f>
        <v/>
      </c>
      <c r="E199" s="139">
        <f>IF(Facturacion!S198="","",Facturacion!S198)</f>
        <v/>
      </c>
      <c r="F199" s="138">
        <f>IF(Facturacion!T198="","",Facturacion!T198)</f>
        <v/>
      </c>
      <c r="G199" s="141">
        <f>IF(Facturacion!A198="","",IF(Facturacion!T198&lt;&gt;"",Facturacion!T198-Facturacion!A198,TODAY()-Facturacion!A198))</f>
        <v/>
      </c>
      <c r="H199" s="139">
        <f>IF(Facturacion!O198="","",Facturacion!O198)</f>
        <v/>
      </c>
      <c r="I199" s="140">
        <f>IF(Facturacion!U198="","",Facturacion!U198)</f>
        <v/>
      </c>
    </row>
    <row r="200" ht="15" customHeight="1" s="83">
      <c r="A200" s="138">
        <f>IF(Facturacion!A199="","",Facturacion!A199)</f>
        <v/>
      </c>
      <c r="B200" s="139">
        <f>IF(Facturacion!E199="","",Facturacion!E199)</f>
        <v/>
      </c>
      <c r="C200" s="139">
        <f>IF(Facturacion!G199="","",Facturacion!G199)</f>
        <v/>
      </c>
      <c r="D200" s="140">
        <f>IF(Facturacion!N199="","",Facturacion!N199)</f>
        <v/>
      </c>
      <c r="E200" s="139">
        <f>IF(Facturacion!S199="","",Facturacion!S199)</f>
        <v/>
      </c>
      <c r="F200" s="138">
        <f>IF(Facturacion!T199="","",Facturacion!T199)</f>
        <v/>
      </c>
      <c r="G200" s="141">
        <f>IF(Facturacion!A199="","",IF(Facturacion!T199&lt;&gt;"",Facturacion!T199-Facturacion!A199,TODAY()-Facturacion!A199))</f>
        <v/>
      </c>
      <c r="H200" s="139">
        <f>IF(Facturacion!O199="","",Facturacion!O199)</f>
        <v/>
      </c>
      <c r="I200" s="140">
        <f>IF(Facturacion!U199="","",Facturacion!U199)</f>
        <v/>
      </c>
    </row>
    <row r="201" ht="15" customHeight="1" s="83">
      <c r="A201" s="138">
        <f>IF(Facturacion!A200="","",Facturacion!A200)</f>
        <v/>
      </c>
      <c r="B201" s="139">
        <f>IF(Facturacion!E200="","",Facturacion!E200)</f>
        <v/>
      </c>
      <c r="C201" s="139">
        <f>IF(Facturacion!G200="","",Facturacion!G200)</f>
        <v/>
      </c>
      <c r="D201" s="140">
        <f>IF(Facturacion!N200="","",Facturacion!N200)</f>
        <v/>
      </c>
      <c r="E201" s="139">
        <f>IF(Facturacion!S200="","",Facturacion!S200)</f>
        <v/>
      </c>
      <c r="F201" s="138">
        <f>IF(Facturacion!T200="","",Facturacion!T200)</f>
        <v/>
      </c>
      <c r="G201" s="141">
        <f>IF(Facturacion!A200="","",IF(Facturacion!T200&lt;&gt;"",Facturacion!T200-Facturacion!A200,TODAY()-Facturacion!A200))</f>
        <v/>
      </c>
      <c r="H201" s="139">
        <f>IF(Facturacion!O200="","",Facturacion!O200)</f>
        <v/>
      </c>
      <c r="I201" s="140">
        <f>IF(Facturacion!U200="","",Facturacion!U200)</f>
        <v/>
      </c>
    </row>
    <row r="202" ht="15" customHeight="1" s="83">
      <c r="A202" s="138">
        <f>IF(Facturacion!A201="","",Facturacion!A201)</f>
        <v/>
      </c>
      <c r="B202" s="139">
        <f>IF(Facturacion!E201="","",Facturacion!E201)</f>
        <v/>
      </c>
      <c r="C202" s="139">
        <f>IF(Facturacion!G201="","",Facturacion!G201)</f>
        <v/>
      </c>
      <c r="D202" s="140">
        <f>IF(Facturacion!N201="","",Facturacion!N201)</f>
        <v/>
      </c>
      <c r="E202" s="139">
        <f>IF(Facturacion!S201="","",Facturacion!S201)</f>
        <v/>
      </c>
      <c r="F202" s="138">
        <f>IF(Facturacion!T201="","",Facturacion!T201)</f>
        <v/>
      </c>
      <c r="G202" s="141">
        <f>IF(Facturacion!A201="","",IF(Facturacion!T201&lt;&gt;"",Facturacion!T201-Facturacion!A201,TODAY()-Facturacion!A201))</f>
        <v/>
      </c>
      <c r="H202" s="139">
        <f>IF(Facturacion!O201="","",Facturacion!O201)</f>
        <v/>
      </c>
      <c r="I202" s="140">
        <f>IF(Facturacion!U201="","",Facturacion!U201)</f>
        <v/>
      </c>
    </row>
    <row r="203" ht="15" customHeight="1" s="83">
      <c r="A203" s="138">
        <f>IF(Facturacion!A202="","",Facturacion!A202)</f>
        <v/>
      </c>
      <c r="B203" s="139">
        <f>IF(Facturacion!E202="","",Facturacion!E202)</f>
        <v/>
      </c>
      <c r="C203" s="139">
        <f>IF(Facturacion!G202="","",Facturacion!G202)</f>
        <v/>
      </c>
      <c r="D203" s="140">
        <f>IF(Facturacion!N202="","",Facturacion!N202)</f>
        <v/>
      </c>
      <c r="E203" s="139">
        <f>IF(Facturacion!S202="","",Facturacion!S202)</f>
        <v/>
      </c>
      <c r="F203" s="138">
        <f>IF(Facturacion!T202="","",Facturacion!T202)</f>
        <v/>
      </c>
      <c r="G203" s="141">
        <f>IF(Facturacion!A202="","",IF(Facturacion!T202&lt;&gt;"",Facturacion!T202-Facturacion!A202,TODAY()-Facturacion!A202))</f>
        <v/>
      </c>
      <c r="H203" s="139">
        <f>IF(Facturacion!O202="","",Facturacion!O202)</f>
        <v/>
      </c>
      <c r="I203" s="140">
        <f>IF(Facturacion!U202="","",Facturacion!U202)</f>
        <v/>
      </c>
    </row>
    <row r="204" ht="15" customHeight="1" s="83">
      <c r="A204" s="138">
        <f>IF(Facturacion!A203="","",Facturacion!A203)</f>
        <v/>
      </c>
      <c r="B204" s="139">
        <f>IF(Facturacion!E203="","",Facturacion!E203)</f>
        <v/>
      </c>
      <c r="C204" s="139">
        <f>IF(Facturacion!G203="","",Facturacion!G203)</f>
        <v/>
      </c>
      <c r="D204" s="140">
        <f>IF(Facturacion!N203="","",Facturacion!N203)</f>
        <v/>
      </c>
      <c r="E204" s="139">
        <f>IF(Facturacion!S203="","",Facturacion!S203)</f>
        <v/>
      </c>
      <c r="F204" s="138">
        <f>IF(Facturacion!T203="","",Facturacion!T203)</f>
        <v/>
      </c>
      <c r="G204" s="141">
        <f>IF(Facturacion!A203="","",IF(Facturacion!T203&lt;&gt;"",Facturacion!T203-Facturacion!A203,TODAY()-Facturacion!A203))</f>
        <v/>
      </c>
      <c r="H204" s="139">
        <f>IF(Facturacion!O203="","",Facturacion!O203)</f>
        <v/>
      </c>
      <c r="I204" s="140">
        <f>IF(Facturacion!U203="","",Facturacion!U203)</f>
        <v/>
      </c>
    </row>
    <row r="205" ht="15" customHeight="1" s="83">
      <c r="A205" s="138">
        <f>IF(Facturacion!A204="","",Facturacion!A204)</f>
        <v/>
      </c>
      <c r="B205" s="139">
        <f>IF(Facturacion!E204="","",Facturacion!E204)</f>
        <v/>
      </c>
      <c r="C205" s="139">
        <f>IF(Facturacion!G204="","",Facturacion!G204)</f>
        <v/>
      </c>
      <c r="D205" s="140">
        <f>IF(Facturacion!N204="","",Facturacion!N204)</f>
        <v/>
      </c>
      <c r="E205" s="139">
        <f>IF(Facturacion!S204="","",Facturacion!S204)</f>
        <v/>
      </c>
      <c r="F205" s="138">
        <f>IF(Facturacion!T204="","",Facturacion!T204)</f>
        <v/>
      </c>
      <c r="G205" s="141">
        <f>IF(Facturacion!A204="","",IF(Facturacion!T204&lt;&gt;"",Facturacion!T204-Facturacion!A204,TODAY()-Facturacion!A204))</f>
        <v/>
      </c>
      <c r="H205" s="139">
        <f>IF(Facturacion!O204="","",Facturacion!O204)</f>
        <v/>
      </c>
      <c r="I205" s="140">
        <f>IF(Facturacion!U204="","",Facturacion!U204)</f>
        <v/>
      </c>
    </row>
    <row r="206" ht="15" customHeight="1" s="83">
      <c r="A206" s="138">
        <f>IF(Facturacion!A205="","",Facturacion!A205)</f>
        <v/>
      </c>
      <c r="B206" s="139">
        <f>IF(Facturacion!E205="","",Facturacion!E205)</f>
        <v/>
      </c>
      <c r="C206" s="139">
        <f>IF(Facturacion!G205="","",Facturacion!G205)</f>
        <v/>
      </c>
      <c r="D206" s="140">
        <f>IF(Facturacion!N205="","",Facturacion!N205)</f>
        <v/>
      </c>
      <c r="E206" s="139">
        <f>IF(Facturacion!S205="","",Facturacion!S205)</f>
        <v/>
      </c>
      <c r="F206" s="138">
        <f>IF(Facturacion!T205="","",Facturacion!T205)</f>
        <v/>
      </c>
      <c r="G206" s="141">
        <f>IF(Facturacion!A205="","",IF(Facturacion!T205&lt;&gt;"",Facturacion!T205-Facturacion!A205,TODAY()-Facturacion!A205))</f>
        <v/>
      </c>
      <c r="H206" s="139">
        <f>IF(Facturacion!O205="","",Facturacion!O205)</f>
        <v/>
      </c>
      <c r="I206" s="140">
        <f>IF(Facturacion!U205="","",Facturacion!U205)</f>
        <v/>
      </c>
    </row>
    <row r="207" ht="15" customHeight="1" s="83">
      <c r="A207" s="138">
        <f>IF(Facturacion!A206="","",Facturacion!A206)</f>
        <v/>
      </c>
      <c r="B207" s="139">
        <f>IF(Facturacion!E206="","",Facturacion!E206)</f>
        <v/>
      </c>
      <c r="C207" s="139">
        <f>IF(Facturacion!G206="","",Facturacion!G206)</f>
        <v/>
      </c>
      <c r="D207" s="140">
        <f>IF(Facturacion!N206="","",Facturacion!N206)</f>
        <v/>
      </c>
      <c r="E207" s="139">
        <f>IF(Facturacion!S206="","",Facturacion!S206)</f>
        <v/>
      </c>
      <c r="F207" s="138">
        <f>IF(Facturacion!T206="","",Facturacion!T206)</f>
        <v/>
      </c>
      <c r="G207" s="141">
        <f>IF(Facturacion!A206="","",IF(Facturacion!T206&lt;&gt;"",Facturacion!T206-Facturacion!A206,TODAY()-Facturacion!A206))</f>
        <v/>
      </c>
      <c r="H207" s="139">
        <f>IF(Facturacion!O206="","",Facturacion!O206)</f>
        <v/>
      </c>
      <c r="I207" s="140">
        <f>IF(Facturacion!U206="","",Facturacion!U206)</f>
        <v/>
      </c>
    </row>
    <row r="208" ht="15" customHeight="1" s="83">
      <c r="A208" s="138">
        <f>IF(Facturacion!A207="","",Facturacion!A207)</f>
        <v/>
      </c>
      <c r="B208" s="139">
        <f>IF(Facturacion!E207="","",Facturacion!E207)</f>
        <v/>
      </c>
      <c r="C208" s="139">
        <f>IF(Facturacion!G207="","",Facturacion!G207)</f>
        <v/>
      </c>
      <c r="D208" s="140">
        <f>IF(Facturacion!N207="","",Facturacion!N207)</f>
        <v/>
      </c>
      <c r="E208" s="139">
        <f>IF(Facturacion!S207="","",Facturacion!S207)</f>
        <v/>
      </c>
      <c r="F208" s="138">
        <f>IF(Facturacion!T207="","",Facturacion!T207)</f>
        <v/>
      </c>
      <c r="G208" s="141">
        <f>IF(Facturacion!A207="","",IF(Facturacion!T207&lt;&gt;"",Facturacion!T207-Facturacion!A207,TODAY()-Facturacion!A207))</f>
        <v/>
      </c>
      <c r="H208" s="139">
        <f>IF(Facturacion!O207="","",Facturacion!O207)</f>
        <v/>
      </c>
      <c r="I208" s="140">
        <f>IF(Facturacion!U207="","",Facturacion!U207)</f>
        <v/>
      </c>
    </row>
    <row r="209" ht="15" customHeight="1" s="83">
      <c r="A209" s="138">
        <f>IF(Facturacion!A208="","",Facturacion!A208)</f>
        <v/>
      </c>
      <c r="B209" s="139">
        <f>IF(Facturacion!E208="","",Facturacion!E208)</f>
        <v/>
      </c>
      <c r="C209" s="139">
        <f>IF(Facturacion!G208="","",Facturacion!G208)</f>
        <v/>
      </c>
      <c r="D209" s="140">
        <f>IF(Facturacion!N208="","",Facturacion!N208)</f>
        <v/>
      </c>
      <c r="E209" s="139">
        <f>IF(Facturacion!S208="","",Facturacion!S208)</f>
        <v/>
      </c>
      <c r="F209" s="138">
        <f>IF(Facturacion!T208="","",Facturacion!T208)</f>
        <v/>
      </c>
      <c r="G209" s="141">
        <f>IF(Facturacion!A208="","",IF(Facturacion!T208&lt;&gt;"",Facturacion!T208-Facturacion!A208,TODAY()-Facturacion!A208))</f>
        <v/>
      </c>
      <c r="H209" s="139">
        <f>IF(Facturacion!O208="","",Facturacion!O208)</f>
        <v/>
      </c>
      <c r="I209" s="140">
        <f>IF(Facturacion!U208="","",Facturacion!U208)</f>
        <v/>
      </c>
    </row>
    <row r="210" ht="15" customHeight="1" s="83">
      <c r="A210" s="138">
        <f>IF(Facturacion!A209="","",Facturacion!A209)</f>
        <v/>
      </c>
      <c r="B210" s="139">
        <f>IF(Facturacion!E209="","",Facturacion!E209)</f>
        <v/>
      </c>
      <c r="C210" s="139">
        <f>IF(Facturacion!G209="","",Facturacion!G209)</f>
        <v/>
      </c>
      <c r="D210" s="140">
        <f>IF(Facturacion!N209="","",Facturacion!N209)</f>
        <v/>
      </c>
      <c r="E210" s="139">
        <f>IF(Facturacion!S209="","",Facturacion!S209)</f>
        <v/>
      </c>
      <c r="F210" s="138">
        <f>IF(Facturacion!T209="","",Facturacion!T209)</f>
        <v/>
      </c>
      <c r="G210" s="141">
        <f>IF(Facturacion!A209="","",IF(Facturacion!T209&lt;&gt;"",Facturacion!T209-Facturacion!A209,TODAY()-Facturacion!A209))</f>
        <v/>
      </c>
      <c r="H210" s="139">
        <f>IF(Facturacion!O209="","",Facturacion!O209)</f>
        <v/>
      </c>
      <c r="I210" s="140">
        <f>IF(Facturacion!U209="","",Facturacion!U209)</f>
        <v/>
      </c>
    </row>
    <row r="211" ht="15" customHeight="1" s="83">
      <c r="A211" s="138">
        <f>IF(Facturacion!A210="","",Facturacion!A210)</f>
        <v/>
      </c>
      <c r="B211" s="139">
        <f>IF(Facturacion!E210="","",Facturacion!E210)</f>
        <v/>
      </c>
      <c r="C211" s="139">
        <f>IF(Facturacion!G210="","",Facturacion!G210)</f>
        <v/>
      </c>
      <c r="D211" s="140">
        <f>IF(Facturacion!N210="","",Facturacion!N210)</f>
        <v/>
      </c>
      <c r="E211" s="139">
        <f>IF(Facturacion!S210="","",Facturacion!S210)</f>
        <v/>
      </c>
      <c r="F211" s="138">
        <f>IF(Facturacion!T210="","",Facturacion!T210)</f>
        <v/>
      </c>
      <c r="G211" s="141">
        <f>IF(Facturacion!A210="","",IF(Facturacion!T210&lt;&gt;"",Facturacion!T210-Facturacion!A210,TODAY()-Facturacion!A210))</f>
        <v/>
      </c>
      <c r="H211" s="139">
        <f>IF(Facturacion!O210="","",Facturacion!O210)</f>
        <v/>
      </c>
      <c r="I211" s="140">
        <f>IF(Facturacion!U210="","",Facturacion!U210)</f>
        <v/>
      </c>
    </row>
    <row r="212" ht="15" customHeight="1" s="83">
      <c r="A212" s="138">
        <f>IF(Facturacion!A211="","",Facturacion!A211)</f>
        <v/>
      </c>
      <c r="B212" s="139">
        <f>IF(Facturacion!E211="","",Facturacion!E211)</f>
        <v/>
      </c>
      <c r="C212" s="139">
        <f>IF(Facturacion!G211="","",Facturacion!G211)</f>
        <v/>
      </c>
      <c r="D212" s="140">
        <f>IF(Facturacion!N211="","",Facturacion!N211)</f>
        <v/>
      </c>
      <c r="E212" s="139">
        <f>IF(Facturacion!S211="","",Facturacion!S211)</f>
        <v/>
      </c>
      <c r="F212" s="138">
        <f>IF(Facturacion!T211="","",Facturacion!T211)</f>
        <v/>
      </c>
      <c r="G212" s="141">
        <f>IF(Facturacion!A211="","",IF(Facturacion!T211&lt;&gt;"",Facturacion!T211-Facturacion!A211,TODAY()-Facturacion!A211))</f>
        <v/>
      </c>
      <c r="H212" s="139">
        <f>IF(Facturacion!O211="","",Facturacion!O211)</f>
        <v/>
      </c>
      <c r="I212" s="140">
        <f>IF(Facturacion!U211="","",Facturacion!U211)</f>
        <v/>
      </c>
    </row>
    <row r="213" ht="15" customHeight="1" s="83">
      <c r="A213" s="138">
        <f>IF(Facturacion!A212="","",Facturacion!A212)</f>
        <v/>
      </c>
      <c r="B213" s="139">
        <f>IF(Facturacion!E212="","",Facturacion!E212)</f>
        <v/>
      </c>
      <c r="C213" s="139">
        <f>IF(Facturacion!G212="","",Facturacion!G212)</f>
        <v/>
      </c>
      <c r="D213" s="140">
        <f>IF(Facturacion!N212="","",Facturacion!N212)</f>
        <v/>
      </c>
      <c r="E213" s="139">
        <f>IF(Facturacion!S212="","",Facturacion!S212)</f>
        <v/>
      </c>
      <c r="F213" s="138">
        <f>IF(Facturacion!T212="","",Facturacion!T212)</f>
        <v/>
      </c>
      <c r="G213" s="141">
        <f>IF(Facturacion!A212="","",IF(Facturacion!T212&lt;&gt;"",Facturacion!T212-Facturacion!A212,TODAY()-Facturacion!A212))</f>
        <v/>
      </c>
      <c r="H213" s="139">
        <f>IF(Facturacion!O212="","",Facturacion!O212)</f>
        <v/>
      </c>
      <c r="I213" s="140">
        <f>IF(Facturacion!U212="","",Facturacion!U212)</f>
        <v/>
      </c>
    </row>
    <row r="214" ht="15" customHeight="1" s="83">
      <c r="A214" s="138">
        <f>IF(Facturacion!A213="","",Facturacion!A213)</f>
        <v/>
      </c>
      <c r="B214" s="139">
        <f>IF(Facturacion!E213="","",Facturacion!E213)</f>
        <v/>
      </c>
      <c r="C214" s="139">
        <f>IF(Facturacion!G213="","",Facturacion!G213)</f>
        <v/>
      </c>
      <c r="D214" s="140">
        <f>IF(Facturacion!N213="","",Facturacion!N213)</f>
        <v/>
      </c>
      <c r="E214" s="139">
        <f>IF(Facturacion!S213="","",Facturacion!S213)</f>
        <v/>
      </c>
      <c r="F214" s="138">
        <f>IF(Facturacion!T213="","",Facturacion!T213)</f>
        <v/>
      </c>
      <c r="G214" s="141">
        <f>IF(Facturacion!A213="","",IF(Facturacion!T213&lt;&gt;"",Facturacion!T213-Facturacion!A213,TODAY()-Facturacion!A213))</f>
        <v/>
      </c>
      <c r="H214" s="139">
        <f>IF(Facturacion!O213="","",Facturacion!O213)</f>
        <v/>
      </c>
      <c r="I214" s="140">
        <f>IF(Facturacion!U213="","",Facturacion!U213)</f>
        <v/>
      </c>
    </row>
    <row r="215" ht="15" customHeight="1" s="83">
      <c r="A215" s="138">
        <f>IF(Facturacion!A214="","",Facturacion!A214)</f>
        <v/>
      </c>
      <c r="B215" s="139">
        <f>IF(Facturacion!E214="","",Facturacion!E214)</f>
        <v/>
      </c>
      <c r="C215" s="139">
        <f>IF(Facturacion!G214="","",Facturacion!G214)</f>
        <v/>
      </c>
      <c r="D215" s="140">
        <f>IF(Facturacion!N214="","",Facturacion!N214)</f>
        <v/>
      </c>
      <c r="E215" s="139">
        <f>IF(Facturacion!S214="","",Facturacion!S214)</f>
        <v/>
      </c>
      <c r="F215" s="138">
        <f>IF(Facturacion!T214="","",Facturacion!T214)</f>
        <v/>
      </c>
      <c r="G215" s="141">
        <f>IF(Facturacion!A214="","",IF(Facturacion!T214&lt;&gt;"",Facturacion!T214-Facturacion!A214,TODAY()-Facturacion!A214))</f>
        <v/>
      </c>
      <c r="H215" s="139">
        <f>IF(Facturacion!O214="","",Facturacion!O214)</f>
        <v/>
      </c>
      <c r="I215" s="140">
        <f>IF(Facturacion!U214="","",Facturacion!U214)</f>
        <v/>
      </c>
    </row>
    <row r="216" ht="15" customHeight="1" s="83">
      <c r="A216" s="138">
        <f>IF(Facturacion!A215="","",Facturacion!A215)</f>
        <v/>
      </c>
      <c r="B216" s="139">
        <f>IF(Facturacion!E215="","",Facturacion!E215)</f>
        <v/>
      </c>
      <c r="C216" s="139">
        <f>IF(Facturacion!G215="","",Facturacion!G215)</f>
        <v/>
      </c>
      <c r="D216" s="140">
        <f>IF(Facturacion!N215="","",Facturacion!N215)</f>
        <v/>
      </c>
      <c r="E216" s="139">
        <f>IF(Facturacion!S215="","",Facturacion!S215)</f>
        <v/>
      </c>
      <c r="F216" s="138">
        <f>IF(Facturacion!T215="","",Facturacion!T215)</f>
        <v/>
      </c>
      <c r="G216" s="141">
        <f>IF(Facturacion!A215="","",IF(Facturacion!T215&lt;&gt;"",Facturacion!T215-Facturacion!A215,TODAY()-Facturacion!A215))</f>
        <v/>
      </c>
      <c r="H216" s="139">
        <f>IF(Facturacion!O215="","",Facturacion!O215)</f>
        <v/>
      </c>
      <c r="I216" s="140">
        <f>IF(Facturacion!U215="","",Facturacion!U215)</f>
        <v/>
      </c>
    </row>
    <row r="217" ht="15" customHeight="1" s="83">
      <c r="A217" s="138">
        <f>IF(Facturacion!A216="","",Facturacion!A216)</f>
        <v/>
      </c>
      <c r="B217" s="139">
        <f>IF(Facturacion!E216="","",Facturacion!E216)</f>
        <v/>
      </c>
      <c r="C217" s="139">
        <f>IF(Facturacion!G216="","",Facturacion!G216)</f>
        <v/>
      </c>
      <c r="D217" s="140">
        <f>IF(Facturacion!N216="","",Facturacion!N216)</f>
        <v/>
      </c>
      <c r="E217" s="139">
        <f>IF(Facturacion!S216="","",Facturacion!S216)</f>
        <v/>
      </c>
      <c r="F217" s="138">
        <f>IF(Facturacion!T216="","",Facturacion!T216)</f>
        <v/>
      </c>
      <c r="G217" s="141">
        <f>IF(Facturacion!A216="","",IF(Facturacion!T216&lt;&gt;"",Facturacion!T216-Facturacion!A216,TODAY()-Facturacion!A216))</f>
        <v/>
      </c>
      <c r="H217" s="139">
        <f>IF(Facturacion!O216="","",Facturacion!O216)</f>
        <v/>
      </c>
      <c r="I217" s="140">
        <f>IF(Facturacion!U216="","",Facturacion!U216)</f>
        <v/>
      </c>
    </row>
    <row r="218" ht="15" customHeight="1" s="83">
      <c r="A218" s="138">
        <f>IF(Facturacion!A217="","",Facturacion!A217)</f>
        <v/>
      </c>
      <c r="B218" s="139">
        <f>IF(Facturacion!E217="","",Facturacion!E217)</f>
        <v/>
      </c>
      <c r="C218" s="139">
        <f>IF(Facturacion!G217="","",Facturacion!G217)</f>
        <v/>
      </c>
      <c r="D218" s="140">
        <f>IF(Facturacion!N217="","",Facturacion!N217)</f>
        <v/>
      </c>
      <c r="E218" s="139">
        <f>IF(Facturacion!S217="","",Facturacion!S217)</f>
        <v/>
      </c>
      <c r="F218" s="138">
        <f>IF(Facturacion!T217="","",Facturacion!T217)</f>
        <v/>
      </c>
      <c r="G218" s="141">
        <f>IF(Facturacion!A217="","",IF(Facturacion!T217&lt;&gt;"",Facturacion!T217-Facturacion!A217,TODAY()-Facturacion!A217))</f>
        <v/>
      </c>
      <c r="H218" s="139">
        <f>IF(Facturacion!O217="","",Facturacion!O217)</f>
        <v/>
      </c>
      <c r="I218" s="140">
        <f>IF(Facturacion!U217="","",Facturacion!U217)</f>
        <v/>
      </c>
    </row>
    <row r="219" ht="15" customHeight="1" s="83">
      <c r="A219" s="138">
        <f>IF(Facturacion!A218="","",Facturacion!A218)</f>
        <v/>
      </c>
      <c r="B219" s="139">
        <f>IF(Facturacion!E218="","",Facturacion!E218)</f>
        <v/>
      </c>
      <c r="C219" s="139">
        <f>IF(Facturacion!G218="","",Facturacion!G218)</f>
        <v/>
      </c>
      <c r="D219" s="140">
        <f>IF(Facturacion!N218="","",Facturacion!N218)</f>
        <v/>
      </c>
      <c r="E219" s="139">
        <f>IF(Facturacion!S218="","",Facturacion!S218)</f>
        <v/>
      </c>
      <c r="F219" s="138">
        <f>IF(Facturacion!T218="","",Facturacion!T218)</f>
        <v/>
      </c>
      <c r="G219" s="141">
        <f>IF(Facturacion!A218="","",IF(Facturacion!T218&lt;&gt;"",Facturacion!T218-Facturacion!A218,TODAY()-Facturacion!A218))</f>
        <v/>
      </c>
      <c r="H219" s="139">
        <f>IF(Facturacion!O218="","",Facturacion!O218)</f>
        <v/>
      </c>
      <c r="I219" s="140">
        <f>IF(Facturacion!U218="","",Facturacion!U218)</f>
        <v/>
      </c>
    </row>
    <row r="220" ht="15" customHeight="1" s="83">
      <c r="A220" s="138">
        <f>IF(Facturacion!A219="","",Facturacion!A219)</f>
        <v/>
      </c>
      <c r="B220" s="139">
        <f>IF(Facturacion!E219="","",Facturacion!E219)</f>
        <v/>
      </c>
      <c r="C220" s="139">
        <f>IF(Facturacion!G219="","",Facturacion!G219)</f>
        <v/>
      </c>
      <c r="D220" s="140">
        <f>IF(Facturacion!N219="","",Facturacion!N219)</f>
        <v/>
      </c>
      <c r="E220" s="139">
        <f>IF(Facturacion!S219="","",Facturacion!S219)</f>
        <v/>
      </c>
      <c r="F220" s="138">
        <f>IF(Facturacion!T219="","",Facturacion!T219)</f>
        <v/>
      </c>
      <c r="G220" s="141">
        <f>IF(Facturacion!A219="","",IF(Facturacion!T219&lt;&gt;"",Facturacion!T219-Facturacion!A219,TODAY()-Facturacion!A219))</f>
        <v/>
      </c>
      <c r="H220" s="139">
        <f>IF(Facturacion!O219="","",Facturacion!O219)</f>
        <v/>
      </c>
      <c r="I220" s="140">
        <f>IF(Facturacion!U219="","",Facturacion!U219)</f>
        <v/>
      </c>
    </row>
    <row r="221" ht="15" customHeight="1" s="83">
      <c r="A221" s="138">
        <f>IF(Facturacion!A220="","",Facturacion!A220)</f>
        <v/>
      </c>
      <c r="B221" s="139">
        <f>IF(Facturacion!E220="","",Facturacion!E220)</f>
        <v/>
      </c>
      <c r="C221" s="139">
        <f>IF(Facturacion!G220="","",Facturacion!G220)</f>
        <v/>
      </c>
      <c r="D221" s="140">
        <f>IF(Facturacion!N220="","",Facturacion!N220)</f>
        <v/>
      </c>
      <c r="E221" s="139">
        <f>IF(Facturacion!S220="","",Facturacion!S220)</f>
        <v/>
      </c>
      <c r="F221" s="138">
        <f>IF(Facturacion!T220="","",Facturacion!T220)</f>
        <v/>
      </c>
      <c r="G221" s="141">
        <f>IF(Facturacion!A220="","",IF(Facturacion!T220&lt;&gt;"",Facturacion!T220-Facturacion!A220,TODAY()-Facturacion!A220))</f>
        <v/>
      </c>
      <c r="H221" s="139">
        <f>IF(Facturacion!O220="","",Facturacion!O220)</f>
        <v/>
      </c>
      <c r="I221" s="140">
        <f>IF(Facturacion!U220="","",Facturacion!U220)</f>
        <v/>
      </c>
    </row>
    <row r="222" ht="15" customHeight="1" s="83">
      <c r="A222" s="138">
        <f>IF(Facturacion!A221="","",Facturacion!A221)</f>
        <v/>
      </c>
      <c r="B222" s="139">
        <f>IF(Facturacion!E221="","",Facturacion!E221)</f>
        <v/>
      </c>
      <c r="C222" s="139">
        <f>IF(Facturacion!G221="","",Facturacion!G221)</f>
        <v/>
      </c>
      <c r="D222" s="140">
        <f>IF(Facturacion!N221="","",Facturacion!N221)</f>
        <v/>
      </c>
      <c r="E222" s="139">
        <f>IF(Facturacion!S221="","",Facturacion!S221)</f>
        <v/>
      </c>
      <c r="F222" s="138">
        <f>IF(Facturacion!T221="","",Facturacion!T221)</f>
        <v/>
      </c>
      <c r="G222" s="141">
        <f>IF(Facturacion!A221="","",IF(Facturacion!T221&lt;&gt;"",Facturacion!T221-Facturacion!A221,TODAY()-Facturacion!A221))</f>
        <v/>
      </c>
      <c r="H222" s="139">
        <f>IF(Facturacion!O221="","",Facturacion!O221)</f>
        <v/>
      </c>
      <c r="I222" s="140">
        <f>IF(Facturacion!U221="","",Facturacion!U221)</f>
        <v/>
      </c>
    </row>
    <row r="223" ht="15" customHeight="1" s="83">
      <c r="A223" s="138">
        <f>IF(Facturacion!A222="","",Facturacion!A222)</f>
        <v/>
      </c>
      <c r="B223" s="139">
        <f>IF(Facturacion!E222="","",Facturacion!E222)</f>
        <v/>
      </c>
      <c r="C223" s="139">
        <f>IF(Facturacion!G222="","",Facturacion!G222)</f>
        <v/>
      </c>
      <c r="D223" s="140">
        <f>IF(Facturacion!N222="","",Facturacion!N222)</f>
        <v/>
      </c>
      <c r="E223" s="139">
        <f>IF(Facturacion!S222="","",Facturacion!S222)</f>
        <v/>
      </c>
      <c r="F223" s="138">
        <f>IF(Facturacion!T222="","",Facturacion!T222)</f>
        <v/>
      </c>
      <c r="G223" s="141">
        <f>IF(Facturacion!A222="","",IF(Facturacion!T222&lt;&gt;"",Facturacion!T222-Facturacion!A222,TODAY()-Facturacion!A222))</f>
        <v/>
      </c>
      <c r="H223" s="139">
        <f>IF(Facturacion!O222="","",Facturacion!O222)</f>
        <v/>
      </c>
      <c r="I223" s="140">
        <f>IF(Facturacion!U222="","",Facturacion!U222)</f>
        <v/>
      </c>
    </row>
    <row r="224" ht="15" customHeight="1" s="83">
      <c r="A224" s="138">
        <f>IF(Facturacion!A223="","",Facturacion!A223)</f>
        <v/>
      </c>
      <c r="B224" s="139">
        <f>IF(Facturacion!E223="","",Facturacion!E223)</f>
        <v/>
      </c>
      <c r="C224" s="139">
        <f>IF(Facturacion!G223="","",Facturacion!G223)</f>
        <v/>
      </c>
      <c r="D224" s="140">
        <f>IF(Facturacion!N223="","",Facturacion!N223)</f>
        <v/>
      </c>
      <c r="E224" s="139">
        <f>IF(Facturacion!S223="","",Facturacion!S223)</f>
        <v/>
      </c>
      <c r="F224" s="138">
        <f>IF(Facturacion!T223="","",Facturacion!T223)</f>
        <v/>
      </c>
      <c r="G224" s="141">
        <f>IF(Facturacion!A223="","",IF(Facturacion!T223&lt;&gt;"",Facturacion!T223-Facturacion!A223,TODAY()-Facturacion!A223))</f>
        <v/>
      </c>
      <c r="H224" s="139">
        <f>IF(Facturacion!O223="","",Facturacion!O223)</f>
        <v/>
      </c>
      <c r="I224" s="140">
        <f>IF(Facturacion!U223="","",Facturacion!U223)</f>
        <v/>
      </c>
    </row>
    <row r="225" ht="15" customHeight="1" s="83">
      <c r="A225" s="138">
        <f>IF(Facturacion!A224="","",Facturacion!A224)</f>
        <v/>
      </c>
      <c r="B225" s="139">
        <f>IF(Facturacion!E224="","",Facturacion!E224)</f>
        <v/>
      </c>
      <c r="C225" s="139">
        <f>IF(Facturacion!G224="","",Facturacion!G224)</f>
        <v/>
      </c>
      <c r="D225" s="140">
        <f>IF(Facturacion!N224="","",Facturacion!N224)</f>
        <v/>
      </c>
      <c r="E225" s="139">
        <f>IF(Facturacion!S224="","",Facturacion!S224)</f>
        <v/>
      </c>
      <c r="F225" s="138">
        <f>IF(Facturacion!T224="","",Facturacion!T224)</f>
        <v/>
      </c>
      <c r="G225" s="141">
        <f>IF(Facturacion!A224="","",IF(Facturacion!T224&lt;&gt;"",Facturacion!T224-Facturacion!A224,TODAY()-Facturacion!A224))</f>
        <v/>
      </c>
      <c r="H225" s="139">
        <f>IF(Facturacion!O224="","",Facturacion!O224)</f>
        <v/>
      </c>
      <c r="I225" s="140">
        <f>IF(Facturacion!U224="","",Facturacion!U224)</f>
        <v/>
      </c>
    </row>
    <row r="226" ht="15" customHeight="1" s="83">
      <c r="A226" s="138">
        <f>IF(Facturacion!A225="","",Facturacion!A225)</f>
        <v/>
      </c>
      <c r="B226" s="139">
        <f>IF(Facturacion!E225="","",Facturacion!E225)</f>
        <v/>
      </c>
      <c r="C226" s="139">
        <f>IF(Facturacion!G225="","",Facturacion!G225)</f>
        <v/>
      </c>
      <c r="D226" s="140">
        <f>IF(Facturacion!N225="","",Facturacion!N225)</f>
        <v/>
      </c>
      <c r="E226" s="139">
        <f>IF(Facturacion!S225="","",Facturacion!S225)</f>
        <v/>
      </c>
      <c r="F226" s="138">
        <f>IF(Facturacion!T225="","",Facturacion!T225)</f>
        <v/>
      </c>
      <c r="G226" s="141">
        <f>IF(Facturacion!A225="","",IF(Facturacion!T225&lt;&gt;"",Facturacion!T225-Facturacion!A225,TODAY()-Facturacion!A225))</f>
        <v/>
      </c>
      <c r="H226" s="139">
        <f>IF(Facturacion!O225="","",Facturacion!O225)</f>
        <v/>
      </c>
      <c r="I226" s="140">
        <f>IF(Facturacion!U225="","",Facturacion!U225)</f>
        <v/>
      </c>
    </row>
    <row r="227" ht="15" customHeight="1" s="83">
      <c r="A227" s="138">
        <f>IF(Facturacion!A226="","",Facturacion!A226)</f>
        <v/>
      </c>
      <c r="B227" s="139">
        <f>IF(Facturacion!E226="","",Facturacion!E226)</f>
        <v/>
      </c>
      <c r="C227" s="139">
        <f>IF(Facturacion!G226="","",Facturacion!G226)</f>
        <v/>
      </c>
      <c r="D227" s="140">
        <f>IF(Facturacion!N226="","",Facturacion!N226)</f>
        <v/>
      </c>
      <c r="E227" s="139">
        <f>IF(Facturacion!S226="","",Facturacion!S226)</f>
        <v/>
      </c>
      <c r="F227" s="138">
        <f>IF(Facturacion!T226="","",Facturacion!T226)</f>
        <v/>
      </c>
      <c r="G227" s="141">
        <f>IF(Facturacion!A226="","",IF(Facturacion!T226&lt;&gt;"",Facturacion!T226-Facturacion!A226,TODAY()-Facturacion!A226))</f>
        <v/>
      </c>
      <c r="H227" s="139">
        <f>IF(Facturacion!O226="","",Facturacion!O226)</f>
        <v/>
      </c>
      <c r="I227" s="140">
        <f>IF(Facturacion!U226="","",Facturacion!U226)</f>
        <v/>
      </c>
    </row>
    <row r="228" ht="15" customHeight="1" s="83">
      <c r="A228" s="138">
        <f>IF(Facturacion!A227="","",Facturacion!A227)</f>
        <v/>
      </c>
      <c r="B228" s="139">
        <f>IF(Facturacion!E227="","",Facturacion!E227)</f>
        <v/>
      </c>
      <c r="C228" s="139">
        <f>IF(Facturacion!G227="","",Facturacion!G227)</f>
        <v/>
      </c>
      <c r="D228" s="140">
        <f>IF(Facturacion!N227="","",Facturacion!N227)</f>
        <v/>
      </c>
      <c r="E228" s="139">
        <f>IF(Facturacion!S227="","",Facturacion!S227)</f>
        <v/>
      </c>
      <c r="F228" s="138">
        <f>IF(Facturacion!T227="","",Facturacion!T227)</f>
        <v/>
      </c>
      <c r="G228" s="141">
        <f>IF(Facturacion!A227="","",IF(Facturacion!T227&lt;&gt;"",Facturacion!T227-Facturacion!A227,TODAY()-Facturacion!A227))</f>
        <v/>
      </c>
      <c r="H228" s="139">
        <f>IF(Facturacion!O227="","",Facturacion!O227)</f>
        <v/>
      </c>
      <c r="I228" s="140">
        <f>IF(Facturacion!U227="","",Facturacion!U227)</f>
        <v/>
      </c>
    </row>
    <row r="229" ht="15" customHeight="1" s="83">
      <c r="A229" s="138">
        <f>IF(Facturacion!A228="","",Facturacion!A228)</f>
        <v/>
      </c>
      <c r="B229" s="139">
        <f>IF(Facturacion!E228="","",Facturacion!E228)</f>
        <v/>
      </c>
      <c r="C229" s="139">
        <f>IF(Facturacion!G228="","",Facturacion!G228)</f>
        <v/>
      </c>
      <c r="D229" s="140">
        <f>IF(Facturacion!N228="","",Facturacion!N228)</f>
        <v/>
      </c>
      <c r="E229" s="139">
        <f>IF(Facturacion!S228="","",Facturacion!S228)</f>
        <v/>
      </c>
      <c r="F229" s="138">
        <f>IF(Facturacion!T228="","",Facturacion!T228)</f>
        <v/>
      </c>
      <c r="G229" s="141">
        <f>IF(Facturacion!A228="","",IF(Facturacion!T228&lt;&gt;"",Facturacion!T228-Facturacion!A228,TODAY()-Facturacion!A228))</f>
        <v/>
      </c>
      <c r="H229" s="139">
        <f>IF(Facturacion!O228="","",Facturacion!O228)</f>
        <v/>
      </c>
      <c r="I229" s="140">
        <f>IF(Facturacion!U228="","",Facturacion!U228)</f>
        <v/>
      </c>
    </row>
    <row r="230" ht="15" customHeight="1" s="83">
      <c r="A230" s="138">
        <f>IF(Facturacion!A229="","",Facturacion!A229)</f>
        <v/>
      </c>
      <c r="B230" s="139">
        <f>IF(Facturacion!E229="","",Facturacion!E229)</f>
        <v/>
      </c>
      <c r="C230" s="139">
        <f>IF(Facturacion!G229="","",Facturacion!G229)</f>
        <v/>
      </c>
      <c r="D230" s="140">
        <f>IF(Facturacion!N229="","",Facturacion!N229)</f>
        <v/>
      </c>
      <c r="E230" s="139">
        <f>IF(Facturacion!S229="","",Facturacion!S229)</f>
        <v/>
      </c>
      <c r="F230" s="138">
        <f>IF(Facturacion!T229="","",Facturacion!T229)</f>
        <v/>
      </c>
      <c r="G230" s="141">
        <f>IF(Facturacion!A229="","",IF(Facturacion!T229&lt;&gt;"",Facturacion!T229-Facturacion!A229,TODAY()-Facturacion!A229))</f>
        <v/>
      </c>
      <c r="H230" s="139">
        <f>IF(Facturacion!O229="","",Facturacion!O229)</f>
        <v/>
      </c>
      <c r="I230" s="140">
        <f>IF(Facturacion!U229="","",Facturacion!U229)</f>
        <v/>
      </c>
    </row>
    <row r="231" ht="15" customHeight="1" s="83">
      <c r="A231" s="138">
        <f>IF(Facturacion!A230="","",Facturacion!A230)</f>
        <v/>
      </c>
      <c r="B231" s="139">
        <f>IF(Facturacion!E230="","",Facturacion!E230)</f>
        <v/>
      </c>
      <c r="C231" s="139">
        <f>IF(Facturacion!G230="","",Facturacion!G230)</f>
        <v/>
      </c>
      <c r="D231" s="140">
        <f>IF(Facturacion!N230="","",Facturacion!N230)</f>
        <v/>
      </c>
      <c r="E231" s="139">
        <f>IF(Facturacion!S230="","",Facturacion!S230)</f>
        <v/>
      </c>
      <c r="F231" s="138">
        <f>IF(Facturacion!T230="","",Facturacion!T230)</f>
        <v/>
      </c>
      <c r="G231" s="141">
        <f>IF(Facturacion!A230="","",IF(Facturacion!T230&lt;&gt;"",Facturacion!T230-Facturacion!A230,TODAY()-Facturacion!A230))</f>
        <v/>
      </c>
      <c r="H231" s="139">
        <f>IF(Facturacion!O230="","",Facturacion!O230)</f>
        <v/>
      </c>
      <c r="I231" s="140">
        <f>IF(Facturacion!U230="","",Facturacion!U230)</f>
        <v/>
      </c>
    </row>
    <row r="232" ht="15" customHeight="1" s="83">
      <c r="A232" s="138">
        <f>IF(Facturacion!A231="","",Facturacion!A231)</f>
        <v/>
      </c>
      <c r="B232" s="139">
        <f>IF(Facturacion!E231="","",Facturacion!E231)</f>
        <v/>
      </c>
      <c r="C232" s="139">
        <f>IF(Facturacion!G231="","",Facturacion!G231)</f>
        <v/>
      </c>
      <c r="D232" s="140">
        <f>IF(Facturacion!N231="","",Facturacion!N231)</f>
        <v/>
      </c>
      <c r="E232" s="139">
        <f>IF(Facturacion!S231="","",Facturacion!S231)</f>
        <v/>
      </c>
      <c r="F232" s="138">
        <f>IF(Facturacion!T231="","",Facturacion!T231)</f>
        <v/>
      </c>
      <c r="G232" s="141">
        <f>IF(Facturacion!A231="","",IF(Facturacion!T231&lt;&gt;"",Facturacion!T231-Facturacion!A231,TODAY()-Facturacion!A231))</f>
        <v/>
      </c>
      <c r="H232" s="139">
        <f>IF(Facturacion!O231="","",Facturacion!O231)</f>
        <v/>
      </c>
      <c r="I232" s="140">
        <f>IF(Facturacion!U231="","",Facturacion!U231)</f>
        <v/>
      </c>
    </row>
    <row r="233" ht="15" customHeight="1" s="83">
      <c r="A233" s="138">
        <f>IF(Facturacion!A232="","",Facturacion!A232)</f>
        <v/>
      </c>
      <c r="B233" s="139">
        <f>IF(Facturacion!E232="","",Facturacion!E232)</f>
        <v/>
      </c>
      <c r="C233" s="139">
        <f>IF(Facturacion!G232="","",Facturacion!G232)</f>
        <v/>
      </c>
      <c r="D233" s="140">
        <f>IF(Facturacion!N232="","",Facturacion!N232)</f>
        <v/>
      </c>
      <c r="E233" s="139">
        <f>IF(Facturacion!S232="","",Facturacion!S232)</f>
        <v/>
      </c>
      <c r="F233" s="138">
        <f>IF(Facturacion!T232="","",Facturacion!T232)</f>
        <v/>
      </c>
      <c r="G233" s="141">
        <f>IF(Facturacion!A232="","",IF(Facturacion!T232&lt;&gt;"",Facturacion!T232-Facturacion!A232,TODAY()-Facturacion!A232))</f>
        <v/>
      </c>
      <c r="H233" s="139">
        <f>IF(Facturacion!O232="","",Facturacion!O232)</f>
        <v/>
      </c>
      <c r="I233" s="140">
        <f>IF(Facturacion!U232="","",Facturacion!U232)</f>
        <v/>
      </c>
    </row>
    <row r="234" ht="15" customHeight="1" s="83">
      <c r="A234" s="138">
        <f>IF(Facturacion!A233="","",Facturacion!A233)</f>
        <v/>
      </c>
      <c r="B234" s="139">
        <f>IF(Facturacion!E233="","",Facturacion!E233)</f>
        <v/>
      </c>
      <c r="C234" s="139">
        <f>IF(Facturacion!G233="","",Facturacion!G233)</f>
        <v/>
      </c>
      <c r="D234" s="140">
        <f>IF(Facturacion!N233="","",Facturacion!N233)</f>
        <v/>
      </c>
      <c r="E234" s="139">
        <f>IF(Facturacion!S233="","",Facturacion!S233)</f>
        <v/>
      </c>
      <c r="F234" s="138">
        <f>IF(Facturacion!T233="","",Facturacion!T233)</f>
        <v/>
      </c>
      <c r="G234" s="141">
        <f>IF(Facturacion!A233="","",IF(Facturacion!T233&lt;&gt;"",Facturacion!T233-Facturacion!A233,TODAY()-Facturacion!A233))</f>
        <v/>
      </c>
      <c r="H234" s="139">
        <f>IF(Facturacion!O233="","",Facturacion!O233)</f>
        <v/>
      </c>
      <c r="I234" s="140">
        <f>IF(Facturacion!U233="","",Facturacion!U233)</f>
        <v/>
      </c>
    </row>
    <row r="235" ht="15" customHeight="1" s="83">
      <c r="A235" s="138">
        <f>IF(Facturacion!A234="","",Facturacion!A234)</f>
        <v/>
      </c>
      <c r="B235" s="139">
        <f>IF(Facturacion!E234="","",Facturacion!E234)</f>
        <v/>
      </c>
      <c r="C235" s="139">
        <f>IF(Facturacion!G234="","",Facturacion!G234)</f>
        <v/>
      </c>
      <c r="D235" s="140">
        <f>IF(Facturacion!N234="","",Facturacion!N234)</f>
        <v/>
      </c>
      <c r="E235" s="139">
        <f>IF(Facturacion!S234="","",Facturacion!S234)</f>
        <v/>
      </c>
      <c r="F235" s="138">
        <f>IF(Facturacion!T234="","",Facturacion!T234)</f>
        <v/>
      </c>
      <c r="G235" s="141">
        <f>IF(Facturacion!A234="","",IF(Facturacion!T234&lt;&gt;"",Facturacion!T234-Facturacion!A234,TODAY()-Facturacion!A234))</f>
        <v/>
      </c>
      <c r="H235" s="139">
        <f>IF(Facturacion!O234="","",Facturacion!O234)</f>
        <v/>
      </c>
      <c r="I235" s="140">
        <f>IF(Facturacion!U234="","",Facturacion!U234)</f>
        <v/>
      </c>
    </row>
    <row r="236" ht="15" customHeight="1" s="83">
      <c r="A236" s="138">
        <f>IF(Facturacion!A235="","",Facturacion!A235)</f>
        <v/>
      </c>
      <c r="B236" s="139">
        <f>IF(Facturacion!E235="","",Facturacion!E235)</f>
        <v/>
      </c>
      <c r="C236" s="139">
        <f>IF(Facturacion!G235="","",Facturacion!G235)</f>
        <v/>
      </c>
      <c r="D236" s="140">
        <f>IF(Facturacion!N235="","",Facturacion!N235)</f>
        <v/>
      </c>
      <c r="E236" s="139">
        <f>IF(Facturacion!S235="","",Facturacion!S235)</f>
        <v/>
      </c>
      <c r="F236" s="138">
        <f>IF(Facturacion!T235="","",Facturacion!T235)</f>
        <v/>
      </c>
      <c r="G236" s="141">
        <f>IF(Facturacion!A235="","",IF(Facturacion!T235&lt;&gt;"",Facturacion!T235-Facturacion!A235,TODAY()-Facturacion!A235))</f>
        <v/>
      </c>
      <c r="H236" s="139">
        <f>IF(Facturacion!O235="","",Facturacion!O235)</f>
        <v/>
      </c>
      <c r="I236" s="140">
        <f>IF(Facturacion!U235="","",Facturacion!U235)</f>
        <v/>
      </c>
    </row>
    <row r="237" ht="15" customHeight="1" s="83">
      <c r="A237" s="138">
        <f>IF(Facturacion!A236="","",Facturacion!A236)</f>
        <v/>
      </c>
      <c r="B237" s="139">
        <f>IF(Facturacion!E236="","",Facturacion!E236)</f>
        <v/>
      </c>
      <c r="C237" s="139">
        <f>IF(Facturacion!G236="","",Facturacion!G236)</f>
        <v/>
      </c>
      <c r="D237" s="140">
        <f>IF(Facturacion!N236="","",Facturacion!N236)</f>
        <v/>
      </c>
      <c r="E237" s="139">
        <f>IF(Facturacion!S236="","",Facturacion!S236)</f>
        <v/>
      </c>
      <c r="F237" s="138">
        <f>IF(Facturacion!T236="","",Facturacion!T236)</f>
        <v/>
      </c>
      <c r="G237" s="141">
        <f>IF(Facturacion!A236="","",IF(Facturacion!T236&lt;&gt;"",Facturacion!T236-Facturacion!A236,TODAY()-Facturacion!A236))</f>
        <v/>
      </c>
      <c r="H237" s="139">
        <f>IF(Facturacion!O236="","",Facturacion!O236)</f>
        <v/>
      </c>
      <c r="I237" s="140">
        <f>IF(Facturacion!U236="","",Facturacion!U236)</f>
        <v/>
      </c>
    </row>
    <row r="238" ht="15" customHeight="1" s="83">
      <c r="A238" s="138">
        <f>IF(Facturacion!A237="","",Facturacion!A237)</f>
        <v/>
      </c>
      <c r="B238" s="139">
        <f>IF(Facturacion!E237="","",Facturacion!E237)</f>
        <v/>
      </c>
      <c r="C238" s="139">
        <f>IF(Facturacion!G237="","",Facturacion!G237)</f>
        <v/>
      </c>
      <c r="D238" s="140">
        <f>IF(Facturacion!N237="","",Facturacion!N237)</f>
        <v/>
      </c>
      <c r="E238" s="139">
        <f>IF(Facturacion!S237="","",Facturacion!S237)</f>
        <v/>
      </c>
      <c r="F238" s="138">
        <f>IF(Facturacion!T237="","",Facturacion!T237)</f>
        <v/>
      </c>
      <c r="G238" s="141">
        <f>IF(Facturacion!A237="","",IF(Facturacion!T237&lt;&gt;"",Facturacion!T237-Facturacion!A237,TODAY()-Facturacion!A237))</f>
        <v/>
      </c>
      <c r="H238" s="139">
        <f>IF(Facturacion!O237="","",Facturacion!O237)</f>
        <v/>
      </c>
      <c r="I238" s="140">
        <f>IF(Facturacion!U237="","",Facturacion!U237)</f>
        <v/>
      </c>
    </row>
    <row r="239" ht="15" customHeight="1" s="83">
      <c r="A239" s="138">
        <f>IF(Facturacion!A238="","",Facturacion!A238)</f>
        <v/>
      </c>
      <c r="B239" s="139">
        <f>IF(Facturacion!E238="","",Facturacion!E238)</f>
        <v/>
      </c>
      <c r="C239" s="139">
        <f>IF(Facturacion!G238="","",Facturacion!G238)</f>
        <v/>
      </c>
      <c r="D239" s="140">
        <f>IF(Facturacion!N238="","",Facturacion!N238)</f>
        <v/>
      </c>
      <c r="E239" s="139">
        <f>IF(Facturacion!S238="","",Facturacion!S238)</f>
        <v/>
      </c>
      <c r="F239" s="138">
        <f>IF(Facturacion!T238="","",Facturacion!T238)</f>
        <v/>
      </c>
      <c r="G239" s="141">
        <f>IF(Facturacion!A238="","",IF(Facturacion!T238&lt;&gt;"",Facturacion!T238-Facturacion!A238,TODAY()-Facturacion!A238))</f>
        <v/>
      </c>
      <c r="H239" s="139">
        <f>IF(Facturacion!O238="","",Facturacion!O238)</f>
        <v/>
      </c>
      <c r="I239" s="140">
        <f>IF(Facturacion!U238="","",Facturacion!U238)</f>
        <v/>
      </c>
    </row>
    <row r="240" ht="15" customHeight="1" s="83">
      <c r="A240" s="138">
        <f>IF(Facturacion!A239="","",Facturacion!A239)</f>
        <v/>
      </c>
      <c r="B240" s="139">
        <f>IF(Facturacion!E239="","",Facturacion!E239)</f>
        <v/>
      </c>
      <c r="C240" s="139">
        <f>IF(Facturacion!G239="","",Facturacion!G239)</f>
        <v/>
      </c>
      <c r="D240" s="140">
        <f>IF(Facturacion!N239="","",Facturacion!N239)</f>
        <v/>
      </c>
      <c r="E240" s="139">
        <f>IF(Facturacion!S239="","",Facturacion!S239)</f>
        <v/>
      </c>
      <c r="F240" s="138">
        <f>IF(Facturacion!T239="","",Facturacion!T239)</f>
        <v/>
      </c>
      <c r="G240" s="141">
        <f>IF(Facturacion!A239="","",IF(Facturacion!T239&lt;&gt;"",Facturacion!T239-Facturacion!A239,TODAY()-Facturacion!A239))</f>
        <v/>
      </c>
      <c r="H240" s="139">
        <f>IF(Facturacion!O239="","",Facturacion!O239)</f>
        <v/>
      </c>
      <c r="I240" s="140">
        <f>IF(Facturacion!U239="","",Facturacion!U239)</f>
        <v/>
      </c>
    </row>
    <row r="241" ht="15" customHeight="1" s="83">
      <c r="A241" s="138">
        <f>IF(Facturacion!A240="","",Facturacion!A240)</f>
        <v/>
      </c>
      <c r="B241" s="139">
        <f>IF(Facturacion!E240="","",Facturacion!E240)</f>
        <v/>
      </c>
      <c r="C241" s="139">
        <f>IF(Facturacion!G240="","",Facturacion!G240)</f>
        <v/>
      </c>
      <c r="D241" s="140">
        <f>IF(Facturacion!N240="","",Facturacion!N240)</f>
        <v/>
      </c>
      <c r="E241" s="139">
        <f>IF(Facturacion!S240="","",Facturacion!S240)</f>
        <v/>
      </c>
      <c r="F241" s="138">
        <f>IF(Facturacion!T240="","",Facturacion!T240)</f>
        <v/>
      </c>
      <c r="G241" s="141">
        <f>IF(Facturacion!A240="","",IF(Facturacion!T240&lt;&gt;"",Facturacion!T240-Facturacion!A240,TODAY()-Facturacion!A240))</f>
        <v/>
      </c>
      <c r="H241" s="139">
        <f>IF(Facturacion!O240="","",Facturacion!O240)</f>
        <v/>
      </c>
      <c r="I241" s="140">
        <f>IF(Facturacion!U240="","",Facturacion!U240)</f>
        <v/>
      </c>
    </row>
    <row r="242" ht="15" customHeight="1" s="83">
      <c r="A242" s="138">
        <f>IF(Facturacion!A241="","",Facturacion!A241)</f>
        <v/>
      </c>
      <c r="B242" s="139">
        <f>IF(Facturacion!E241="","",Facturacion!E241)</f>
        <v/>
      </c>
      <c r="C242" s="139">
        <f>IF(Facturacion!G241="","",Facturacion!G241)</f>
        <v/>
      </c>
      <c r="D242" s="140">
        <f>IF(Facturacion!N241="","",Facturacion!N241)</f>
        <v/>
      </c>
      <c r="E242" s="139">
        <f>IF(Facturacion!S241="","",Facturacion!S241)</f>
        <v/>
      </c>
      <c r="F242" s="138">
        <f>IF(Facturacion!T241="","",Facturacion!T241)</f>
        <v/>
      </c>
      <c r="G242" s="141">
        <f>IF(Facturacion!A241="","",IF(Facturacion!T241&lt;&gt;"",Facturacion!T241-Facturacion!A241,TODAY()-Facturacion!A241))</f>
        <v/>
      </c>
      <c r="H242" s="139">
        <f>IF(Facturacion!O241="","",Facturacion!O241)</f>
        <v/>
      </c>
      <c r="I242" s="140">
        <f>IF(Facturacion!U241="","",Facturacion!U241)</f>
        <v/>
      </c>
    </row>
    <row r="243" ht="15" customHeight="1" s="83">
      <c r="A243" s="138">
        <f>IF(Facturacion!A242="","",Facturacion!A242)</f>
        <v/>
      </c>
      <c r="B243" s="139">
        <f>IF(Facturacion!E242="","",Facturacion!E242)</f>
        <v/>
      </c>
      <c r="C243" s="139">
        <f>IF(Facturacion!G242="","",Facturacion!G242)</f>
        <v/>
      </c>
      <c r="D243" s="140">
        <f>IF(Facturacion!N242="","",Facturacion!N242)</f>
        <v/>
      </c>
      <c r="E243" s="139">
        <f>IF(Facturacion!S242="","",Facturacion!S242)</f>
        <v/>
      </c>
      <c r="F243" s="138">
        <f>IF(Facturacion!T242="","",Facturacion!T242)</f>
        <v/>
      </c>
      <c r="G243" s="141">
        <f>IF(Facturacion!A242="","",IF(Facturacion!T242&lt;&gt;"",Facturacion!T242-Facturacion!A242,TODAY()-Facturacion!A242))</f>
        <v/>
      </c>
      <c r="H243" s="139">
        <f>IF(Facturacion!O242="","",Facturacion!O242)</f>
        <v/>
      </c>
      <c r="I243" s="140">
        <f>IF(Facturacion!U242="","",Facturacion!U242)</f>
        <v/>
      </c>
    </row>
    <row r="244" ht="15" customHeight="1" s="83">
      <c r="A244" s="138">
        <f>IF(Facturacion!A243="","",Facturacion!A243)</f>
        <v/>
      </c>
      <c r="B244" s="139">
        <f>IF(Facturacion!E243="","",Facturacion!E243)</f>
        <v/>
      </c>
      <c r="C244" s="139">
        <f>IF(Facturacion!G243="","",Facturacion!G243)</f>
        <v/>
      </c>
      <c r="D244" s="140">
        <f>IF(Facturacion!N243="","",Facturacion!N243)</f>
        <v/>
      </c>
      <c r="E244" s="139">
        <f>IF(Facturacion!S243="","",Facturacion!S243)</f>
        <v/>
      </c>
      <c r="F244" s="138">
        <f>IF(Facturacion!T243="","",Facturacion!T243)</f>
        <v/>
      </c>
      <c r="G244" s="141">
        <f>IF(Facturacion!A243="","",IF(Facturacion!T243&lt;&gt;"",Facturacion!T243-Facturacion!A243,TODAY()-Facturacion!A243))</f>
        <v/>
      </c>
      <c r="H244" s="139">
        <f>IF(Facturacion!O243="","",Facturacion!O243)</f>
        <v/>
      </c>
      <c r="I244" s="140">
        <f>IF(Facturacion!U243="","",Facturacion!U243)</f>
        <v/>
      </c>
    </row>
    <row r="245" ht="15" customHeight="1" s="83">
      <c r="A245" s="138">
        <f>IF(Facturacion!A244="","",Facturacion!A244)</f>
        <v/>
      </c>
      <c r="B245" s="139">
        <f>IF(Facturacion!E244="","",Facturacion!E244)</f>
        <v/>
      </c>
      <c r="C245" s="139">
        <f>IF(Facturacion!G244="","",Facturacion!G244)</f>
        <v/>
      </c>
      <c r="D245" s="140">
        <f>IF(Facturacion!N244="","",Facturacion!N244)</f>
        <v/>
      </c>
      <c r="E245" s="139">
        <f>IF(Facturacion!S244="","",Facturacion!S244)</f>
        <v/>
      </c>
      <c r="F245" s="138">
        <f>IF(Facturacion!T244="","",Facturacion!T244)</f>
        <v/>
      </c>
      <c r="G245" s="141">
        <f>IF(Facturacion!A244="","",IF(Facturacion!T244&lt;&gt;"",Facturacion!T244-Facturacion!A244,TODAY()-Facturacion!A244))</f>
        <v/>
      </c>
      <c r="H245" s="139">
        <f>IF(Facturacion!O244="","",Facturacion!O244)</f>
        <v/>
      </c>
      <c r="I245" s="140">
        <f>IF(Facturacion!U244="","",Facturacion!U244)</f>
        <v/>
      </c>
    </row>
    <row r="246" ht="15" customHeight="1" s="83">
      <c r="A246" s="138">
        <f>IF(Facturacion!A245="","",Facturacion!A245)</f>
        <v/>
      </c>
      <c r="B246" s="139">
        <f>IF(Facturacion!E245="","",Facturacion!E245)</f>
        <v/>
      </c>
      <c r="C246" s="139">
        <f>IF(Facturacion!G245="","",Facturacion!G245)</f>
        <v/>
      </c>
      <c r="D246" s="140">
        <f>IF(Facturacion!N245="","",Facturacion!N245)</f>
        <v/>
      </c>
      <c r="E246" s="139">
        <f>IF(Facturacion!S245="","",Facturacion!S245)</f>
        <v/>
      </c>
      <c r="F246" s="138">
        <f>IF(Facturacion!T245="","",Facturacion!T245)</f>
        <v/>
      </c>
      <c r="G246" s="141">
        <f>IF(Facturacion!A245="","",IF(Facturacion!T245&lt;&gt;"",Facturacion!T245-Facturacion!A245,TODAY()-Facturacion!A245))</f>
        <v/>
      </c>
      <c r="H246" s="139">
        <f>IF(Facturacion!O245="","",Facturacion!O245)</f>
        <v/>
      </c>
      <c r="I246" s="140">
        <f>IF(Facturacion!U245="","",Facturacion!U245)</f>
        <v/>
      </c>
    </row>
    <row r="247" ht="15" customHeight="1" s="83">
      <c r="A247" s="138">
        <f>IF(Facturacion!A246="","",Facturacion!A246)</f>
        <v/>
      </c>
      <c r="B247" s="139">
        <f>IF(Facturacion!E246="","",Facturacion!E246)</f>
        <v/>
      </c>
      <c r="C247" s="139">
        <f>IF(Facturacion!G246="","",Facturacion!G246)</f>
        <v/>
      </c>
      <c r="D247" s="140">
        <f>IF(Facturacion!N246="","",Facturacion!N246)</f>
        <v/>
      </c>
      <c r="E247" s="139">
        <f>IF(Facturacion!S246="","",Facturacion!S246)</f>
        <v/>
      </c>
      <c r="F247" s="138">
        <f>IF(Facturacion!T246="","",Facturacion!T246)</f>
        <v/>
      </c>
      <c r="G247" s="141">
        <f>IF(Facturacion!A246="","",IF(Facturacion!T246&lt;&gt;"",Facturacion!T246-Facturacion!A246,TODAY()-Facturacion!A246))</f>
        <v/>
      </c>
      <c r="H247" s="139">
        <f>IF(Facturacion!O246="","",Facturacion!O246)</f>
        <v/>
      </c>
      <c r="I247" s="140">
        <f>IF(Facturacion!U246="","",Facturacion!U246)</f>
        <v/>
      </c>
    </row>
    <row r="248" ht="15" customHeight="1" s="83">
      <c r="A248" s="138">
        <f>IF(Facturacion!A247="","",Facturacion!A247)</f>
        <v/>
      </c>
      <c r="B248" s="139">
        <f>IF(Facturacion!E247="","",Facturacion!E247)</f>
        <v/>
      </c>
      <c r="C248" s="139">
        <f>IF(Facturacion!G247="","",Facturacion!G247)</f>
        <v/>
      </c>
      <c r="D248" s="140">
        <f>IF(Facturacion!N247="","",Facturacion!N247)</f>
        <v/>
      </c>
      <c r="E248" s="139">
        <f>IF(Facturacion!S247="","",Facturacion!S247)</f>
        <v/>
      </c>
      <c r="F248" s="138">
        <f>IF(Facturacion!T247="","",Facturacion!T247)</f>
        <v/>
      </c>
      <c r="G248" s="141">
        <f>IF(Facturacion!A247="","",IF(Facturacion!T247&lt;&gt;"",Facturacion!T247-Facturacion!A247,TODAY()-Facturacion!A247))</f>
        <v/>
      </c>
      <c r="H248" s="139">
        <f>IF(Facturacion!O247="","",Facturacion!O247)</f>
        <v/>
      </c>
      <c r="I248" s="140">
        <f>IF(Facturacion!U247="","",Facturacion!U247)</f>
        <v/>
      </c>
    </row>
    <row r="249" ht="15" customHeight="1" s="83">
      <c r="A249" s="138">
        <f>IF(Facturacion!A248="","",Facturacion!A248)</f>
        <v/>
      </c>
      <c r="B249" s="139">
        <f>IF(Facturacion!E248="","",Facturacion!E248)</f>
        <v/>
      </c>
      <c r="C249" s="139">
        <f>IF(Facturacion!G248="","",Facturacion!G248)</f>
        <v/>
      </c>
      <c r="D249" s="140">
        <f>IF(Facturacion!N248="","",Facturacion!N248)</f>
        <v/>
      </c>
      <c r="E249" s="139">
        <f>IF(Facturacion!S248="","",Facturacion!S248)</f>
        <v/>
      </c>
      <c r="F249" s="138">
        <f>IF(Facturacion!T248="","",Facturacion!T248)</f>
        <v/>
      </c>
      <c r="G249" s="141">
        <f>IF(Facturacion!A248="","",IF(Facturacion!T248&lt;&gt;"",Facturacion!T248-Facturacion!A248,TODAY()-Facturacion!A248))</f>
        <v/>
      </c>
      <c r="H249" s="139">
        <f>IF(Facturacion!O248="","",Facturacion!O248)</f>
        <v/>
      </c>
      <c r="I249" s="140">
        <f>IF(Facturacion!U248="","",Facturacion!U248)</f>
        <v/>
      </c>
    </row>
    <row r="250" ht="15" customHeight="1" s="83">
      <c r="A250" s="138">
        <f>IF(Facturacion!A249="","",Facturacion!A249)</f>
        <v/>
      </c>
      <c r="B250" s="139">
        <f>IF(Facturacion!E249="","",Facturacion!E249)</f>
        <v/>
      </c>
      <c r="C250" s="139">
        <f>IF(Facturacion!G249="","",Facturacion!G249)</f>
        <v/>
      </c>
      <c r="D250" s="140">
        <f>IF(Facturacion!N249="","",Facturacion!N249)</f>
        <v/>
      </c>
      <c r="E250" s="139">
        <f>IF(Facturacion!S249="","",Facturacion!S249)</f>
        <v/>
      </c>
      <c r="F250" s="138">
        <f>IF(Facturacion!T249="","",Facturacion!T249)</f>
        <v/>
      </c>
      <c r="G250" s="141">
        <f>IF(Facturacion!A249="","",IF(Facturacion!T249&lt;&gt;"",Facturacion!T249-Facturacion!A249,TODAY()-Facturacion!A249))</f>
        <v/>
      </c>
      <c r="H250" s="139">
        <f>IF(Facturacion!O249="","",Facturacion!O249)</f>
        <v/>
      </c>
      <c r="I250" s="140">
        <f>IF(Facturacion!U249="","",Facturacion!U249)</f>
        <v/>
      </c>
    </row>
    <row r="251" ht="15" customHeight="1" s="83">
      <c r="A251" s="138">
        <f>IF(Facturacion!A250="","",Facturacion!A250)</f>
        <v/>
      </c>
      <c r="B251" s="139">
        <f>IF(Facturacion!E250="","",Facturacion!E250)</f>
        <v/>
      </c>
      <c r="C251" s="139">
        <f>IF(Facturacion!G250="","",Facturacion!G250)</f>
        <v/>
      </c>
      <c r="D251" s="140">
        <f>IF(Facturacion!N250="","",Facturacion!N250)</f>
        <v/>
      </c>
      <c r="E251" s="139">
        <f>IF(Facturacion!S250="","",Facturacion!S250)</f>
        <v/>
      </c>
      <c r="F251" s="138">
        <f>IF(Facturacion!T250="","",Facturacion!T250)</f>
        <v/>
      </c>
      <c r="G251" s="141">
        <f>IF(Facturacion!A250="","",IF(Facturacion!T250&lt;&gt;"",Facturacion!T250-Facturacion!A250,TODAY()-Facturacion!A250))</f>
        <v/>
      </c>
      <c r="H251" s="139">
        <f>IF(Facturacion!O250="","",Facturacion!O250)</f>
        <v/>
      </c>
      <c r="I251" s="140">
        <f>IF(Facturacion!U250="","",Facturacion!U250)</f>
        <v/>
      </c>
    </row>
    <row r="252" ht="15" customHeight="1" s="83">
      <c r="A252" s="138">
        <f>IF(Facturacion!A251="","",Facturacion!A251)</f>
        <v/>
      </c>
      <c r="B252" s="139">
        <f>IF(Facturacion!E251="","",Facturacion!E251)</f>
        <v/>
      </c>
      <c r="C252" s="139">
        <f>IF(Facturacion!G251="","",Facturacion!G251)</f>
        <v/>
      </c>
      <c r="D252" s="140">
        <f>IF(Facturacion!N251="","",Facturacion!N251)</f>
        <v/>
      </c>
      <c r="E252" s="139">
        <f>IF(Facturacion!S251="","",Facturacion!S251)</f>
        <v/>
      </c>
      <c r="F252" s="138">
        <f>IF(Facturacion!T251="","",Facturacion!T251)</f>
        <v/>
      </c>
      <c r="G252" s="141">
        <f>IF(Facturacion!A251="","",IF(Facturacion!T251&lt;&gt;"",Facturacion!T251-Facturacion!A251,TODAY()-Facturacion!A251))</f>
        <v/>
      </c>
      <c r="H252" s="139">
        <f>IF(Facturacion!O251="","",Facturacion!O251)</f>
        <v/>
      </c>
      <c r="I252" s="140">
        <f>IF(Facturacion!U251="","",Facturacion!U251)</f>
        <v/>
      </c>
    </row>
    <row r="253" ht="15" customHeight="1" s="83">
      <c r="A253" s="138">
        <f>IF(Facturacion!A252="","",Facturacion!A252)</f>
        <v/>
      </c>
      <c r="B253" s="139">
        <f>IF(Facturacion!E252="","",Facturacion!E252)</f>
        <v/>
      </c>
      <c r="C253" s="139">
        <f>IF(Facturacion!G252="","",Facturacion!G252)</f>
        <v/>
      </c>
      <c r="D253" s="140">
        <f>IF(Facturacion!N252="","",Facturacion!N252)</f>
        <v/>
      </c>
      <c r="E253" s="139">
        <f>IF(Facturacion!S252="","",Facturacion!S252)</f>
        <v/>
      </c>
      <c r="F253" s="138">
        <f>IF(Facturacion!T252="","",Facturacion!T252)</f>
        <v/>
      </c>
      <c r="G253" s="141">
        <f>IF(Facturacion!A252="","",IF(Facturacion!T252&lt;&gt;"",Facturacion!T252-Facturacion!A252,TODAY()-Facturacion!A252))</f>
        <v/>
      </c>
      <c r="H253" s="139">
        <f>IF(Facturacion!O252="","",Facturacion!O252)</f>
        <v/>
      </c>
      <c r="I253" s="140">
        <f>IF(Facturacion!U252="","",Facturacion!U252)</f>
        <v/>
      </c>
    </row>
    <row r="254" ht="15" customHeight="1" s="83">
      <c r="A254" s="138">
        <f>IF(Facturacion!A253="","",Facturacion!A253)</f>
        <v/>
      </c>
      <c r="B254" s="139">
        <f>IF(Facturacion!E253="","",Facturacion!E253)</f>
        <v/>
      </c>
      <c r="C254" s="139">
        <f>IF(Facturacion!G253="","",Facturacion!G253)</f>
        <v/>
      </c>
      <c r="D254" s="140">
        <f>IF(Facturacion!N253="","",Facturacion!N253)</f>
        <v/>
      </c>
      <c r="E254" s="139">
        <f>IF(Facturacion!S253="","",Facturacion!S253)</f>
        <v/>
      </c>
      <c r="F254" s="138">
        <f>IF(Facturacion!T253="","",Facturacion!T253)</f>
        <v/>
      </c>
      <c r="G254" s="141">
        <f>IF(Facturacion!A253="","",IF(Facturacion!T253&lt;&gt;"",Facturacion!T253-Facturacion!A253,TODAY()-Facturacion!A253))</f>
        <v/>
      </c>
      <c r="H254" s="139">
        <f>IF(Facturacion!O253="","",Facturacion!O253)</f>
        <v/>
      </c>
      <c r="I254" s="140">
        <f>IF(Facturacion!U253="","",Facturacion!U253)</f>
        <v/>
      </c>
    </row>
    <row r="255" ht="15" customHeight="1" s="83">
      <c r="A255" s="138">
        <f>IF(Facturacion!A254="","",Facturacion!A254)</f>
        <v/>
      </c>
      <c r="B255" s="139">
        <f>IF(Facturacion!E254="","",Facturacion!E254)</f>
        <v/>
      </c>
      <c r="C255" s="139">
        <f>IF(Facturacion!G254="","",Facturacion!G254)</f>
        <v/>
      </c>
      <c r="D255" s="140">
        <f>IF(Facturacion!N254="","",Facturacion!N254)</f>
        <v/>
      </c>
      <c r="E255" s="139">
        <f>IF(Facturacion!S254="","",Facturacion!S254)</f>
        <v/>
      </c>
      <c r="F255" s="138">
        <f>IF(Facturacion!T254="","",Facturacion!T254)</f>
        <v/>
      </c>
      <c r="G255" s="141">
        <f>IF(Facturacion!A254="","",IF(Facturacion!T254&lt;&gt;"",Facturacion!T254-Facturacion!A254,TODAY()-Facturacion!A254))</f>
        <v/>
      </c>
      <c r="H255" s="139">
        <f>IF(Facturacion!O254="","",Facturacion!O254)</f>
        <v/>
      </c>
      <c r="I255" s="140">
        <f>IF(Facturacion!U254="","",Facturacion!U254)</f>
        <v/>
      </c>
    </row>
    <row r="256" ht="15" customHeight="1" s="83">
      <c r="A256" s="138">
        <f>IF(Facturacion!A255="","",Facturacion!A255)</f>
        <v/>
      </c>
      <c r="B256" s="139">
        <f>IF(Facturacion!E255="","",Facturacion!E255)</f>
        <v/>
      </c>
      <c r="C256" s="139">
        <f>IF(Facturacion!G255="","",Facturacion!G255)</f>
        <v/>
      </c>
      <c r="D256" s="140">
        <f>IF(Facturacion!N255="","",Facturacion!N255)</f>
        <v/>
      </c>
      <c r="E256" s="139">
        <f>IF(Facturacion!S255="","",Facturacion!S255)</f>
        <v/>
      </c>
      <c r="F256" s="138">
        <f>IF(Facturacion!T255="","",Facturacion!T255)</f>
        <v/>
      </c>
      <c r="G256" s="141">
        <f>IF(Facturacion!A255="","",IF(Facturacion!T255&lt;&gt;"",Facturacion!T255-Facturacion!A255,TODAY()-Facturacion!A255))</f>
        <v/>
      </c>
      <c r="H256" s="139">
        <f>IF(Facturacion!O255="","",Facturacion!O255)</f>
        <v/>
      </c>
      <c r="I256" s="140">
        <f>IF(Facturacion!U255="","",Facturacion!U255)</f>
        <v/>
      </c>
    </row>
    <row r="257" ht="15" customHeight="1" s="83">
      <c r="A257" s="138">
        <f>IF(Facturacion!A256="","",Facturacion!A256)</f>
        <v/>
      </c>
      <c r="B257" s="139">
        <f>IF(Facturacion!E256="","",Facturacion!E256)</f>
        <v/>
      </c>
      <c r="C257" s="139">
        <f>IF(Facturacion!G256="","",Facturacion!G256)</f>
        <v/>
      </c>
      <c r="D257" s="140">
        <f>IF(Facturacion!N256="","",Facturacion!N256)</f>
        <v/>
      </c>
      <c r="E257" s="139">
        <f>IF(Facturacion!S256="","",Facturacion!S256)</f>
        <v/>
      </c>
      <c r="F257" s="138">
        <f>IF(Facturacion!T256="","",Facturacion!T256)</f>
        <v/>
      </c>
      <c r="G257" s="141">
        <f>IF(Facturacion!A256="","",IF(Facturacion!T256&lt;&gt;"",Facturacion!T256-Facturacion!A256,TODAY()-Facturacion!A256))</f>
        <v/>
      </c>
      <c r="H257" s="139">
        <f>IF(Facturacion!O256="","",Facturacion!O256)</f>
        <v/>
      </c>
      <c r="I257" s="140">
        <f>IF(Facturacion!U256="","",Facturacion!U256)</f>
        <v/>
      </c>
    </row>
    <row r="258" ht="15" customHeight="1" s="83">
      <c r="A258" s="138">
        <f>IF(Facturacion!A257="","",Facturacion!A257)</f>
        <v/>
      </c>
      <c r="B258" s="139">
        <f>IF(Facturacion!E257="","",Facturacion!E257)</f>
        <v/>
      </c>
      <c r="C258" s="139">
        <f>IF(Facturacion!G257="","",Facturacion!G257)</f>
        <v/>
      </c>
      <c r="D258" s="140">
        <f>IF(Facturacion!N257="","",Facturacion!N257)</f>
        <v/>
      </c>
      <c r="E258" s="139">
        <f>IF(Facturacion!S257="","",Facturacion!S257)</f>
        <v/>
      </c>
      <c r="F258" s="138">
        <f>IF(Facturacion!T257="","",Facturacion!T257)</f>
        <v/>
      </c>
      <c r="G258" s="141">
        <f>IF(Facturacion!A257="","",IF(Facturacion!T257&lt;&gt;"",Facturacion!T257-Facturacion!A257,TODAY()-Facturacion!A257))</f>
        <v/>
      </c>
      <c r="H258" s="139">
        <f>IF(Facturacion!O257="","",Facturacion!O257)</f>
        <v/>
      </c>
      <c r="I258" s="140">
        <f>IF(Facturacion!U257="","",Facturacion!U257)</f>
        <v/>
      </c>
    </row>
    <row r="259" ht="15" customHeight="1" s="83">
      <c r="A259" s="138">
        <f>IF(Facturacion!A258="","",Facturacion!A258)</f>
        <v/>
      </c>
      <c r="B259" s="139">
        <f>IF(Facturacion!E258="","",Facturacion!E258)</f>
        <v/>
      </c>
      <c r="C259" s="139">
        <f>IF(Facturacion!G258="","",Facturacion!G258)</f>
        <v/>
      </c>
      <c r="D259" s="140">
        <f>IF(Facturacion!N258="","",Facturacion!N258)</f>
        <v/>
      </c>
      <c r="E259" s="139">
        <f>IF(Facturacion!S258="","",Facturacion!S258)</f>
        <v/>
      </c>
      <c r="F259" s="138">
        <f>IF(Facturacion!T258="","",Facturacion!T258)</f>
        <v/>
      </c>
      <c r="G259" s="141">
        <f>IF(Facturacion!A258="","",IF(Facturacion!T258&lt;&gt;"",Facturacion!T258-Facturacion!A258,TODAY()-Facturacion!A258))</f>
        <v/>
      </c>
      <c r="H259" s="139">
        <f>IF(Facturacion!O258="","",Facturacion!O258)</f>
        <v/>
      </c>
      <c r="I259" s="140">
        <f>IF(Facturacion!U258="","",Facturacion!U258)</f>
        <v/>
      </c>
    </row>
    <row r="260" ht="15" customHeight="1" s="83">
      <c r="A260" s="138">
        <f>IF(Facturacion!A259="","",Facturacion!A259)</f>
        <v/>
      </c>
      <c r="B260" s="139">
        <f>IF(Facturacion!E259="","",Facturacion!E259)</f>
        <v/>
      </c>
      <c r="C260" s="139">
        <f>IF(Facturacion!G259="","",Facturacion!G259)</f>
        <v/>
      </c>
      <c r="D260" s="140">
        <f>IF(Facturacion!N259="","",Facturacion!N259)</f>
        <v/>
      </c>
      <c r="E260" s="139">
        <f>IF(Facturacion!S259="","",Facturacion!S259)</f>
        <v/>
      </c>
      <c r="F260" s="138">
        <f>IF(Facturacion!T259="","",Facturacion!T259)</f>
        <v/>
      </c>
      <c r="G260" s="141">
        <f>IF(Facturacion!A259="","",IF(Facturacion!T259&lt;&gt;"",Facturacion!T259-Facturacion!A259,TODAY()-Facturacion!A259))</f>
        <v/>
      </c>
      <c r="H260" s="139">
        <f>IF(Facturacion!O259="","",Facturacion!O259)</f>
        <v/>
      </c>
      <c r="I260" s="140">
        <f>IF(Facturacion!U259="","",Facturacion!U259)</f>
        <v/>
      </c>
    </row>
    <row r="261" ht="15" customHeight="1" s="83">
      <c r="A261" s="138">
        <f>IF(Facturacion!A260="","",Facturacion!A260)</f>
        <v/>
      </c>
      <c r="B261" s="139">
        <f>IF(Facturacion!E260="","",Facturacion!E260)</f>
        <v/>
      </c>
      <c r="C261" s="139">
        <f>IF(Facturacion!G260="","",Facturacion!G260)</f>
        <v/>
      </c>
      <c r="D261" s="140">
        <f>IF(Facturacion!N260="","",Facturacion!N260)</f>
        <v/>
      </c>
      <c r="E261" s="139">
        <f>IF(Facturacion!S260="","",Facturacion!S260)</f>
        <v/>
      </c>
      <c r="F261" s="138">
        <f>IF(Facturacion!T260="","",Facturacion!T260)</f>
        <v/>
      </c>
      <c r="G261" s="141">
        <f>IF(Facturacion!A260="","",IF(Facturacion!T260&lt;&gt;"",Facturacion!T260-Facturacion!A260,TODAY()-Facturacion!A260))</f>
        <v/>
      </c>
      <c r="H261" s="139">
        <f>IF(Facturacion!O260="","",Facturacion!O260)</f>
        <v/>
      </c>
      <c r="I261" s="140">
        <f>IF(Facturacion!U260="","",Facturacion!U260)</f>
        <v/>
      </c>
    </row>
    <row r="262" ht="15" customHeight="1" s="83">
      <c r="A262" s="138">
        <f>IF(Facturacion!A261="","",Facturacion!A261)</f>
        <v/>
      </c>
      <c r="B262" s="139">
        <f>IF(Facturacion!E261="","",Facturacion!E261)</f>
        <v/>
      </c>
      <c r="C262" s="139">
        <f>IF(Facturacion!G261="","",Facturacion!G261)</f>
        <v/>
      </c>
      <c r="D262" s="140">
        <f>IF(Facturacion!N261="","",Facturacion!N261)</f>
        <v/>
      </c>
      <c r="E262" s="139">
        <f>IF(Facturacion!S261="","",Facturacion!S261)</f>
        <v/>
      </c>
      <c r="F262" s="138">
        <f>IF(Facturacion!T261="","",Facturacion!T261)</f>
        <v/>
      </c>
      <c r="G262" s="141">
        <f>IF(Facturacion!A261="","",IF(Facturacion!T261&lt;&gt;"",Facturacion!T261-Facturacion!A261,TODAY()-Facturacion!A261))</f>
        <v/>
      </c>
      <c r="H262" s="139">
        <f>IF(Facturacion!O261="","",Facturacion!O261)</f>
        <v/>
      </c>
      <c r="I262" s="140">
        <f>IF(Facturacion!U261="","",Facturacion!U261)</f>
        <v/>
      </c>
    </row>
    <row r="263" ht="15" customHeight="1" s="83">
      <c r="A263" s="138">
        <f>IF(Facturacion!A262="","",Facturacion!A262)</f>
        <v/>
      </c>
      <c r="B263" s="139">
        <f>IF(Facturacion!E262="","",Facturacion!E262)</f>
        <v/>
      </c>
      <c r="C263" s="139">
        <f>IF(Facturacion!G262="","",Facturacion!G262)</f>
        <v/>
      </c>
      <c r="D263" s="140">
        <f>IF(Facturacion!N262="","",Facturacion!N262)</f>
        <v/>
      </c>
      <c r="E263" s="139">
        <f>IF(Facturacion!S262="","",Facturacion!S262)</f>
        <v/>
      </c>
      <c r="F263" s="138">
        <f>IF(Facturacion!T262="","",Facturacion!T262)</f>
        <v/>
      </c>
      <c r="G263" s="141">
        <f>IF(Facturacion!A262="","",IF(Facturacion!T262&lt;&gt;"",Facturacion!T262-Facturacion!A262,TODAY()-Facturacion!A262))</f>
        <v/>
      </c>
      <c r="H263" s="139">
        <f>IF(Facturacion!O262="","",Facturacion!O262)</f>
        <v/>
      </c>
      <c r="I263" s="140">
        <f>IF(Facturacion!U262="","",Facturacion!U262)</f>
        <v/>
      </c>
    </row>
    <row r="264" ht="15" customHeight="1" s="83">
      <c r="A264" s="138">
        <f>IF(Facturacion!A263="","",Facturacion!A263)</f>
        <v/>
      </c>
      <c r="B264" s="139">
        <f>IF(Facturacion!E263="","",Facturacion!E263)</f>
        <v/>
      </c>
      <c r="C264" s="139">
        <f>IF(Facturacion!G263="","",Facturacion!G263)</f>
        <v/>
      </c>
      <c r="D264" s="140">
        <f>IF(Facturacion!N263="","",Facturacion!N263)</f>
        <v/>
      </c>
      <c r="E264" s="139">
        <f>IF(Facturacion!S263="","",Facturacion!S263)</f>
        <v/>
      </c>
      <c r="F264" s="138">
        <f>IF(Facturacion!T263="","",Facturacion!T263)</f>
        <v/>
      </c>
      <c r="G264" s="141">
        <f>IF(Facturacion!A263="","",IF(Facturacion!T263&lt;&gt;"",Facturacion!T263-Facturacion!A263,TODAY()-Facturacion!A263))</f>
        <v/>
      </c>
      <c r="H264" s="139">
        <f>IF(Facturacion!O263="","",Facturacion!O263)</f>
        <v/>
      </c>
      <c r="I264" s="140">
        <f>IF(Facturacion!U263="","",Facturacion!U263)</f>
        <v/>
      </c>
    </row>
    <row r="265" ht="15" customHeight="1" s="83">
      <c r="A265" s="138">
        <f>IF(Facturacion!A264="","",Facturacion!A264)</f>
        <v/>
      </c>
      <c r="B265" s="139">
        <f>IF(Facturacion!E264="","",Facturacion!E264)</f>
        <v/>
      </c>
      <c r="C265" s="139">
        <f>IF(Facturacion!G264="","",Facturacion!G264)</f>
        <v/>
      </c>
      <c r="D265" s="140">
        <f>IF(Facturacion!N264="","",Facturacion!N264)</f>
        <v/>
      </c>
      <c r="E265" s="139">
        <f>IF(Facturacion!S264="","",Facturacion!S264)</f>
        <v/>
      </c>
      <c r="F265" s="138">
        <f>IF(Facturacion!T264="","",Facturacion!T264)</f>
        <v/>
      </c>
      <c r="G265" s="141">
        <f>IF(Facturacion!A264="","",IF(Facturacion!T264&lt;&gt;"",Facturacion!T264-Facturacion!A264,TODAY()-Facturacion!A264))</f>
        <v/>
      </c>
      <c r="H265" s="139">
        <f>IF(Facturacion!O264="","",Facturacion!O264)</f>
        <v/>
      </c>
      <c r="I265" s="140">
        <f>IF(Facturacion!U264="","",Facturacion!U264)</f>
        <v/>
      </c>
    </row>
    <row r="266" ht="15" customHeight="1" s="83">
      <c r="A266" s="138">
        <f>IF(Facturacion!A265="","",Facturacion!A265)</f>
        <v/>
      </c>
      <c r="B266" s="139">
        <f>IF(Facturacion!E265="","",Facturacion!E265)</f>
        <v/>
      </c>
      <c r="C266" s="139">
        <f>IF(Facturacion!G265="","",Facturacion!G265)</f>
        <v/>
      </c>
      <c r="D266" s="140">
        <f>IF(Facturacion!N265="","",Facturacion!N265)</f>
        <v/>
      </c>
      <c r="E266" s="139">
        <f>IF(Facturacion!S265="","",Facturacion!S265)</f>
        <v/>
      </c>
      <c r="F266" s="138">
        <f>IF(Facturacion!T265="","",Facturacion!T265)</f>
        <v/>
      </c>
      <c r="G266" s="141">
        <f>IF(Facturacion!A265="","",IF(Facturacion!T265&lt;&gt;"",Facturacion!T265-Facturacion!A265,TODAY()-Facturacion!A265))</f>
        <v/>
      </c>
      <c r="H266" s="139">
        <f>IF(Facturacion!O265="","",Facturacion!O265)</f>
        <v/>
      </c>
      <c r="I266" s="140">
        <f>IF(Facturacion!U265="","",Facturacion!U265)</f>
        <v/>
      </c>
    </row>
    <row r="267" ht="15" customHeight="1" s="83">
      <c r="A267" s="138">
        <f>IF(Facturacion!A266="","",Facturacion!A266)</f>
        <v/>
      </c>
      <c r="B267" s="139">
        <f>IF(Facturacion!E266="","",Facturacion!E266)</f>
        <v/>
      </c>
      <c r="C267" s="139">
        <f>IF(Facturacion!G266="","",Facturacion!G266)</f>
        <v/>
      </c>
      <c r="D267" s="140">
        <f>IF(Facturacion!N266="","",Facturacion!N266)</f>
        <v/>
      </c>
      <c r="E267" s="139">
        <f>IF(Facturacion!S266="","",Facturacion!S266)</f>
        <v/>
      </c>
      <c r="F267" s="138">
        <f>IF(Facturacion!T266="","",Facturacion!T266)</f>
        <v/>
      </c>
      <c r="G267" s="141">
        <f>IF(Facturacion!A266="","",IF(Facturacion!T266&lt;&gt;"",Facturacion!T266-Facturacion!A266,TODAY()-Facturacion!A266))</f>
        <v/>
      </c>
      <c r="H267" s="139">
        <f>IF(Facturacion!O266="","",Facturacion!O266)</f>
        <v/>
      </c>
      <c r="I267" s="140">
        <f>IF(Facturacion!U266="","",Facturacion!U266)</f>
        <v/>
      </c>
    </row>
    <row r="268" ht="15" customHeight="1" s="83">
      <c r="A268" s="138">
        <f>IF(Facturacion!A267="","",Facturacion!A267)</f>
        <v/>
      </c>
      <c r="B268" s="139">
        <f>IF(Facturacion!E267="","",Facturacion!E267)</f>
        <v/>
      </c>
      <c r="C268" s="139">
        <f>IF(Facturacion!G267="","",Facturacion!G267)</f>
        <v/>
      </c>
      <c r="D268" s="140">
        <f>IF(Facturacion!N267="","",Facturacion!N267)</f>
        <v/>
      </c>
      <c r="E268" s="139">
        <f>IF(Facturacion!S267="","",Facturacion!S267)</f>
        <v/>
      </c>
      <c r="F268" s="138">
        <f>IF(Facturacion!T267="","",Facturacion!T267)</f>
        <v/>
      </c>
      <c r="G268" s="141">
        <f>IF(Facturacion!A267="","",IF(Facturacion!T267&lt;&gt;"",Facturacion!T267-Facturacion!A267,TODAY()-Facturacion!A267))</f>
        <v/>
      </c>
      <c r="H268" s="139">
        <f>IF(Facturacion!O267="","",Facturacion!O267)</f>
        <v/>
      </c>
      <c r="I268" s="140">
        <f>IF(Facturacion!U267="","",Facturacion!U267)</f>
        <v/>
      </c>
    </row>
    <row r="269" ht="15" customHeight="1" s="83">
      <c r="A269" s="138">
        <f>IF(Facturacion!A268="","",Facturacion!A268)</f>
        <v/>
      </c>
      <c r="B269" s="139">
        <f>IF(Facturacion!E268="","",Facturacion!E268)</f>
        <v/>
      </c>
      <c r="C269" s="139">
        <f>IF(Facturacion!G268="","",Facturacion!G268)</f>
        <v/>
      </c>
      <c r="D269" s="140">
        <f>IF(Facturacion!N268="","",Facturacion!N268)</f>
        <v/>
      </c>
      <c r="E269" s="139">
        <f>IF(Facturacion!S268="","",Facturacion!S268)</f>
        <v/>
      </c>
      <c r="F269" s="138">
        <f>IF(Facturacion!T268="","",Facturacion!T268)</f>
        <v/>
      </c>
      <c r="G269" s="141">
        <f>IF(Facturacion!A268="","",IF(Facturacion!T268&lt;&gt;"",Facturacion!T268-Facturacion!A268,TODAY()-Facturacion!A268))</f>
        <v/>
      </c>
      <c r="H269" s="139">
        <f>IF(Facturacion!O268="","",Facturacion!O268)</f>
        <v/>
      </c>
      <c r="I269" s="140">
        <f>IF(Facturacion!U268="","",Facturacion!U268)</f>
        <v/>
      </c>
    </row>
    <row r="270" ht="15" customHeight="1" s="83">
      <c r="A270" s="138">
        <f>IF(Facturacion!A269="","",Facturacion!A269)</f>
        <v/>
      </c>
      <c r="B270" s="139">
        <f>IF(Facturacion!E269="","",Facturacion!E269)</f>
        <v/>
      </c>
      <c r="C270" s="139">
        <f>IF(Facturacion!G269="","",Facturacion!G269)</f>
        <v/>
      </c>
      <c r="D270" s="140">
        <f>IF(Facturacion!N269="","",Facturacion!N269)</f>
        <v/>
      </c>
      <c r="E270" s="139">
        <f>IF(Facturacion!S269="","",Facturacion!S269)</f>
        <v/>
      </c>
      <c r="F270" s="138">
        <f>IF(Facturacion!T269="","",Facturacion!T269)</f>
        <v/>
      </c>
      <c r="G270" s="141">
        <f>IF(Facturacion!A269="","",IF(Facturacion!T269&lt;&gt;"",Facturacion!T269-Facturacion!A269,TODAY()-Facturacion!A269))</f>
        <v/>
      </c>
      <c r="H270" s="139">
        <f>IF(Facturacion!O269="","",Facturacion!O269)</f>
        <v/>
      </c>
      <c r="I270" s="140">
        <f>IF(Facturacion!U269="","",Facturacion!U269)</f>
        <v/>
      </c>
    </row>
    <row r="271" ht="15" customHeight="1" s="83">
      <c r="A271" s="138">
        <f>IF(Facturacion!A270="","",Facturacion!A270)</f>
        <v/>
      </c>
      <c r="B271" s="139">
        <f>IF(Facturacion!E270="","",Facturacion!E270)</f>
        <v/>
      </c>
      <c r="C271" s="139">
        <f>IF(Facturacion!G270="","",Facturacion!G270)</f>
        <v/>
      </c>
      <c r="D271" s="140">
        <f>IF(Facturacion!N270="","",Facturacion!N270)</f>
        <v/>
      </c>
      <c r="E271" s="139">
        <f>IF(Facturacion!S270="","",Facturacion!S270)</f>
        <v/>
      </c>
      <c r="F271" s="138">
        <f>IF(Facturacion!T270="","",Facturacion!T270)</f>
        <v/>
      </c>
      <c r="G271" s="141">
        <f>IF(Facturacion!A270="","",IF(Facturacion!T270&lt;&gt;"",Facturacion!T270-Facturacion!A270,TODAY()-Facturacion!A270))</f>
        <v/>
      </c>
      <c r="H271" s="139">
        <f>IF(Facturacion!O270="","",Facturacion!O270)</f>
        <v/>
      </c>
      <c r="I271" s="140">
        <f>IF(Facturacion!U270="","",Facturacion!U270)</f>
        <v/>
      </c>
    </row>
    <row r="272" ht="15" customHeight="1" s="83">
      <c r="A272" s="138">
        <f>IF(Facturacion!A271="","",Facturacion!A271)</f>
        <v/>
      </c>
      <c r="B272" s="139">
        <f>IF(Facturacion!E271="","",Facturacion!E271)</f>
        <v/>
      </c>
      <c r="C272" s="139">
        <f>IF(Facturacion!G271="","",Facturacion!G271)</f>
        <v/>
      </c>
      <c r="D272" s="140">
        <f>IF(Facturacion!N271="","",Facturacion!N271)</f>
        <v/>
      </c>
      <c r="E272" s="139">
        <f>IF(Facturacion!S271="","",Facturacion!S271)</f>
        <v/>
      </c>
      <c r="F272" s="138">
        <f>IF(Facturacion!T271="","",Facturacion!T271)</f>
        <v/>
      </c>
      <c r="G272" s="141">
        <f>IF(Facturacion!A271="","",IF(Facturacion!T271&lt;&gt;"",Facturacion!T271-Facturacion!A271,TODAY()-Facturacion!A271))</f>
        <v/>
      </c>
      <c r="H272" s="139">
        <f>IF(Facturacion!O271="","",Facturacion!O271)</f>
        <v/>
      </c>
      <c r="I272" s="140">
        <f>IF(Facturacion!U271="","",Facturacion!U271)</f>
        <v/>
      </c>
    </row>
    <row r="273" ht="15" customHeight="1" s="83">
      <c r="A273" s="138">
        <f>IF(Facturacion!A272="","",Facturacion!A272)</f>
        <v/>
      </c>
      <c r="B273" s="139">
        <f>IF(Facturacion!E272="","",Facturacion!E272)</f>
        <v/>
      </c>
      <c r="C273" s="139">
        <f>IF(Facturacion!G272="","",Facturacion!G272)</f>
        <v/>
      </c>
      <c r="D273" s="140">
        <f>IF(Facturacion!N272="","",Facturacion!N272)</f>
        <v/>
      </c>
      <c r="E273" s="139">
        <f>IF(Facturacion!S272="","",Facturacion!S272)</f>
        <v/>
      </c>
      <c r="F273" s="138">
        <f>IF(Facturacion!T272="","",Facturacion!T272)</f>
        <v/>
      </c>
      <c r="G273" s="141">
        <f>IF(Facturacion!A272="","",IF(Facturacion!T272&lt;&gt;"",Facturacion!T272-Facturacion!A272,TODAY()-Facturacion!A272))</f>
        <v/>
      </c>
      <c r="H273" s="139">
        <f>IF(Facturacion!O272="","",Facturacion!O272)</f>
        <v/>
      </c>
      <c r="I273" s="140">
        <f>IF(Facturacion!U272="","",Facturacion!U272)</f>
        <v/>
      </c>
    </row>
    <row r="274" ht="15" customHeight="1" s="83">
      <c r="A274" s="138">
        <f>IF(Facturacion!A273="","",Facturacion!A273)</f>
        <v/>
      </c>
      <c r="B274" s="139">
        <f>IF(Facturacion!E273="","",Facturacion!E273)</f>
        <v/>
      </c>
      <c r="C274" s="139">
        <f>IF(Facturacion!G273="","",Facturacion!G273)</f>
        <v/>
      </c>
      <c r="D274" s="140">
        <f>IF(Facturacion!N273="","",Facturacion!N273)</f>
        <v/>
      </c>
      <c r="E274" s="139">
        <f>IF(Facturacion!S273="","",Facturacion!S273)</f>
        <v/>
      </c>
      <c r="F274" s="138">
        <f>IF(Facturacion!T273="","",Facturacion!T273)</f>
        <v/>
      </c>
      <c r="G274" s="141">
        <f>IF(Facturacion!A273="","",IF(Facturacion!T273&lt;&gt;"",Facturacion!T273-Facturacion!A273,TODAY()-Facturacion!A273))</f>
        <v/>
      </c>
      <c r="H274" s="139">
        <f>IF(Facturacion!O273="","",Facturacion!O273)</f>
        <v/>
      </c>
      <c r="I274" s="140">
        <f>IF(Facturacion!U273="","",Facturacion!U273)</f>
        <v/>
      </c>
    </row>
    <row r="275" ht="15" customHeight="1" s="83">
      <c r="A275" s="138">
        <f>IF(Facturacion!A274="","",Facturacion!A274)</f>
        <v/>
      </c>
      <c r="B275" s="139">
        <f>IF(Facturacion!E274="","",Facturacion!E274)</f>
        <v/>
      </c>
      <c r="C275" s="139">
        <f>IF(Facturacion!G274="","",Facturacion!G274)</f>
        <v/>
      </c>
      <c r="D275" s="140">
        <f>IF(Facturacion!N274="","",Facturacion!N274)</f>
        <v/>
      </c>
      <c r="E275" s="139">
        <f>IF(Facturacion!S274="","",Facturacion!S274)</f>
        <v/>
      </c>
      <c r="F275" s="138">
        <f>IF(Facturacion!T274="","",Facturacion!T274)</f>
        <v/>
      </c>
      <c r="G275" s="141">
        <f>IF(Facturacion!A274="","",IF(Facturacion!T274&lt;&gt;"",Facturacion!T274-Facturacion!A274,TODAY()-Facturacion!A274))</f>
        <v/>
      </c>
      <c r="H275" s="139">
        <f>IF(Facturacion!O274="","",Facturacion!O274)</f>
        <v/>
      </c>
      <c r="I275" s="140">
        <f>IF(Facturacion!U274="","",Facturacion!U274)</f>
        <v/>
      </c>
    </row>
    <row r="276" ht="15" customHeight="1" s="83">
      <c r="A276" s="138">
        <f>IF(Facturacion!A275="","",Facturacion!A275)</f>
        <v/>
      </c>
      <c r="B276" s="139">
        <f>IF(Facturacion!E275="","",Facturacion!E275)</f>
        <v/>
      </c>
      <c r="C276" s="139">
        <f>IF(Facturacion!G275="","",Facturacion!G275)</f>
        <v/>
      </c>
      <c r="D276" s="140">
        <f>IF(Facturacion!N275="","",Facturacion!N275)</f>
        <v/>
      </c>
      <c r="E276" s="139">
        <f>IF(Facturacion!S275="","",Facturacion!S275)</f>
        <v/>
      </c>
      <c r="F276" s="138">
        <f>IF(Facturacion!T275="","",Facturacion!T275)</f>
        <v/>
      </c>
      <c r="G276" s="141">
        <f>IF(Facturacion!A275="","",IF(Facturacion!T275&lt;&gt;"",Facturacion!T275-Facturacion!A275,TODAY()-Facturacion!A275))</f>
        <v/>
      </c>
      <c r="H276" s="139">
        <f>IF(Facturacion!O275="","",Facturacion!O275)</f>
        <v/>
      </c>
      <c r="I276" s="140">
        <f>IF(Facturacion!U275="","",Facturacion!U275)</f>
        <v/>
      </c>
    </row>
    <row r="277" ht="15" customHeight="1" s="83">
      <c r="A277" s="138">
        <f>IF(Facturacion!A276="","",Facturacion!A276)</f>
        <v/>
      </c>
      <c r="B277" s="139">
        <f>IF(Facturacion!E276="","",Facturacion!E276)</f>
        <v/>
      </c>
      <c r="C277" s="139">
        <f>IF(Facturacion!G276="","",Facturacion!G276)</f>
        <v/>
      </c>
      <c r="D277" s="140">
        <f>IF(Facturacion!N276="","",Facturacion!N276)</f>
        <v/>
      </c>
      <c r="E277" s="139">
        <f>IF(Facturacion!S276="","",Facturacion!S276)</f>
        <v/>
      </c>
      <c r="F277" s="138">
        <f>IF(Facturacion!T276="","",Facturacion!T276)</f>
        <v/>
      </c>
      <c r="G277" s="141">
        <f>IF(Facturacion!A276="","",IF(Facturacion!T276&lt;&gt;"",Facturacion!T276-Facturacion!A276,TODAY()-Facturacion!A276))</f>
        <v/>
      </c>
      <c r="H277" s="139">
        <f>IF(Facturacion!O276="","",Facturacion!O276)</f>
        <v/>
      </c>
      <c r="I277" s="140">
        <f>IF(Facturacion!U276="","",Facturacion!U276)</f>
        <v/>
      </c>
    </row>
    <row r="278" ht="15" customHeight="1" s="83">
      <c r="A278" s="138">
        <f>IF(Facturacion!A277="","",Facturacion!A277)</f>
        <v/>
      </c>
      <c r="B278" s="139">
        <f>IF(Facturacion!E277="","",Facturacion!E277)</f>
        <v/>
      </c>
      <c r="C278" s="139">
        <f>IF(Facturacion!G277="","",Facturacion!G277)</f>
        <v/>
      </c>
      <c r="D278" s="140">
        <f>IF(Facturacion!N277="","",Facturacion!N277)</f>
        <v/>
      </c>
      <c r="E278" s="139">
        <f>IF(Facturacion!S277="","",Facturacion!S277)</f>
        <v/>
      </c>
      <c r="F278" s="138">
        <f>IF(Facturacion!T277="","",Facturacion!T277)</f>
        <v/>
      </c>
      <c r="G278" s="141">
        <f>IF(Facturacion!A277="","",IF(Facturacion!T277&lt;&gt;"",Facturacion!T277-Facturacion!A277,TODAY()-Facturacion!A277))</f>
        <v/>
      </c>
      <c r="H278" s="139">
        <f>IF(Facturacion!O277="","",Facturacion!O277)</f>
        <v/>
      </c>
      <c r="I278" s="140">
        <f>IF(Facturacion!U277="","",Facturacion!U277)</f>
        <v/>
      </c>
    </row>
    <row r="279" ht="15" customHeight="1" s="83">
      <c r="A279" s="138">
        <f>IF(Facturacion!A278="","",Facturacion!A278)</f>
        <v/>
      </c>
      <c r="B279" s="139">
        <f>IF(Facturacion!E278="","",Facturacion!E278)</f>
        <v/>
      </c>
      <c r="C279" s="139">
        <f>IF(Facturacion!G278="","",Facturacion!G278)</f>
        <v/>
      </c>
      <c r="D279" s="140">
        <f>IF(Facturacion!N278="","",Facturacion!N278)</f>
        <v/>
      </c>
      <c r="E279" s="139">
        <f>IF(Facturacion!S278="","",Facturacion!S278)</f>
        <v/>
      </c>
      <c r="F279" s="138">
        <f>IF(Facturacion!T278="","",Facturacion!T278)</f>
        <v/>
      </c>
      <c r="G279" s="141">
        <f>IF(Facturacion!A278="","",IF(Facturacion!T278&lt;&gt;"",Facturacion!T278-Facturacion!A278,TODAY()-Facturacion!A278))</f>
        <v/>
      </c>
      <c r="H279" s="139">
        <f>IF(Facturacion!O278="","",Facturacion!O278)</f>
        <v/>
      </c>
      <c r="I279" s="140">
        <f>IF(Facturacion!U278="","",Facturacion!U278)</f>
        <v/>
      </c>
    </row>
    <row r="280" ht="15" customHeight="1" s="83">
      <c r="A280" s="138">
        <f>IF(Facturacion!A279="","",Facturacion!A279)</f>
        <v/>
      </c>
      <c r="B280" s="139">
        <f>IF(Facturacion!E279="","",Facturacion!E279)</f>
        <v/>
      </c>
      <c r="C280" s="139">
        <f>IF(Facturacion!G279="","",Facturacion!G279)</f>
        <v/>
      </c>
      <c r="D280" s="140">
        <f>IF(Facturacion!N279="","",Facturacion!N279)</f>
        <v/>
      </c>
      <c r="E280" s="139">
        <f>IF(Facturacion!S279="","",Facturacion!S279)</f>
        <v/>
      </c>
      <c r="F280" s="138">
        <f>IF(Facturacion!T279="","",Facturacion!T279)</f>
        <v/>
      </c>
      <c r="G280" s="141">
        <f>IF(Facturacion!A279="","",IF(Facturacion!T279&lt;&gt;"",Facturacion!T279-Facturacion!A279,TODAY()-Facturacion!A279))</f>
        <v/>
      </c>
      <c r="H280" s="139">
        <f>IF(Facturacion!O279="","",Facturacion!O279)</f>
        <v/>
      </c>
      <c r="I280" s="140">
        <f>IF(Facturacion!U279="","",Facturacion!U279)</f>
        <v/>
      </c>
    </row>
    <row r="281" ht="15" customHeight="1" s="83">
      <c r="A281" s="138">
        <f>IF(Facturacion!A280="","",Facturacion!A280)</f>
        <v/>
      </c>
      <c r="B281" s="139">
        <f>IF(Facturacion!E280="","",Facturacion!E280)</f>
        <v/>
      </c>
      <c r="C281" s="139">
        <f>IF(Facturacion!G280="","",Facturacion!G280)</f>
        <v/>
      </c>
      <c r="D281" s="140">
        <f>IF(Facturacion!N280="","",Facturacion!N280)</f>
        <v/>
      </c>
      <c r="E281" s="139">
        <f>IF(Facturacion!S280="","",Facturacion!S280)</f>
        <v/>
      </c>
      <c r="F281" s="138">
        <f>IF(Facturacion!T280="","",Facturacion!T280)</f>
        <v/>
      </c>
      <c r="G281" s="141">
        <f>IF(Facturacion!A280="","",IF(Facturacion!T280&lt;&gt;"",Facturacion!T280-Facturacion!A280,TODAY()-Facturacion!A280))</f>
        <v/>
      </c>
      <c r="H281" s="139">
        <f>IF(Facturacion!O280="","",Facturacion!O280)</f>
        <v/>
      </c>
      <c r="I281" s="140">
        <f>IF(Facturacion!U280="","",Facturacion!U280)</f>
        <v/>
      </c>
    </row>
    <row r="282" ht="15" customHeight="1" s="83">
      <c r="A282" s="138">
        <f>IF(Facturacion!A281="","",Facturacion!A281)</f>
        <v/>
      </c>
      <c r="B282" s="139">
        <f>IF(Facturacion!E281="","",Facturacion!E281)</f>
        <v/>
      </c>
      <c r="C282" s="139">
        <f>IF(Facturacion!G281="","",Facturacion!G281)</f>
        <v/>
      </c>
      <c r="D282" s="140">
        <f>IF(Facturacion!N281="","",Facturacion!N281)</f>
        <v/>
      </c>
      <c r="E282" s="139">
        <f>IF(Facturacion!S281="","",Facturacion!S281)</f>
        <v/>
      </c>
      <c r="F282" s="138">
        <f>IF(Facturacion!T281="","",Facturacion!T281)</f>
        <v/>
      </c>
      <c r="G282" s="141">
        <f>IF(Facturacion!A281="","",IF(Facturacion!T281&lt;&gt;"",Facturacion!T281-Facturacion!A281,TODAY()-Facturacion!A281))</f>
        <v/>
      </c>
      <c r="H282" s="139">
        <f>IF(Facturacion!O281="","",Facturacion!O281)</f>
        <v/>
      </c>
      <c r="I282" s="140">
        <f>IF(Facturacion!U281="","",Facturacion!U281)</f>
        <v/>
      </c>
    </row>
    <row r="283" ht="15" customHeight="1" s="83">
      <c r="A283" s="138">
        <f>IF(Facturacion!A282="","",Facturacion!A282)</f>
        <v/>
      </c>
      <c r="B283" s="139">
        <f>IF(Facturacion!E282="","",Facturacion!E282)</f>
        <v/>
      </c>
      <c r="C283" s="139">
        <f>IF(Facturacion!G282="","",Facturacion!G282)</f>
        <v/>
      </c>
      <c r="D283" s="140">
        <f>IF(Facturacion!N282="","",Facturacion!N282)</f>
        <v/>
      </c>
      <c r="E283" s="139">
        <f>IF(Facturacion!S282="","",Facturacion!S282)</f>
        <v/>
      </c>
      <c r="F283" s="138">
        <f>IF(Facturacion!T282="","",Facturacion!T282)</f>
        <v/>
      </c>
      <c r="G283" s="141">
        <f>IF(Facturacion!A282="","",IF(Facturacion!T282&lt;&gt;"",Facturacion!T282-Facturacion!A282,TODAY()-Facturacion!A282))</f>
        <v/>
      </c>
      <c r="H283" s="139">
        <f>IF(Facturacion!O282="","",Facturacion!O282)</f>
        <v/>
      </c>
      <c r="I283" s="140">
        <f>IF(Facturacion!U282="","",Facturacion!U282)</f>
        <v/>
      </c>
    </row>
    <row r="284" ht="15" customHeight="1" s="83">
      <c r="A284" s="138">
        <f>IF(Facturacion!A283="","",Facturacion!A283)</f>
        <v/>
      </c>
      <c r="B284" s="139">
        <f>IF(Facturacion!E283="","",Facturacion!E283)</f>
        <v/>
      </c>
      <c r="C284" s="139">
        <f>IF(Facturacion!G283="","",Facturacion!G283)</f>
        <v/>
      </c>
      <c r="D284" s="140">
        <f>IF(Facturacion!N283="","",Facturacion!N283)</f>
        <v/>
      </c>
      <c r="E284" s="139">
        <f>IF(Facturacion!S283="","",Facturacion!S283)</f>
        <v/>
      </c>
      <c r="F284" s="138">
        <f>IF(Facturacion!T283="","",Facturacion!T283)</f>
        <v/>
      </c>
      <c r="G284" s="141">
        <f>IF(Facturacion!A283="","",IF(Facturacion!T283&lt;&gt;"",Facturacion!T283-Facturacion!A283,TODAY()-Facturacion!A283))</f>
        <v/>
      </c>
      <c r="H284" s="139">
        <f>IF(Facturacion!O283="","",Facturacion!O283)</f>
        <v/>
      </c>
      <c r="I284" s="140">
        <f>IF(Facturacion!U283="","",Facturacion!U283)</f>
        <v/>
      </c>
    </row>
    <row r="285" ht="15" customHeight="1" s="83">
      <c r="A285" s="138">
        <f>IF(Facturacion!A284="","",Facturacion!A284)</f>
        <v/>
      </c>
      <c r="B285" s="139">
        <f>IF(Facturacion!E284="","",Facturacion!E284)</f>
        <v/>
      </c>
      <c r="C285" s="139">
        <f>IF(Facturacion!G284="","",Facturacion!G284)</f>
        <v/>
      </c>
      <c r="D285" s="140">
        <f>IF(Facturacion!N284="","",Facturacion!N284)</f>
        <v/>
      </c>
      <c r="E285" s="139">
        <f>IF(Facturacion!S284="","",Facturacion!S284)</f>
        <v/>
      </c>
      <c r="F285" s="138">
        <f>IF(Facturacion!T284="","",Facturacion!T284)</f>
        <v/>
      </c>
      <c r="G285" s="141">
        <f>IF(Facturacion!A284="","",IF(Facturacion!T284&lt;&gt;"",Facturacion!T284-Facturacion!A284,TODAY()-Facturacion!A284))</f>
        <v/>
      </c>
      <c r="H285" s="139">
        <f>IF(Facturacion!O284="","",Facturacion!O284)</f>
        <v/>
      </c>
      <c r="I285" s="140">
        <f>IF(Facturacion!U284="","",Facturacion!U284)</f>
        <v/>
      </c>
    </row>
    <row r="286" ht="15" customHeight="1" s="83">
      <c r="A286" s="138">
        <f>IF(Facturacion!A285="","",Facturacion!A285)</f>
        <v/>
      </c>
      <c r="B286" s="139">
        <f>IF(Facturacion!E285="","",Facturacion!E285)</f>
        <v/>
      </c>
      <c r="C286" s="139">
        <f>IF(Facturacion!G285="","",Facturacion!G285)</f>
        <v/>
      </c>
      <c r="D286" s="140">
        <f>IF(Facturacion!N285="","",Facturacion!N285)</f>
        <v/>
      </c>
      <c r="E286" s="139">
        <f>IF(Facturacion!S285="","",Facturacion!S285)</f>
        <v/>
      </c>
      <c r="F286" s="138">
        <f>IF(Facturacion!T285="","",Facturacion!T285)</f>
        <v/>
      </c>
      <c r="G286" s="141">
        <f>IF(Facturacion!A285="","",IF(Facturacion!T285&lt;&gt;"",Facturacion!T285-Facturacion!A285,TODAY()-Facturacion!A285))</f>
        <v/>
      </c>
      <c r="H286" s="139">
        <f>IF(Facturacion!O285="","",Facturacion!O285)</f>
        <v/>
      </c>
      <c r="I286" s="140">
        <f>IF(Facturacion!U285="","",Facturacion!U285)</f>
        <v/>
      </c>
    </row>
    <row r="287" ht="15" customHeight="1" s="83">
      <c r="A287" s="138">
        <f>IF(Facturacion!A286="","",Facturacion!A286)</f>
        <v/>
      </c>
      <c r="B287" s="139">
        <f>IF(Facturacion!E286="","",Facturacion!E286)</f>
        <v/>
      </c>
      <c r="C287" s="139">
        <f>IF(Facturacion!G286="","",Facturacion!G286)</f>
        <v/>
      </c>
      <c r="D287" s="140">
        <f>IF(Facturacion!N286="","",Facturacion!N286)</f>
        <v/>
      </c>
      <c r="E287" s="139">
        <f>IF(Facturacion!S286="","",Facturacion!S286)</f>
        <v/>
      </c>
      <c r="F287" s="138">
        <f>IF(Facturacion!T286="","",Facturacion!T286)</f>
        <v/>
      </c>
      <c r="G287" s="141">
        <f>IF(Facturacion!A286="","",IF(Facturacion!T286&lt;&gt;"",Facturacion!T286-Facturacion!A286,TODAY()-Facturacion!A286))</f>
        <v/>
      </c>
      <c r="H287" s="139">
        <f>IF(Facturacion!O286="","",Facturacion!O286)</f>
        <v/>
      </c>
      <c r="I287" s="140">
        <f>IF(Facturacion!U286="","",Facturacion!U286)</f>
        <v/>
      </c>
    </row>
    <row r="288" ht="15" customHeight="1" s="83">
      <c r="A288" s="138">
        <f>IF(Facturacion!A287="","",Facturacion!A287)</f>
        <v/>
      </c>
      <c r="B288" s="139">
        <f>IF(Facturacion!E287="","",Facturacion!E287)</f>
        <v/>
      </c>
      <c r="C288" s="139">
        <f>IF(Facturacion!G287="","",Facturacion!G287)</f>
        <v/>
      </c>
      <c r="D288" s="140">
        <f>IF(Facturacion!N287="","",Facturacion!N287)</f>
        <v/>
      </c>
      <c r="E288" s="139">
        <f>IF(Facturacion!S287="","",Facturacion!S287)</f>
        <v/>
      </c>
      <c r="F288" s="138">
        <f>IF(Facturacion!T287="","",Facturacion!T287)</f>
        <v/>
      </c>
      <c r="G288" s="141">
        <f>IF(Facturacion!A287="","",IF(Facturacion!T287&lt;&gt;"",Facturacion!T287-Facturacion!A287,TODAY()-Facturacion!A287))</f>
        <v/>
      </c>
      <c r="H288" s="139">
        <f>IF(Facturacion!O287="","",Facturacion!O287)</f>
        <v/>
      </c>
      <c r="I288" s="140">
        <f>IF(Facturacion!U287="","",Facturacion!U287)</f>
        <v/>
      </c>
    </row>
    <row r="289" ht="15" customHeight="1" s="83">
      <c r="A289" s="138">
        <f>IF(Facturacion!A288="","",Facturacion!A288)</f>
        <v/>
      </c>
      <c r="B289" s="139">
        <f>IF(Facturacion!E288="","",Facturacion!E288)</f>
        <v/>
      </c>
      <c r="C289" s="139">
        <f>IF(Facturacion!G288="","",Facturacion!G288)</f>
        <v/>
      </c>
      <c r="D289" s="140">
        <f>IF(Facturacion!N288="","",Facturacion!N288)</f>
        <v/>
      </c>
      <c r="E289" s="139">
        <f>IF(Facturacion!S288="","",Facturacion!S288)</f>
        <v/>
      </c>
      <c r="F289" s="138">
        <f>IF(Facturacion!T288="","",Facturacion!T288)</f>
        <v/>
      </c>
      <c r="G289" s="141">
        <f>IF(Facturacion!A288="","",IF(Facturacion!T288&lt;&gt;"",Facturacion!T288-Facturacion!A288,TODAY()-Facturacion!A288))</f>
        <v/>
      </c>
      <c r="H289" s="139">
        <f>IF(Facturacion!O288="","",Facturacion!O288)</f>
        <v/>
      </c>
      <c r="I289" s="140">
        <f>IF(Facturacion!U288="","",Facturacion!U288)</f>
        <v/>
      </c>
    </row>
    <row r="290" ht="15" customHeight="1" s="83">
      <c r="A290" s="138">
        <f>IF(Facturacion!A289="","",Facturacion!A289)</f>
        <v/>
      </c>
      <c r="B290" s="139">
        <f>IF(Facturacion!E289="","",Facturacion!E289)</f>
        <v/>
      </c>
      <c r="C290" s="139">
        <f>IF(Facturacion!G289="","",Facturacion!G289)</f>
        <v/>
      </c>
      <c r="D290" s="140">
        <f>IF(Facturacion!N289="","",Facturacion!N289)</f>
        <v/>
      </c>
      <c r="E290" s="139">
        <f>IF(Facturacion!S289="","",Facturacion!S289)</f>
        <v/>
      </c>
      <c r="F290" s="138">
        <f>IF(Facturacion!T289="","",Facturacion!T289)</f>
        <v/>
      </c>
      <c r="G290" s="141">
        <f>IF(Facturacion!A289="","",IF(Facturacion!T289&lt;&gt;"",Facturacion!T289-Facturacion!A289,TODAY()-Facturacion!A289))</f>
        <v/>
      </c>
      <c r="H290" s="139">
        <f>IF(Facturacion!O289="","",Facturacion!O289)</f>
        <v/>
      </c>
      <c r="I290" s="140">
        <f>IF(Facturacion!U289="","",Facturacion!U289)</f>
        <v/>
      </c>
    </row>
    <row r="291" ht="15" customHeight="1" s="83">
      <c r="A291" s="138">
        <f>IF(Facturacion!A290="","",Facturacion!A290)</f>
        <v/>
      </c>
      <c r="B291" s="139">
        <f>IF(Facturacion!E290="","",Facturacion!E290)</f>
        <v/>
      </c>
      <c r="C291" s="139">
        <f>IF(Facturacion!G290="","",Facturacion!G290)</f>
        <v/>
      </c>
      <c r="D291" s="140">
        <f>IF(Facturacion!N290="","",Facturacion!N290)</f>
        <v/>
      </c>
      <c r="E291" s="139">
        <f>IF(Facturacion!S290="","",Facturacion!S290)</f>
        <v/>
      </c>
      <c r="F291" s="138">
        <f>IF(Facturacion!T290="","",Facturacion!T290)</f>
        <v/>
      </c>
      <c r="G291" s="141">
        <f>IF(Facturacion!A290="","",IF(Facturacion!T290&lt;&gt;"",Facturacion!T290-Facturacion!A290,TODAY()-Facturacion!A290))</f>
        <v/>
      </c>
      <c r="H291" s="139">
        <f>IF(Facturacion!O290="","",Facturacion!O290)</f>
        <v/>
      </c>
      <c r="I291" s="140">
        <f>IF(Facturacion!U290="","",Facturacion!U290)</f>
        <v/>
      </c>
    </row>
    <row r="292" ht="15" customHeight="1" s="83">
      <c r="A292" s="138">
        <f>IF(Facturacion!A291="","",Facturacion!A291)</f>
        <v/>
      </c>
      <c r="B292" s="139">
        <f>IF(Facturacion!E291="","",Facturacion!E291)</f>
        <v/>
      </c>
      <c r="C292" s="139">
        <f>IF(Facturacion!G291="","",Facturacion!G291)</f>
        <v/>
      </c>
      <c r="D292" s="140">
        <f>IF(Facturacion!N291="","",Facturacion!N291)</f>
        <v/>
      </c>
      <c r="E292" s="139">
        <f>IF(Facturacion!S291="","",Facturacion!S291)</f>
        <v/>
      </c>
      <c r="F292" s="138">
        <f>IF(Facturacion!T291="","",Facturacion!T291)</f>
        <v/>
      </c>
      <c r="G292" s="141">
        <f>IF(Facturacion!A291="","",IF(Facturacion!T291&lt;&gt;"",Facturacion!T291-Facturacion!A291,TODAY()-Facturacion!A291))</f>
        <v/>
      </c>
      <c r="H292" s="139">
        <f>IF(Facturacion!O291="","",Facturacion!O291)</f>
        <v/>
      </c>
      <c r="I292" s="140">
        <f>IF(Facturacion!U291="","",Facturacion!U291)</f>
        <v/>
      </c>
    </row>
    <row r="293" ht="15" customHeight="1" s="83">
      <c r="A293" s="138">
        <f>IF(Facturacion!A292="","",Facturacion!A292)</f>
        <v/>
      </c>
      <c r="B293" s="139">
        <f>IF(Facturacion!E292="","",Facturacion!E292)</f>
        <v/>
      </c>
      <c r="C293" s="139">
        <f>IF(Facturacion!G292="","",Facturacion!G292)</f>
        <v/>
      </c>
      <c r="D293" s="140">
        <f>IF(Facturacion!N292="","",Facturacion!N292)</f>
        <v/>
      </c>
      <c r="E293" s="139">
        <f>IF(Facturacion!S292="","",Facturacion!S292)</f>
        <v/>
      </c>
      <c r="F293" s="138">
        <f>IF(Facturacion!T292="","",Facturacion!T292)</f>
        <v/>
      </c>
      <c r="G293" s="141">
        <f>IF(Facturacion!A292="","",IF(Facturacion!T292&lt;&gt;"",Facturacion!T292-Facturacion!A292,TODAY()-Facturacion!A292))</f>
        <v/>
      </c>
      <c r="H293" s="139">
        <f>IF(Facturacion!O292="","",Facturacion!O292)</f>
        <v/>
      </c>
      <c r="I293" s="140">
        <f>IF(Facturacion!U292="","",Facturacion!U292)</f>
        <v/>
      </c>
    </row>
    <row r="294" ht="15" customHeight="1" s="83">
      <c r="A294" s="138">
        <f>IF(Facturacion!A293="","",Facturacion!A293)</f>
        <v/>
      </c>
      <c r="B294" s="139">
        <f>IF(Facturacion!E293="","",Facturacion!E293)</f>
        <v/>
      </c>
      <c r="C294" s="139">
        <f>IF(Facturacion!G293="","",Facturacion!G293)</f>
        <v/>
      </c>
      <c r="D294" s="140">
        <f>IF(Facturacion!N293="","",Facturacion!N293)</f>
        <v/>
      </c>
      <c r="E294" s="139">
        <f>IF(Facturacion!S293="","",Facturacion!S293)</f>
        <v/>
      </c>
      <c r="F294" s="138">
        <f>IF(Facturacion!T293="","",Facturacion!T293)</f>
        <v/>
      </c>
      <c r="G294" s="141">
        <f>IF(Facturacion!A293="","",IF(Facturacion!T293&lt;&gt;"",Facturacion!T293-Facturacion!A293,TODAY()-Facturacion!A293))</f>
        <v/>
      </c>
      <c r="H294" s="139">
        <f>IF(Facturacion!O293="","",Facturacion!O293)</f>
        <v/>
      </c>
      <c r="I294" s="140">
        <f>IF(Facturacion!U293="","",Facturacion!U293)</f>
        <v/>
      </c>
    </row>
    <row r="295" ht="15" customHeight="1" s="83">
      <c r="A295" s="138">
        <f>IF(Facturacion!A294="","",Facturacion!A294)</f>
        <v/>
      </c>
      <c r="B295" s="139">
        <f>IF(Facturacion!E294="","",Facturacion!E294)</f>
        <v/>
      </c>
      <c r="C295" s="139">
        <f>IF(Facturacion!G294="","",Facturacion!G294)</f>
        <v/>
      </c>
      <c r="D295" s="140">
        <f>IF(Facturacion!N294="","",Facturacion!N294)</f>
        <v/>
      </c>
      <c r="E295" s="139">
        <f>IF(Facturacion!S294="","",Facturacion!S294)</f>
        <v/>
      </c>
      <c r="F295" s="138">
        <f>IF(Facturacion!T294="","",Facturacion!T294)</f>
        <v/>
      </c>
      <c r="G295" s="141">
        <f>IF(Facturacion!A294="","",IF(Facturacion!T294&lt;&gt;"",Facturacion!T294-Facturacion!A294,TODAY()-Facturacion!A294))</f>
        <v/>
      </c>
      <c r="H295" s="139">
        <f>IF(Facturacion!O294="","",Facturacion!O294)</f>
        <v/>
      </c>
      <c r="I295" s="140">
        <f>IF(Facturacion!U294="","",Facturacion!U294)</f>
        <v/>
      </c>
    </row>
    <row r="296" ht="15" customHeight="1" s="83">
      <c r="A296" s="138">
        <f>IF(Facturacion!A295="","",Facturacion!A295)</f>
        <v/>
      </c>
      <c r="B296" s="139">
        <f>IF(Facturacion!E295="","",Facturacion!E295)</f>
        <v/>
      </c>
      <c r="C296" s="139">
        <f>IF(Facturacion!G295="","",Facturacion!G295)</f>
        <v/>
      </c>
      <c r="D296" s="140">
        <f>IF(Facturacion!N295="","",Facturacion!N295)</f>
        <v/>
      </c>
      <c r="E296" s="139">
        <f>IF(Facturacion!S295="","",Facturacion!S295)</f>
        <v/>
      </c>
      <c r="F296" s="138">
        <f>IF(Facturacion!T295="","",Facturacion!T295)</f>
        <v/>
      </c>
      <c r="G296" s="141">
        <f>IF(Facturacion!A295="","",IF(Facturacion!T295&lt;&gt;"",Facturacion!T295-Facturacion!A295,TODAY()-Facturacion!A295))</f>
        <v/>
      </c>
      <c r="H296" s="139">
        <f>IF(Facturacion!O295="","",Facturacion!O295)</f>
        <v/>
      </c>
      <c r="I296" s="140">
        <f>IF(Facturacion!U295="","",Facturacion!U295)</f>
        <v/>
      </c>
    </row>
    <row r="297" ht="15" customHeight="1" s="83">
      <c r="A297" s="138">
        <f>IF(Facturacion!A296="","",Facturacion!A296)</f>
        <v/>
      </c>
      <c r="B297" s="139">
        <f>IF(Facturacion!E296="","",Facturacion!E296)</f>
        <v/>
      </c>
      <c r="C297" s="139">
        <f>IF(Facturacion!G296="","",Facturacion!G296)</f>
        <v/>
      </c>
      <c r="D297" s="140">
        <f>IF(Facturacion!N296="","",Facturacion!N296)</f>
        <v/>
      </c>
      <c r="E297" s="139">
        <f>IF(Facturacion!S296="","",Facturacion!S296)</f>
        <v/>
      </c>
      <c r="F297" s="138">
        <f>IF(Facturacion!T296="","",Facturacion!T296)</f>
        <v/>
      </c>
      <c r="G297" s="141">
        <f>IF(Facturacion!A296="","",IF(Facturacion!T296&lt;&gt;"",Facturacion!T296-Facturacion!A296,TODAY()-Facturacion!A296))</f>
        <v/>
      </c>
      <c r="H297" s="139">
        <f>IF(Facturacion!O296="","",Facturacion!O296)</f>
        <v/>
      </c>
      <c r="I297" s="140">
        <f>IF(Facturacion!U296="","",Facturacion!U296)</f>
        <v/>
      </c>
    </row>
    <row r="298" ht="15" customHeight="1" s="83">
      <c r="A298" s="138">
        <f>IF(Facturacion!A297="","",Facturacion!A297)</f>
        <v/>
      </c>
      <c r="B298" s="139">
        <f>IF(Facturacion!E297="","",Facturacion!E297)</f>
        <v/>
      </c>
      <c r="C298" s="139">
        <f>IF(Facturacion!G297="","",Facturacion!G297)</f>
        <v/>
      </c>
      <c r="D298" s="140">
        <f>IF(Facturacion!N297="","",Facturacion!N297)</f>
        <v/>
      </c>
      <c r="E298" s="139">
        <f>IF(Facturacion!S297="","",Facturacion!S297)</f>
        <v/>
      </c>
      <c r="F298" s="138">
        <f>IF(Facturacion!T297="","",Facturacion!T297)</f>
        <v/>
      </c>
      <c r="G298" s="141">
        <f>IF(Facturacion!A297="","",IF(Facturacion!T297&lt;&gt;"",Facturacion!T297-Facturacion!A297,TODAY()-Facturacion!A297))</f>
        <v/>
      </c>
      <c r="H298" s="139">
        <f>IF(Facturacion!O297="","",Facturacion!O297)</f>
        <v/>
      </c>
      <c r="I298" s="140">
        <f>IF(Facturacion!U297="","",Facturacion!U297)</f>
        <v/>
      </c>
    </row>
    <row r="299" ht="15" customHeight="1" s="83">
      <c r="A299" s="138">
        <f>IF(Facturacion!A298="","",Facturacion!A298)</f>
        <v/>
      </c>
      <c r="B299" s="139">
        <f>IF(Facturacion!E298="","",Facturacion!E298)</f>
        <v/>
      </c>
      <c r="C299" s="139">
        <f>IF(Facturacion!G298="","",Facturacion!G298)</f>
        <v/>
      </c>
      <c r="D299" s="140">
        <f>IF(Facturacion!N298="","",Facturacion!N298)</f>
        <v/>
      </c>
      <c r="E299" s="139">
        <f>IF(Facturacion!S298="","",Facturacion!S298)</f>
        <v/>
      </c>
      <c r="F299" s="138">
        <f>IF(Facturacion!T298="","",Facturacion!T298)</f>
        <v/>
      </c>
      <c r="G299" s="141">
        <f>IF(Facturacion!A298="","",IF(Facturacion!T298&lt;&gt;"",Facturacion!T298-Facturacion!A298,TODAY()-Facturacion!A298))</f>
        <v/>
      </c>
      <c r="H299" s="139">
        <f>IF(Facturacion!O298="","",Facturacion!O298)</f>
        <v/>
      </c>
      <c r="I299" s="140">
        <f>IF(Facturacion!U298="","",Facturacion!U298)</f>
        <v/>
      </c>
    </row>
    <row r="300" ht="15" customHeight="1" s="83">
      <c r="A300" s="138">
        <f>IF(Facturacion!A299="","",Facturacion!A299)</f>
        <v/>
      </c>
      <c r="B300" s="139">
        <f>IF(Facturacion!E299="","",Facturacion!E299)</f>
        <v/>
      </c>
      <c r="C300" s="139">
        <f>IF(Facturacion!G299="","",Facturacion!G299)</f>
        <v/>
      </c>
      <c r="D300" s="140">
        <f>IF(Facturacion!N299="","",Facturacion!N299)</f>
        <v/>
      </c>
      <c r="E300" s="139">
        <f>IF(Facturacion!S299="","",Facturacion!S299)</f>
        <v/>
      </c>
      <c r="F300" s="138">
        <f>IF(Facturacion!T299="","",Facturacion!T299)</f>
        <v/>
      </c>
      <c r="G300" s="141">
        <f>IF(Facturacion!A299="","",IF(Facturacion!T299&lt;&gt;"",Facturacion!T299-Facturacion!A299,TODAY()-Facturacion!A299))</f>
        <v/>
      </c>
      <c r="H300" s="139">
        <f>IF(Facturacion!O299="","",Facturacion!O299)</f>
        <v/>
      </c>
      <c r="I300" s="140">
        <f>IF(Facturacion!U299="","",Facturacion!U299)</f>
        <v/>
      </c>
    </row>
    <row r="301" ht="15" customHeight="1" s="83">
      <c r="A301" s="138">
        <f>IF(Facturacion!A300="","",Facturacion!A300)</f>
        <v/>
      </c>
      <c r="B301" s="139">
        <f>IF(Facturacion!E300="","",Facturacion!E300)</f>
        <v/>
      </c>
      <c r="C301" s="139">
        <f>IF(Facturacion!G300="","",Facturacion!G300)</f>
        <v/>
      </c>
      <c r="D301" s="140">
        <f>IF(Facturacion!N300="","",Facturacion!N300)</f>
        <v/>
      </c>
      <c r="E301" s="139">
        <f>IF(Facturacion!S300="","",Facturacion!S300)</f>
        <v/>
      </c>
      <c r="F301" s="138">
        <f>IF(Facturacion!T300="","",Facturacion!T300)</f>
        <v/>
      </c>
      <c r="G301" s="141">
        <f>IF(Facturacion!A300="","",IF(Facturacion!T300&lt;&gt;"",Facturacion!T300-Facturacion!A300,TODAY()-Facturacion!A300))</f>
        <v/>
      </c>
      <c r="H301" s="139">
        <f>IF(Facturacion!O300="","",Facturacion!O300)</f>
        <v/>
      </c>
      <c r="I301" s="140">
        <f>IF(Facturacion!U300="","",Facturacion!U300)</f>
        <v/>
      </c>
    </row>
    <row r="302" ht="15" customHeight="1" s="83">
      <c r="A302" s="138">
        <f>IF(Facturacion!A301="","",Facturacion!A301)</f>
        <v/>
      </c>
      <c r="B302" s="139">
        <f>IF(Facturacion!E301="","",Facturacion!E301)</f>
        <v/>
      </c>
      <c r="C302" s="139">
        <f>IF(Facturacion!G301="","",Facturacion!G301)</f>
        <v/>
      </c>
      <c r="D302" s="140">
        <f>IF(Facturacion!N301="","",Facturacion!N301)</f>
        <v/>
      </c>
      <c r="E302" s="139">
        <f>IF(Facturacion!S301="","",Facturacion!S301)</f>
        <v/>
      </c>
      <c r="F302" s="138">
        <f>IF(Facturacion!T301="","",Facturacion!T301)</f>
        <v/>
      </c>
      <c r="G302" s="141">
        <f>IF(Facturacion!A301="","",IF(Facturacion!T301&lt;&gt;"",Facturacion!T301-Facturacion!A301,TODAY()-Facturacion!A301))</f>
        <v/>
      </c>
      <c r="H302" s="139">
        <f>IF(Facturacion!O301="","",Facturacion!O301)</f>
        <v/>
      </c>
      <c r="I302" s="140">
        <f>IF(Facturacion!U301="","",Facturacion!U301)</f>
        <v/>
      </c>
    </row>
    <row r="303" ht="15" customHeight="1" s="83">
      <c r="A303" s="138">
        <f>IF(Facturacion!A302="","",Facturacion!A302)</f>
        <v/>
      </c>
      <c r="B303" s="139">
        <f>IF(Facturacion!E302="","",Facturacion!E302)</f>
        <v/>
      </c>
      <c r="C303" s="139">
        <f>IF(Facturacion!G302="","",Facturacion!G302)</f>
        <v/>
      </c>
      <c r="D303" s="140">
        <f>IF(Facturacion!N302="","",Facturacion!N302)</f>
        <v/>
      </c>
      <c r="E303" s="139">
        <f>IF(Facturacion!S302="","",Facturacion!S302)</f>
        <v/>
      </c>
      <c r="F303" s="138">
        <f>IF(Facturacion!T302="","",Facturacion!T302)</f>
        <v/>
      </c>
      <c r="G303" s="141">
        <f>IF(Facturacion!A302="","",IF(Facturacion!T302&lt;&gt;"",Facturacion!T302-Facturacion!A302,TODAY()-Facturacion!A302))</f>
        <v/>
      </c>
      <c r="H303" s="139">
        <f>IF(Facturacion!O302="","",Facturacion!O302)</f>
        <v/>
      </c>
      <c r="I303" s="140">
        <f>IF(Facturacion!U302="","",Facturacion!U302)</f>
        <v/>
      </c>
    </row>
    <row r="304" ht="15" customHeight="1" s="83">
      <c r="A304" s="138">
        <f>IF(Facturacion!A303="","",Facturacion!A303)</f>
        <v/>
      </c>
      <c r="B304" s="139">
        <f>IF(Facturacion!E303="","",Facturacion!E303)</f>
        <v/>
      </c>
      <c r="C304" s="139">
        <f>IF(Facturacion!G303="","",Facturacion!G303)</f>
        <v/>
      </c>
      <c r="D304" s="140">
        <f>IF(Facturacion!N303="","",Facturacion!N303)</f>
        <v/>
      </c>
      <c r="E304" s="139">
        <f>IF(Facturacion!S303="","",Facturacion!S303)</f>
        <v/>
      </c>
      <c r="F304" s="138">
        <f>IF(Facturacion!T303="","",Facturacion!T303)</f>
        <v/>
      </c>
      <c r="G304" s="141">
        <f>IF(Facturacion!A303="","",IF(Facturacion!T303&lt;&gt;"",Facturacion!T303-Facturacion!A303,TODAY()-Facturacion!A303))</f>
        <v/>
      </c>
      <c r="H304" s="139">
        <f>IF(Facturacion!O303="","",Facturacion!O303)</f>
        <v/>
      </c>
      <c r="I304" s="140">
        <f>IF(Facturacion!U303="","",Facturacion!U303)</f>
        <v/>
      </c>
    </row>
    <row r="305" ht="15" customHeight="1" s="83">
      <c r="A305" s="138">
        <f>IF(Facturacion!A304="","",Facturacion!A304)</f>
        <v/>
      </c>
      <c r="B305" s="139">
        <f>IF(Facturacion!E304="","",Facturacion!E304)</f>
        <v/>
      </c>
      <c r="C305" s="139">
        <f>IF(Facturacion!G304="","",Facturacion!G304)</f>
        <v/>
      </c>
      <c r="D305" s="140">
        <f>IF(Facturacion!N304="","",Facturacion!N304)</f>
        <v/>
      </c>
      <c r="E305" s="139">
        <f>IF(Facturacion!S304="","",Facturacion!S304)</f>
        <v/>
      </c>
      <c r="F305" s="138">
        <f>IF(Facturacion!T304="","",Facturacion!T304)</f>
        <v/>
      </c>
      <c r="G305" s="141">
        <f>IF(Facturacion!A304="","",IF(Facturacion!T304&lt;&gt;"",Facturacion!T304-Facturacion!A304,TODAY()-Facturacion!A304))</f>
        <v/>
      </c>
      <c r="H305" s="139">
        <f>IF(Facturacion!O304="","",Facturacion!O304)</f>
        <v/>
      </c>
      <c r="I305" s="140">
        <f>IF(Facturacion!U304="","",Facturacion!U304)</f>
        <v/>
      </c>
    </row>
    <row r="306" ht="15" customHeight="1" s="83">
      <c r="A306" s="138">
        <f>IF(Facturacion!A305="","",Facturacion!A305)</f>
        <v/>
      </c>
      <c r="B306" s="139">
        <f>IF(Facturacion!E305="","",Facturacion!E305)</f>
        <v/>
      </c>
      <c r="C306" s="139">
        <f>IF(Facturacion!G305="","",Facturacion!G305)</f>
        <v/>
      </c>
      <c r="D306" s="140">
        <f>IF(Facturacion!N305="","",Facturacion!N305)</f>
        <v/>
      </c>
      <c r="E306" s="139">
        <f>IF(Facturacion!S305="","",Facturacion!S305)</f>
        <v/>
      </c>
      <c r="F306" s="138">
        <f>IF(Facturacion!T305="","",Facturacion!T305)</f>
        <v/>
      </c>
      <c r="G306" s="141">
        <f>IF(Facturacion!A305="","",IF(Facturacion!T305&lt;&gt;"",Facturacion!T305-Facturacion!A305,TODAY()-Facturacion!A305))</f>
        <v/>
      </c>
      <c r="H306" s="139">
        <f>IF(Facturacion!O305="","",Facturacion!O305)</f>
        <v/>
      </c>
      <c r="I306" s="140">
        <f>IF(Facturacion!U305="","",Facturacion!U305)</f>
        <v/>
      </c>
    </row>
    <row r="307" ht="15" customHeight="1" s="83">
      <c r="A307" s="138">
        <f>IF(Facturacion!A306="","",Facturacion!A306)</f>
        <v/>
      </c>
      <c r="B307" s="139">
        <f>IF(Facturacion!E306="","",Facturacion!E306)</f>
        <v/>
      </c>
      <c r="C307" s="139">
        <f>IF(Facturacion!G306="","",Facturacion!G306)</f>
        <v/>
      </c>
      <c r="D307" s="140">
        <f>IF(Facturacion!N306="","",Facturacion!N306)</f>
        <v/>
      </c>
      <c r="E307" s="139">
        <f>IF(Facturacion!S306="","",Facturacion!S306)</f>
        <v/>
      </c>
      <c r="F307" s="138">
        <f>IF(Facturacion!T306="","",Facturacion!T306)</f>
        <v/>
      </c>
      <c r="G307" s="141">
        <f>IF(Facturacion!A306="","",IF(Facturacion!T306&lt;&gt;"",Facturacion!T306-Facturacion!A306,TODAY()-Facturacion!A306))</f>
        <v/>
      </c>
      <c r="H307" s="139">
        <f>IF(Facturacion!O306="","",Facturacion!O306)</f>
        <v/>
      </c>
      <c r="I307" s="140">
        <f>IF(Facturacion!U306="","",Facturacion!U306)</f>
        <v/>
      </c>
    </row>
    <row r="308" ht="15" customHeight="1" s="83">
      <c r="A308" s="138">
        <f>IF(Facturacion!A307="","",Facturacion!A307)</f>
        <v/>
      </c>
      <c r="B308" s="139">
        <f>IF(Facturacion!E307="","",Facturacion!E307)</f>
        <v/>
      </c>
      <c r="C308" s="139">
        <f>IF(Facturacion!G307="","",Facturacion!G307)</f>
        <v/>
      </c>
      <c r="D308" s="140">
        <f>IF(Facturacion!N307="","",Facturacion!N307)</f>
        <v/>
      </c>
      <c r="E308" s="139">
        <f>IF(Facturacion!S307="","",Facturacion!S307)</f>
        <v/>
      </c>
      <c r="F308" s="138">
        <f>IF(Facturacion!T307="","",Facturacion!T307)</f>
        <v/>
      </c>
      <c r="G308" s="141">
        <f>IF(Facturacion!A307="","",IF(Facturacion!T307&lt;&gt;"",Facturacion!T307-Facturacion!A307,TODAY()-Facturacion!A307))</f>
        <v/>
      </c>
      <c r="H308" s="139">
        <f>IF(Facturacion!O307="","",Facturacion!O307)</f>
        <v/>
      </c>
      <c r="I308" s="140">
        <f>IF(Facturacion!U307="","",Facturacion!U307)</f>
        <v/>
      </c>
    </row>
    <row r="309" ht="15" customHeight="1" s="83">
      <c r="A309" s="138">
        <f>IF(Facturacion!A308="","",Facturacion!A308)</f>
        <v/>
      </c>
      <c r="B309" s="139">
        <f>IF(Facturacion!E308="","",Facturacion!E308)</f>
        <v/>
      </c>
      <c r="C309" s="139">
        <f>IF(Facturacion!G308="","",Facturacion!G308)</f>
        <v/>
      </c>
      <c r="D309" s="140">
        <f>IF(Facturacion!N308="","",Facturacion!N308)</f>
        <v/>
      </c>
      <c r="E309" s="139">
        <f>IF(Facturacion!S308="","",Facturacion!S308)</f>
        <v/>
      </c>
      <c r="F309" s="138">
        <f>IF(Facturacion!T308="","",Facturacion!T308)</f>
        <v/>
      </c>
      <c r="G309" s="141">
        <f>IF(Facturacion!A308="","",IF(Facturacion!T308&lt;&gt;"",Facturacion!T308-Facturacion!A308,TODAY()-Facturacion!A308))</f>
        <v/>
      </c>
      <c r="H309" s="139">
        <f>IF(Facturacion!O308="","",Facturacion!O308)</f>
        <v/>
      </c>
      <c r="I309" s="140">
        <f>IF(Facturacion!U308="","",Facturacion!U308)</f>
        <v/>
      </c>
    </row>
    <row r="310" ht="15" customHeight="1" s="83">
      <c r="A310" s="138">
        <f>IF(Facturacion!A309="","",Facturacion!A309)</f>
        <v/>
      </c>
      <c r="B310" s="139">
        <f>IF(Facturacion!E309="","",Facturacion!E309)</f>
        <v/>
      </c>
      <c r="C310" s="139">
        <f>IF(Facturacion!G309="","",Facturacion!G309)</f>
        <v/>
      </c>
      <c r="D310" s="140">
        <f>IF(Facturacion!N309="","",Facturacion!N309)</f>
        <v/>
      </c>
      <c r="E310" s="139">
        <f>IF(Facturacion!S309="","",Facturacion!S309)</f>
        <v/>
      </c>
      <c r="F310" s="138">
        <f>IF(Facturacion!T309="","",Facturacion!T309)</f>
        <v/>
      </c>
      <c r="G310" s="141">
        <f>IF(Facturacion!A309="","",IF(Facturacion!T309&lt;&gt;"",Facturacion!T309-Facturacion!A309,TODAY()-Facturacion!A309))</f>
        <v/>
      </c>
      <c r="H310" s="139">
        <f>IF(Facturacion!O309="","",Facturacion!O309)</f>
        <v/>
      </c>
      <c r="I310" s="140">
        <f>IF(Facturacion!U309="","",Facturacion!U309)</f>
        <v/>
      </c>
    </row>
    <row r="311" ht="15" customHeight="1" s="83">
      <c r="A311" s="138">
        <f>IF(Facturacion!A310="","",Facturacion!A310)</f>
        <v/>
      </c>
      <c r="B311" s="139">
        <f>IF(Facturacion!E310="","",Facturacion!E310)</f>
        <v/>
      </c>
      <c r="C311" s="139">
        <f>IF(Facturacion!G310="","",Facturacion!G310)</f>
        <v/>
      </c>
      <c r="D311" s="140">
        <f>IF(Facturacion!N310="","",Facturacion!N310)</f>
        <v/>
      </c>
      <c r="E311" s="139">
        <f>IF(Facturacion!S310="","",Facturacion!S310)</f>
        <v/>
      </c>
      <c r="F311" s="138">
        <f>IF(Facturacion!T310="","",Facturacion!T310)</f>
        <v/>
      </c>
      <c r="G311" s="141">
        <f>IF(Facturacion!A310="","",IF(Facturacion!T310&lt;&gt;"",Facturacion!T310-Facturacion!A310,TODAY()-Facturacion!A310))</f>
        <v/>
      </c>
      <c r="H311" s="139">
        <f>IF(Facturacion!O310="","",Facturacion!O310)</f>
        <v/>
      </c>
      <c r="I311" s="140">
        <f>IF(Facturacion!U310="","",Facturacion!U310)</f>
        <v/>
      </c>
    </row>
    <row r="312" ht="15" customHeight="1" s="83">
      <c r="A312" s="138">
        <f>IF(Facturacion!A311="","",Facturacion!A311)</f>
        <v/>
      </c>
      <c r="B312" s="139">
        <f>IF(Facturacion!E311="","",Facturacion!E311)</f>
        <v/>
      </c>
      <c r="C312" s="139">
        <f>IF(Facturacion!G311="","",Facturacion!G311)</f>
        <v/>
      </c>
      <c r="D312" s="140">
        <f>IF(Facturacion!N311="","",Facturacion!N311)</f>
        <v/>
      </c>
      <c r="E312" s="139">
        <f>IF(Facturacion!S311="","",Facturacion!S311)</f>
        <v/>
      </c>
      <c r="F312" s="138">
        <f>IF(Facturacion!T311="","",Facturacion!T311)</f>
        <v/>
      </c>
      <c r="G312" s="141">
        <f>IF(Facturacion!A311="","",IF(Facturacion!T311&lt;&gt;"",Facturacion!T311-Facturacion!A311,TODAY()-Facturacion!A311))</f>
        <v/>
      </c>
      <c r="H312" s="139">
        <f>IF(Facturacion!O311="","",Facturacion!O311)</f>
        <v/>
      </c>
      <c r="I312" s="140">
        <f>IF(Facturacion!U311="","",Facturacion!U311)</f>
        <v/>
      </c>
    </row>
    <row r="313" ht="15" customHeight="1" s="83">
      <c r="A313" s="138">
        <f>IF(Facturacion!A312="","",Facturacion!A312)</f>
        <v/>
      </c>
      <c r="B313" s="139">
        <f>IF(Facturacion!E312="","",Facturacion!E312)</f>
        <v/>
      </c>
      <c r="C313" s="139">
        <f>IF(Facturacion!G312="","",Facturacion!G312)</f>
        <v/>
      </c>
      <c r="D313" s="140">
        <f>IF(Facturacion!N312="","",Facturacion!N312)</f>
        <v/>
      </c>
      <c r="E313" s="139">
        <f>IF(Facturacion!S312="","",Facturacion!S312)</f>
        <v/>
      </c>
      <c r="F313" s="138">
        <f>IF(Facturacion!T312="","",Facturacion!T312)</f>
        <v/>
      </c>
      <c r="G313" s="141">
        <f>IF(Facturacion!A312="","",IF(Facturacion!T312&lt;&gt;"",Facturacion!T312-Facturacion!A312,TODAY()-Facturacion!A312))</f>
        <v/>
      </c>
      <c r="H313" s="139">
        <f>IF(Facturacion!O312="","",Facturacion!O312)</f>
        <v/>
      </c>
      <c r="I313" s="140">
        <f>IF(Facturacion!U312="","",Facturacion!U312)</f>
        <v/>
      </c>
    </row>
    <row r="314" ht="15" customHeight="1" s="83">
      <c r="A314" s="138">
        <f>IF(Facturacion!A313="","",Facturacion!A313)</f>
        <v/>
      </c>
      <c r="B314" s="139">
        <f>IF(Facturacion!E313="","",Facturacion!E313)</f>
        <v/>
      </c>
      <c r="C314" s="139">
        <f>IF(Facturacion!G313="","",Facturacion!G313)</f>
        <v/>
      </c>
      <c r="D314" s="140">
        <f>IF(Facturacion!N313="","",Facturacion!N313)</f>
        <v/>
      </c>
      <c r="E314" s="139">
        <f>IF(Facturacion!S313="","",Facturacion!S313)</f>
        <v/>
      </c>
      <c r="F314" s="138">
        <f>IF(Facturacion!T313="","",Facturacion!T313)</f>
        <v/>
      </c>
      <c r="G314" s="141">
        <f>IF(Facturacion!A313="","",IF(Facturacion!T313&lt;&gt;"",Facturacion!T313-Facturacion!A313,TODAY()-Facturacion!A313))</f>
        <v/>
      </c>
      <c r="H314" s="139">
        <f>IF(Facturacion!O313="","",Facturacion!O313)</f>
        <v/>
      </c>
      <c r="I314" s="140">
        <f>IF(Facturacion!U313="","",Facturacion!U313)</f>
        <v/>
      </c>
    </row>
    <row r="315" ht="15" customHeight="1" s="83">
      <c r="A315" s="138">
        <f>IF(Facturacion!A314="","",Facturacion!A314)</f>
        <v/>
      </c>
      <c r="B315" s="139">
        <f>IF(Facturacion!E314="","",Facturacion!E314)</f>
        <v/>
      </c>
      <c r="C315" s="139">
        <f>IF(Facturacion!G314="","",Facturacion!G314)</f>
        <v/>
      </c>
      <c r="D315" s="140">
        <f>IF(Facturacion!N314="","",Facturacion!N314)</f>
        <v/>
      </c>
      <c r="E315" s="139">
        <f>IF(Facturacion!S314="","",Facturacion!S314)</f>
        <v/>
      </c>
      <c r="F315" s="138">
        <f>IF(Facturacion!T314="","",Facturacion!T314)</f>
        <v/>
      </c>
      <c r="G315" s="141">
        <f>IF(Facturacion!A314="","",IF(Facturacion!T314&lt;&gt;"",Facturacion!T314-Facturacion!A314,TODAY()-Facturacion!A314))</f>
        <v/>
      </c>
      <c r="H315" s="139">
        <f>IF(Facturacion!O314="","",Facturacion!O314)</f>
        <v/>
      </c>
      <c r="I315" s="140">
        <f>IF(Facturacion!U314="","",Facturacion!U314)</f>
        <v/>
      </c>
    </row>
    <row r="316" ht="15" customHeight="1" s="83">
      <c r="A316" s="138">
        <f>IF(Facturacion!A315="","",Facturacion!A315)</f>
        <v/>
      </c>
      <c r="B316" s="139">
        <f>IF(Facturacion!E315="","",Facturacion!E315)</f>
        <v/>
      </c>
      <c r="C316" s="139">
        <f>IF(Facturacion!G315="","",Facturacion!G315)</f>
        <v/>
      </c>
      <c r="D316" s="140">
        <f>IF(Facturacion!N315="","",Facturacion!N315)</f>
        <v/>
      </c>
      <c r="E316" s="139">
        <f>IF(Facturacion!S315="","",Facturacion!S315)</f>
        <v/>
      </c>
      <c r="F316" s="138">
        <f>IF(Facturacion!T315="","",Facturacion!T315)</f>
        <v/>
      </c>
      <c r="G316" s="141">
        <f>IF(Facturacion!A315="","",IF(Facturacion!T315&lt;&gt;"",Facturacion!T315-Facturacion!A315,TODAY()-Facturacion!A315))</f>
        <v/>
      </c>
      <c r="H316" s="139">
        <f>IF(Facturacion!O315="","",Facturacion!O315)</f>
        <v/>
      </c>
      <c r="I316" s="140">
        <f>IF(Facturacion!U315="","",Facturacion!U315)</f>
        <v/>
      </c>
    </row>
    <row r="317" ht="15" customHeight="1" s="83">
      <c r="A317" s="138">
        <f>IF(Facturacion!A316="","",Facturacion!A316)</f>
        <v/>
      </c>
      <c r="B317" s="139">
        <f>IF(Facturacion!E316="","",Facturacion!E316)</f>
        <v/>
      </c>
      <c r="C317" s="139">
        <f>IF(Facturacion!G316="","",Facturacion!G316)</f>
        <v/>
      </c>
      <c r="D317" s="140">
        <f>IF(Facturacion!N316="","",Facturacion!N316)</f>
        <v/>
      </c>
      <c r="E317" s="139">
        <f>IF(Facturacion!S316="","",Facturacion!S316)</f>
        <v/>
      </c>
      <c r="F317" s="138">
        <f>IF(Facturacion!T316="","",Facturacion!T316)</f>
        <v/>
      </c>
      <c r="G317" s="141">
        <f>IF(Facturacion!A316="","",IF(Facturacion!T316&lt;&gt;"",Facturacion!T316-Facturacion!A316,TODAY()-Facturacion!A316))</f>
        <v/>
      </c>
      <c r="H317" s="139">
        <f>IF(Facturacion!O316="","",Facturacion!O316)</f>
        <v/>
      </c>
      <c r="I317" s="140">
        <f>IF(Facturacion!U316="","",Facturacion!U316)</f>
        <v/>
      </c>
    </row>
    <row r="318" ht="15" customHeight="1" s="83">
      <c r="A318" s="138">
        <f>IF(Facturacion!A317="","",Facturacion!A317)</f>
        <v/>
      </c>
      <c r="B318" s="139">
        <f>IF(Facturacion!E317="","",Facturacion!E317)</f>
        <v/>
      </c>
      <c r="C318" s="139">
        <f>IF(Facturacion!G317="","",Facturacion!G317)</f>
        <v/>
      </c>
      <c r="D318" s="140">
        <f>IF(Facturacion!N317="","",Facturacion!N317)</f>
        <v/>
      </c>
      <c r="E318" s="139">
        <f>IF(Facturacion!S317="","",Facturacion!S317)</f>
        <v/>
      </c>
      <c r="F318" s="138">
        <f>IF(Facturacion!T317="","",Facturacion!T317)</f>
        <v/>
      </c>
      <c r="G318" s="141">
        <f>IF(Facturacion!A317="","",IF(Facturacion!T317&lt;&gt;"",Facturacion!T317-Facturacion!A317,TODAY()-Facturacion!A317))</f>
        <v/>
      </c>
      <c r="H318" s="139">
        <f>IF(Facturacion!O317="","",Facturacion!O317)</f>
        <v/>
      </c>
      <c r="I318" s="140">
        <f>IF(Facturacion!U317="","",Facturacion!U317)</f>
        <v/>
      </c>
    </row>
    <row r="319" ht="15" customHeight="1" s="83">
      <c r="A319" s="138">
        <f>IF(Facturacion!A318="","",Facturacion!A318)</f>
        <v/>
      </c>
      <c r="B319" s="139">
        <f>IF(Facturacion!E318="","",Facturacion!E318)</f>
        <v/>
      </c>
      <c r="C319" s="139">
        <f>IF(Facturacion!G318="","",Facturacion!G318)</f>
        <v/>
      </c>
      <c r="D319" s="140">
        <f>IF(Facturacion!N318="","",Facturacion!N318)</f>
        <v/>
      </c>
      <c r="E319" s="139">
        <f>IF(Facturacion!S318="","",Facturacion!S318)</f>
        <v/>
      </c>
      <c r="F319" s="138">
        <f>IF(Facturacion!T318="","",Facturacion!T318)</f>
        <v/>
      </c>
      <c r="G319" s="141">
        <f>IF(Facturacion!A318="","",IF(Facturacion!T318&lt;&gt;"",Facturacion!T318-Facturacion!A318,TODAY()-Facturacion!A318))</f>
        <v/>
      </c>
      <c r="H319" s="139">
        <f>IF(Facturacion!O318="","",Facturacion!O318)</f>
        <v/>
      </c>
      <c r="I319" s="140">
        <f>IF(Facturacion!U318="","",Facturacion!U318)</f>
        <v/>
      </c>
    </row>
    <row r="320" ht="15" customHeight="1" s="83">
      <c r="A320" s="138">
        <f>IF(Facturacion!A319="","",Facturacion!A319)</f>
        <v/>
      </c>
      <c r="B320" s="139">
        <f>IF(Facturacion!E319="","",Facturacion!E319)</f>
        <v/>
      </c>
      <c r="C320" s="139">
        <f>IF(Facturacion!G319="","",Facturacion!G319)</f>
        <v/>
      </c>
      <c r="D320" s="140">
        <f>IF(Facturacion!N319="","",Facturacion!N319)</f>
        <v/>
      </c>
      <c r="E320" s="139">
        <f>IF(Facturacion!S319="","",Facturacion!S319)</f>
        <v/>
      </c>
      <c r="F320" s="138">
        <f>IF(Facturacion!T319="","",Facturacion!T319)</f>
        <v/>
      </c>
      <c r="G320" s="141">
        <f>IF(Facturacion!A319="","",IF(Facturacion!T319&lt;&gt;"",Facturacion!T319-Facturacion!A319,TODAY()-Facturacion!A319))</f>
        <v/>
      </c>
      <c r="H320" s="139">
        <f>IF(Facturacion!O319="","",Facturacion!O319)</f>
        <v/>
      </c>
      <c r="I320" s="140">
        <f>IF(Facturacion!U319="","",Facturacion!U319)</f>
        <v/>
      </c>
    </row>
    <row r="321" ht="15" customHeight="1" s="83">
      <c r="A321" s="138">
        <f>IF(Facturacion!A320="","",Facturacion!A320)</f>
        <v/>
      </c>
      <c r="B321" s="139">
        <f>IF(Facturacion!E320="","",Facturacion!E320)</f>
        <v/>
      </c>
      <c r="C321" s="139">
        <f>IF(Facturacion!G320="","",Facturacion!G320)</f>
        <v/>
      </c>
      <c r="D321" s="140">
        <f>IF(Facturacion!N320="","",Facturacion!N320)</f>
        <v/>
      </c>
      <c r="E321" s="139">
        <f>IF(Facturacion!S320="","",Facturacion!S320)</f>
        <v/>
      </c>
      <c r="F321" s="138">
        <f>IF(Facturacion!T320="","",Facturacion!T320)</f>
        <v/>
      </c>
      <c r="G321" s="141">
        <f>IF(Facturacion!A320="","",IF(Facturacion!T320&lt;&gt;"",Facturacion!T320-Facturacion!A320,TODAY()-Facturacion!A320))</f>
        <v/>
      </c>
      <c r="H321" s="139">
        <f>IF(Facturacion!O320="","",Facturacion!O320)</f>
        <v/>
      </c>
      <c r="I321" s="140">
        <f>IF(Facturacion!U320="","",Facturacion!U320)</f>
        <v/>
      </c>
    </row>
    <row r="322" ht="15" customHeight="1" s="83">
      <c r="A322" s="138">
        <f>IF(Facturacion!A321="","",Facturacion!A321)</f>
        <v/>
      </c>
      <c r="B322" s="139">
        <f>IF(Facturacion!E321="","",Facturacion!E321)</f>
        <v/>
      </c>
      <c r="C322" s="139">
        <f>IF(Facturacion!G321="","",Facturacion!G321)</f>
        <v/>
      </c>
      <c r="D322" s="140">
        <f>IF(Facturacion!N321="","",Facturacion!N321)</f>
        <v/>
      </c>
      <c r="E322" s="139">
        <f>IF(Facturacion!S321="","",Facturacion!S321)</f>
        <v/>
      </c>
      <c r="F322" s="138">
        <f>IF(Facturacion!T321="","",Facturacion!T321)</f>
        <v/>
      </c>
      <c r="G322" s="141">
        <f>IF(Facturacion!A321="","",IF(Facturacion!T321&lt;&gt;"",Facturacion!T321-Facturacion!A321,TODAY()-Facturacion!A321))</f>
        <v/>
      </c>
      <c r="H322" s="139">
        <f>IF(Facturacion!O321="","",Facturacion!O321)</f>
        <v/>
      </c>
      <c r="I322" s="140">
        <f>IF(Facturacion!U321="","",Facturacion!U321)</f>
        <v/>
      </c>
    </row>
    <row r="323" ht="15" customHeight="1" s="83">
      <c r="A323" s="138">
        <f>IF(Facturacion!A322="","",Facturacion!A322)</f>
        <v/>
      </c>
      <c r="B323" s="139">
        <f>IF(Facturacion!E322="","",Facturacion!E322)</f>
        <v/>
      </c>
      <c r="C323" s="139">
        <f>IF(Facturacion!G322="","",Facturacion!G322)</f>
        <v/>
      </c>
      <c r="D323" s="140">
        <f>IF(Facturacion!N322="","",Facturacion!N322)</f>
        <v/>
      </c>
      <c r="E323" s="139">
        <f>IF(Facturacion!S322="","",Facturacion!S322)</f>
        <v/>
      </c>
      <c r="F323" s="138">
        <f>IF(Facturacion!T322="","",Facturacion!T322)</f>
        <v/>
      </c>
      <c r="G323" s="141">
        <f>IF(Facturacion!A322="","",IF(Facturacion!T322&lt;&gt;"",Facturacion!T322-Facturacion!A322,TODAY()-Facturacion!A322))</f>
        <v/>
      </c>
      <c r="H323" s="139">
        <f>IF(Facturacion!O322="","",Facturacion!O322)</f>
        <v/>
      </c>
      <c r="I323" s="140">
        <f>IF(Facturacion!U322="","",Facturacion!U322)</f>
        <v/>
      </c>
    </row>
    <row r="324" ht="15" customHeight="1" s="83">
      <c r="A324" s="138">
        <f>IF(Facturacion!A323="","",Facturacion!A323)</f>
        <v/>
      </c>
      <c r="B324" s="139">
        <f>IF(Facturacion!E323="","",Facturacion!E323)</f>
        <v/>
      </c>
      <c r="C324" s="139">
        <f>IF(Facturacion!G323="","",Facturacion!G323)</f>
        <v/>
      </c>
      <c r="D324" s="140">
        <f>IF(Facturacion!N323="","",Facturacion!N323)</f>
        <v/>
      </c>
      <c r="E324" s="139">
        <f>IF(Facturacion!S323="","",Facturacion!S323)</f>
        <v/>
      </c>
      <c r="F324" s="138">
        <f>IF(Facturacion!T323="","",Facturacion!T323)</f>
        <v/>
      </c>
      <c r="G324" s="141">
        <f>IF(Facturacion!A323="","",IF(Facturacion!T323&lt;&gt;"",Facturacion!T323-Facturacion!A323,TODAY()-Facturacion!A323))</f>
        <v/>
      </c>
      <c r="H324" s="139">
        <f>IF(Facturacion!O323="","",Facturacion!O323)</f>
        <v/>
      </c>
      <c r="I324" s="140">
        <f>IF(Facturacion!U323="","",Facturacion!U323)</f>
        <v/>
      </c>
    </row>
    <row r="325" ht="15" customHeight="1" s="83">
      <c r="A325" s="138">
        <f>IF(Facturacion!A324="","",Facturacion!A324)</f>
        <v/>
      </c>
      <c r="B325" s="139">
        <f>IF(Facturacion!E324="","",Facturacion!E324)</f>
        <v/>
      </c>
      <c r="C325" s="139">
        <f>IF(Facturacion!G324="","",Facturacion!G324)</f>
        <v/>
      </c>
      <c r="D325" s="140">
        <f>IF(Facturacion!N324="","",Facturacion!N324)</f>
        <v/>
      </c>
      <c r="E325" s="139">
        <f>IF(Facturacion!S324="","",Facturacion!S324)</f>
        <v/>
      </c>
      <c r="F325" s="138">
        <f>IF(Facturacion!T324="","",Facturacion!T324)</f>
        <v/>
      </c>
      <c r="G325" s="141">
        <f>IF(Facturacion!A324="","",IF(Facturacion!T324&lt;&gt;"",Facturacion!T324-Facturacion!A324,TODAY()-Facturacion!A324))</f>
        <v/>
      </c>
      <c r="H325" s="139">
        <f>IF(Facturacion!O324="","",Facturacion!O324)</f>
        <v/>
      </c>
      <c r="I325" s="140">
        <f>IF(Facturacion!U324="","",Facturacion!U324)</f>
        <v/>
      </c>
    </row>
    <row r="326" ht="15" customHeight="1" s="83">
      <c r="A326" s="138">
        <f>IF(Facturacion!A325="","",Facturacion!A325)</f>
        <v/>
      </c>
      <c r="B326" s="139">
        <f>IF(Facturacion!E325="","",Facturacion!E325)</f>
        <v/>
      </c>
      <c r="C326" s="139">
        <f>IF(Facturacion!G325="","",Facturacion!G325)</f>
        <v/>
      </c>
      <c r="D326" s="140">
        <f>IF(Facturacion!N325="","",Facturacion!N325)</f>
        <v/>
      </c>
      <c r="E326" s="139">
        <f>IF(Facturacion!S325="","",Facturacion!S325)</f>
        <v/>
      </c>
      <c r="F326" s="138">
        <f>IF(Facturacion!T325="","",Facturacion!T325)</f>
        <v/>
      </c>
      <c r="G326" s="141">
        <f>IF(Facturacion!A325="","",IF(Facturacion!T325&lt;&gt;"",Facturacion!T325-Facturacion!A325,TODAY()-Facturacion!A325))</f>
        <v/>
      </c>
      <c r="H326" s="139">
        <f>IF(Facturacion!O325="","",Facturacion!O325)</f>
        <v/>
      </c>
      <c r="I326" s="140">
        <f>IF(Facturacion!U325="","",Facturacion!U325)</f>
        <v/>
      </c>
    </row>
    <row r="327" ht="15" customHeight="1" s="83">
      <c r="A327" s="138">
        <f>IF(Facturacion!A326="","",Facturacion!A326)</f>
        <v/>
      </c>
      <c r="B327" s="139">
        <f>IF(Facturacion!E326="","",Facturacion!E326)</f>
        <v/>
      </c>
      <c r="C327" s="139">
        <f>IF(Facturacion!G326="","",Facturacion!G326)</f>
        <v/>
      </c>
      <c r="D327" s="140">
        <f>IF(Facturacion!N326="","",Facturacion!N326)</f>
        <v/>
      </c>
      <c r="E327" s="139">
        <f>IF(Facturacion!S326="","",Facturacion!S326)</f>
        <v/>
      </c>
      <c r="F327" s="138">
        <f>IF(Facturacion!T326="","",Facturacion!T326)</f>
        <v/>
      </c>
      <c r="G327" s="141">
        <f>IF(Facturacion!A326="","",IF(Facturacion!T326&lt;&gt;"",Facturacion!T326-Facturacion!A326,TODAY()-Facturacion!A326))</f>
        <v/>
      </c>
      <c r="H327" s="139">
        <f>IF(Facturacion!O326="","",Facturacion!O326)</f>
        <v/>
      </c>
      <c r="I327" s="140">
        <f>IF(Facturacion!U326="","",Facturacion!U326)</f>
        <v/>
      </c>
    </row>
    <row r="328" ht="15" customHeight="1" s="83">
      <c r="A328" s="138">
        <f>IF(Facturacion!A327="","",Facturacion!A327)</f>
        <v/>
      </c>
      <c r="B328" s="139">
        <f>IF(Facturacion!E327="","",Facturacion!E327)</f>
        <v/>
      </c>
      <c r="C328" s="139">
        <f>IF(Facturacion!G327="","",Facturacion!G327)</f>
        <v/>
      </c>
      <c r="D328" s="140">
        <f>IF(Facturacion!N327="","",Facturacion!N327)</f>
        <v/>
      </c>
      <c r="E328" s="139">
        <f>IF(Facturacion!S327="","",Facturacion!S327)</f>
        <v/>
      </c>
      <c r="F328" s="138">
        <f>IF(Facturacion!T327="","",Facturacion!T327)</f>
        <v/>
      </c>
      <c r="G328" s="141">
        <f>IF(Facturacion!A327="","",IF(Facturacion!T327&lt;&gt;"",Facturacion!T327-Facturacion!A327,TODAY()-Facturacion!A327))</f>
        <v/>
      </c>
      <c r="H328" s="139">
        <f>IF(Facturacion!O327="","",Facturacion!O327)</f>
        <v/>
      </c>
      <c r="I328" s="140">
        <f>IF(Facturacion!U327="","",Facturacion!U327)</f>
        <v/>
      </c>
    </row>
    <row r="329" ht="15" customHeight="1" s="83">
      <c r="A329" s="138">
        <f>IF(Facturacion!A328="","",Facturacion!A328)</f>
        <v/>
      </c>
      <c r="B329" s="139">
        <f>IF(Facturacion!E328="","",Facturacion!E328)</f>
        <v/>
      </c>
      <c r="C329" s="139">
        <f>IF(Facturacion!G328="","",Facturacion!G328)</f>
        <v/>
      </c>
      <c r="D329" s="140">
        <f>IF(Facturacion!N328="","",Facturacion!N328)</f>
        <v/>
      </c>
      <c r="E329" s="139">
        <f>IF(Facturacion!S328="","",Facturacion!S328)</f>
        <v/>
      </c>
      <c r="F329" s="138">
        <f>IF(Facturacion!T328="","",Facturacion!T328)</f>
        <v/>
      </c>
      <c r="G329" s="141">
        <f>IF(Facturacion!A328="","",IF(Facturacion!T328&lt;&gt;"",Facturacion!T328-Facturacion!A328,TODAY()-Facturacion!A328))</f>
        <v/>
      </c>
      <c r="H329" s="139">
        <f>IF(Facturacion!O328="","",Facturacion!O328)</f>
        <v/>
      </c>
      <c r="I329" s="140">
        <f>IF(Facturacion!U328="","",Facturacion!U328)</f>
        <v/>
      </c>
    </row>
    <row r="330" ht="15" customHeight="1" s="83">
      <c r="A330" s="138">
        <f>IF(Facturacion!A329="","",Facturacion!A329)</f>
        <v/>
      </c>
      <c r="B330" s="139">
        <f>IF(Facturacion!E329="","",Facturacion!E329)</f>
        <v/>
      </c>
      <c r="C330" s="139">
        <f>IF(Facturacion!G329="","",Facturacion!G329)</f>
        <v/>
      </c>
      <c r="D330" s="140">
        <f>IF(Facturacion!N329="","",Facturacion!N329)</f>
        <v/>
      </c>
      <c r="E330" s="139">
        <f>IF(Facturacion!S329="","",Facturacion!S329)</f>
        <v/>
      </c>
      <c r="F330" s="138">
        <f>IF(Facturacion!T329="","",Facturacion!T329)</f>
        <v/>
      </c>
      <c r="G330" s="141">
        <f>IF(Facturacion!A329="","",IF(Facturacion!T329&lt;&gt;"",Facturacion!T329-Facturacion!A329,TODAY()-Facturacion!A329))</f>
        <v/>
      </c>
      <c r="H330" s="139">
        <f>IF(Facturacion!O329="","",Facturacion!O329)</f>
        <v/>
      </c>
      <c r="I330" s="140">
        <f>IF(Facturacion!U329="","",Facturacion!U329)</f>
        <v/>
      </c>
    </row>
    <row r="331" ht="15" customHeight="1" s="83">
      <c r="A331" s="138">
        <f>IF(Facturacion!A330="","",Facturacion!A330)</f>
        <v/>
      </c>
      <c r="B331" s="139">
        <f>IF(Facturacion!E330="","",Facturacion!E330)</f>
        <v/>
      </c>
      <c r="C331" s="139">
        <f>IF(Facturacion!G330="","",Facturacion!G330)</f>
        <v/>
      </c>
      <c r="D331" s="140">
        <f>IF(Facturacion!N330="","",Facturacion!N330)</f>
        <v/>
      </c>
      <c r="E331" s="139">
        <f>IF(Facturacion!S330="","",Facturacion!S330)</f>
        <v/>
      </c>
      <c r="F331" s="138">
        <f>IF(Facturacion!T330="","",Facturacion!T330)</f>
        <v/>
      </c>
      <c r="G331" s="141">
        <f>IF(Facturacion!A330="","",IF(Facturacion!T330&lt;&gt;"",Facturacion!T330-Facturacion!A330,TODAY()-Facturacion!A330))</f>
        <v/>
      </c>
      <c r="H331" s="139">
        <f>IF(Facturacion!O330="","",Facturacion!O330)</f>
        <v/>
      </c>
      <c r="I331" s="140">
        <f>IF(Facturacion!U330="","",Facturacion!U330)</f>
        <v/>
      </c>
    </row>
    <row r="332" ht="15" customHeight="1" s="83">
      <c r="A332" s="138">
        <f>IF(Facturacion!A331="","",Facturacion!A331)</f>
        <v/>
      </c>
      <c r="B332" s="139">
        <f>IF(Facturacion!E331="","",Facturacion!E331)</f>
        <v/>
      </c>
      <c r="C332" s="139">
        <f>IF(Facturacion!G331="","",Facturacion!G331)</f>
        <v/>
      </c>
      <c r="D332" s="140">
        <f>IF(Facturacion!N331="","",Facturacion!N331)</f>
        <v/>
      </c>
      <c r="E332" s="139">
        <f>IF(Facturacion!S331="","",Facturacion!S331)</f>
        <v/>
      </c>
      <c r="F332" s="138">
        <f>IF(Facturacion!T331="","",Facturacion!T331)</f>
        <v/>
      </c>
      <c r="G332" s="141">
        <f>IF(Facturacion!A331="","",IF(Facturacion!T331&lt;&gt;"",Facturacion!T331-Facturacion!A331,TODAY()-Facturacion!A331))</f>
        <v/>
      </c>
      <c r="H332" s="139">
        <f>IF(Facturacion!O331="","",Facturacion!O331)</f>
        <v/>
      </c>
      <c r="I332" s="140">
        <f>IF(Facturacion!U331="","",Facturacion!U331)</f>
        <v/>
      </c>
    </row>
    <row r="333" ht="15" customHeight="1" s="83">
      <c r="A333" s="138">
        <f>IF(Facturacion!A332="","",Facturacion!A332)</f>
        <v/>
      </c>
      <c r="B333" s="139">
        <f>IF(Facturacion!E332="","",Facturacion!E332)</f>
        <v/>
      </c>
      <c r="C333" s="139">
        <f>IF(Facturacion!G332="","",Facturacion!G332)</f>
        <v/>
      </c>
      <c r="D333" s="140">
        <f>IF(Facturacion!N332="","",Facturacion!N332)</f>
        <v/>
      </c>
      <c r="E333" s="139">
        <f>IF(Facturacion!S332="","",Facturacion!S332)</f>
        <v/>
      </c>
      <c r="F333" s="138">
        <f>IF(Facturacion!T332="","",Facturacion!T332)</f>
        <v/>
      </c>
      <c r="G333" s="141">
        <f>IF(Facturacion!A332="","",IF(Facturacion!T332&lt;&gt;"",Facturacion!T332-Facturacion!A332,TODAY()-Facturacion!A332))</f>
        <v/>
      </c>
      <c r="H333" s="139">
        <f>IF(Facturacion!O332="","",Facturacion!O332)</f>
        <v/>
      </c>
      <c r="I333" s="140">
        <f>IF(Facturacion!U332="","",Facturacion!U332)</f>
        <v/>
      </c>
    </row>
    <row r="334" ht="15" customHeight="1" s="83">
      <c r="A334" s="138">
        <f>IF(Facturacion!A333="","",Facturacion!A333)</f>
        <v/>
      </c>
      <c r="B334" s="139">
        <f>IF(Facturacion!E333="","",Facturacion!E333)</f>
        <v/>
      </c>
      <c r="C334" s="139">
        <f>IF(Facturacion!G333="","",Facturacion!G333)</f>
        <v/>
      </c>
      <c r="D334" s="140">
        <f>IF(Facturacion!N333="","",Facturacion!N333)</f>
        <v/>
      </c>
      <c r="E334" s="139">
        <f>IF(Facturacion!S333="","",Facturacion!S333)</f>
        <v/>
      </c>
      <c r="F334" s="138">
        <f>IF(Facturacion!T333="","",Facturacion!T333)</f>
        <v/>
      </c>
      <c r="G334" s="141">
        <f>IF(Facturacion!A333="","",IF(Facturacion!T333&lt;&gt;"",Facturacion!T333-Facturacion!A333,TODAY()-Facturacion!A333))</f>
        <v/>
      </c>
      <c r="H334" s="139">
        <f>IF(Facturacion!O333="","",Facturacion!O333)</f>
        <v/>
      </c>
      <c r="I334" s="140">
        <f>IF(Facturacion!U333="","",Facturacion!U333)</f>
        <v/>
      </c>
    </row>
    <row r="335" ht="15" customHeight="1" s="83">
      <c r="A335" s="138">
        <f>IF(Facturacion!A334="","",Facturacion!A334)</f>
        <v/>
      </c>
      <c r="B335" s="139">
        <f>IF(Facturacion!E334="","",Facturacion!E334)</f>
        <v/>
      </c>
      <c r="C335" s="139">
        <f>IF(Facturacion!G334="","",Facturacion!G334)</f>
        <v/>
      </c>
      <c r="D335" s="140">
        <f>IF(Facturacion!N334="","",Facturacion!N334)</f>
        <v/>
      </c>
      <c r="E335" s="139">
        <f>IF(Facturacion!S334="","",Facturacion!S334)</f>
        <v/>
      </c>
      <c r="F335" s="138">
        <f>IF(Facturacion!T334="","",Facturacion!T334)</f>
        <v/>
      </c>
      <c r="G335" s="141">
        <f>IF(Facturacion!A334="","",IF(Facturacion!T334&lt;&gt;"",Facturacion!T334-Facturacion!A334,TODAY()-Facturacion!A334))</f>
        <v/>
      </c>
      <c r="H335" s="139">
        <f>IF(Facturacion!O334="","",Facturacion!O334)</f>
        <v/>
      </c>
      <c r="I335" s="140">
        <f>IF(Facturacion!U334="","",Facturacion!U334)</f>
        <v/>
      </c>
    </row>
    <row r="336" ht="15" customHeight="1" s="83">
      <c r="A336" s="138">
        <f>IF(Facturacion!A335="","",Facturacion!A335)</f>
        <v/>
      </c>
      <c r="B336" s="139">
        <f>IF(Facturacion!E335="","",Facturacion!E335)</f>
        <v/>
      </c>
      <c r="C336" s="139">
        <f>IF(Facturacion!G335="","",Facturacion!G335)</f>
        <v/>
      </c>
      <c r="D336" s="140">
        <f>IF(Facturacion!N335="","",Facturacion!N335)</f>
        <v/>
      </c>
      <c r="E336" s="139">
        <f>IF(Facturacion!S335="","",Facturacion!S335)</f>
        <v/>
      </c>
      <c r="F336" s="138">
        <f>IF(Facturacion!T335="","",Facturacion!T335)</f>
        <v/>
      </c>
      <c r="G336" s="141">
        <f>IF(Facturacion!A335="","",IF(Facturacion!T335&lt;&gt;"",Facturacion!T335-Facturacion!A335,TODAY()-Facturacion!A335))</f>
        <v/>
      </c>
      <c r="H336" s="139">
        <f>IF(Facturacion!O335="","",Facturacion!O335)</f>
        <v/>
      </c>
      <c r="I336" s="140">
        <f>IF(Facturacion!U335="","",Facturacion!U335)</f>
        <v/>
      </c>
    </row>
    <row r="337" ht="15" customHeight="1" s="83">
      <c r="A337" s="138">
        <f>IF(Facturacion!A336="","",Facturacion!A336)</f>
        <v/>
      </c>
      <c r="B337" s="139">
        <f>IF(Facturacion!E336="","",Facturacion!E336)</f>
        <v/>
      </c>
      <c r="C337" s="139">
        <f>IF(Facturacion!G336="","",Facturacion!G336)</f>
        <v/>
      </c>
      <c r="D337" s="140">
        <f>IF(Facturacion!N336="","",Facturacion!N336)</f>
        <v/>
      </c>
      <c r="E337" s="139">
        <f>IF(Facturacion!S336="","",Facturacion!S336)</f>
        <v/>
      </c>
      <c r="F337" s="138">
        <f>IF(Facturacion!T336="","",Facturacion!T336)</f>
        <v/>
      </c>
      <c r="G337" s="141">
        <f>IF(Facturacion!A336="","",IF(Facturacion!T336&lt;&gt;"",Facturacion!T336-Facturacion!A336,TODAY()-Facturacion!A336))</f>
        <v/>
      </c>
      <c r="H337" s="139">
        <f>IF(Facturacion!O336="","",Facturacion!O336)</f>
        <v/>
      </c>
      <c r="I337" s="140">
        <f>IF(Facturacion!U336="","",Facturacion!U336)</f>
        <v/>
      </c>
    </row>
    <row r="338" ht="15" customHeight="1" s="83">
      <c r="A338" s="138">
        <f>IF(Facturacion!A337="","",Facturacion!A337)</f>
        <v/>
      </c>
      <c r="B338" s="139">
        <f>IF(Facturacion!E337="","",Facturacion!E337)</f>
        <v/>
      </c>
      <c r="C338" s="139">
        <f>IF(Facturacion!G337="","",Facturacion!G337)</f>
        <v/>
      </c>
      <c r="D338" s="140">
        <f>IF(Facturacion!N337="","",Facturacion!N337)</f>
        <v/>
      </c>
      <c r="E338" s="139">
        <f>IF(Facturacion!S337="","",Facturacion!S337)</f>
        <v/>
      </c>
      <c r="F338" s="138">
        <f>IF(Facturacion!T337="","",Facturacion!T337)</f>
        <v/>
      </c>
      <c r="G338" s="141">
        <f>IF(Facturacion!A337="","",IF(Facturacion!T337&lt;&gt;"",Facturacion!T337-Facturacion!A337,TODAY()-Facturacion!A337))</f>
        <v/>
      </c>
      <c r="H338" s="139">
        <f>IF(Facturacion!O337="","",Facturacion!O337)</f>
        <v/>
      </c>
      <c r="I338" s="140">
        <f>IF(Facturacion!U337="","",Facturacion!U337)</f>
        <v/>
      </c>
    </row>
    <row r="339" ht="15" customHeight="1" s="83">
      <c r="A339" s="138">
        <f>IF(Facturacion!A338="","",Facturacion!A338)</f>
        <v/>
      </c>
      <c r="B339" s="139">
        <f>IF(Facturacion!E338="","",Facturacion!E338)</f>
        <v/>
      </c>
      <c r="C339" s="139">
        <f>IF(Facturacion!G338="","",Facturacion!G338)</f>
        <v/>
      </c>
      <c r="D339" s="140">
        <f>IF(Facturacion!N338="","",Facturacion!N338)</f>
        <v/>
      </c>
      <c r="E339" s="139">
        <f>IF(Facturacion!S338="","",Facturacion!S338)</f>
        <v/>
      </c>
      <c r="F339" s="138">
        <f>IF(Facturacion!T338="","",Facturacion!T338)</f>
        <v/>
      </c>
      <c r="G339" s="141">
        <f>IF(Facturacion!A338="","",IF(Facturacion!T338&lt;&gt;"",Facturacion!T338-Facturacion!A338,TODAY()-Facturacion!A338))</f>
        <v/>
      </c>
      <c r="H339" s="139">
        <f>IF(Facturacion!O338="","",Facturacion!O338)</f>
        <v/>
      </c>
      <c r="I339" s="140">
        <f>IF(Facturacion!U338="","",Facturacion!U338)</f>
        <v/>
      </c>
    </row>
    <row r="340" ht="15" customHeight="1" s="83">
      <c r="A340" s="138">
        <f>IF(Facturacion!A339="","",Facturacion!A339)</f>
        <v/>
      </c>
      <c r="B340" s="139">
        <f>IF(Facturacion!E339="","",Facturacion!E339)</f>
        <v/>
      </c>
      <c r="C340" s="139">
        <f>IF(Facturacion!G339="","",Facturacion!G339)</f>
        <v/>
      </c>
      <c r="D340" s="140">
        <f>IF(Facturacion!N339="","",Facturacion!N339)</f>
        <v/>
      </c>
      <c r="E340" s="139">
        <f>IF(Facturacion!S339="","",Facturacion!S339)</f>
        <v/>
      </c>
      <c r="F340" s="138">
        <f>IF(Facturacion!T339="","",Facturacion!T339)</f>
        <v/>
      </c>
      <c r="G340" s="141">
        <f>IF(Facturacion!A339="","",IF(Facturacion!T339&lt;&gt;"",Facturacion!T339-Facturacion!A339,TODAY()-Facturacion!A339))</f>
        <v/>
      </c>
      <c r="H340" s="139">
        <f>IF(Facturacion!O339="","",Facturacion!O339)</f>
        <v/>
      </c>
      <c r="I340" s="140">
        <f>IF(Facturacion!U339="","",Facturacion!U339)</f>
        <v/>
      </c>
    </row>
    <row r="341" ht="15" customHeight="1" s="83">
      <c r="A341" s="138">
        <f>IF(Facturacion!A340="","",Facturacion!A340)</f>
        <v/>
      </c>
      <c r="B341" s="139">
        <f>IF(Facturacion!E340="","",Facturacion!E340)</f>
        <v/>
      </c>
      <c r="C341" s="139">
        <f>IF(Facturacion!G340="","",Facturacion!G340)</f>
        <v/>
      </c>
      <c r="D341" s="140">
        <f>IF(Facturacion!N340="","",Facturacion!N340)</f>
        <v/>
      </c>
      <c r="E341" s="139">
        <f>IF(Facturacion!S340="","",Facturacion!S340)</f>
        <v/>
      </c>
      <c r="F341" s="138">
        <f>IF(Facturacion!T340="","",Facturacion!T340)</f>
        <v/>
      </c>
      <c r="G341" s="141">
        <f>IF(Facturacion!A340="","",IF(Facturacion!T340&lt;&gt;"",Facturacion!T340-Facturacion!A340,TODAY()-Facturacion!A340))</f>
        <v/>
      </c>
      <c r="H341" s="139">
        <f>IF(Facturacion!O340="","",Facturacion!O340)</f>
        <v/>
      </c>
      <c r="I341" s="140">
        <f>IF(Facturacion!U340="","",Facturacion!U340)</f>
        <v/>
      </c>
    </row>
    <row r="342" ht="15" customHeight="1" s="83">
      <c r="A342" s="138">
        <f>IF(Facturacion!A341="","",Facturacion!A341)</f>
        <v/>
      </c>
      <c r="B342" s="139">
        <f>IF(Facturacion!E341="","",Facturacion!E341)</f>
        <v/>
      </c>
      <c r="C342" s="139">
        <f>IF(Facturacion!G341="","",Facturacion!G341)</f>
        <v/>
      </c>
      <c r="D342" s="140">
        <f>IF(Facturacion!N341="","",Facturacion!N341)</f>
        <v/>
      </c>
      <c r="E342" s="139">
        <f>IF(Facturacion!S341="","",Facturacion!S341)</f>
        <v/>
      </c>
      <c r="F342" s="138">
        <f>IF(Facturacion!T341="","",Facturacion!T341)</f>
        <v/>
      </c>
      <c r="G342" s="141">
        <f>IF(Facturacion!A341="","",IF(Facturacion!T341&lt;&gt;"",Facturacion!T341-Facturacion!A341,TODAY()-Facturacion!A341))</f>
        <v/>
      </c>
      <c r="H342" s="139">
        <f>IF(Facturacion!O341="","",Facturacion!O341)</f>
        <v/>
      </c>
      <c r="I342" s="140">
        <f>IF(Facturacion!U341="","",Facturacion!U341)</f>
        <v/>
      </c>
    </row>
    <row r="343" ht="15" customHeight="1" s="83">
      <c r="A343" s="138">
        <f>IF(Facturacion!A342="","",Facturacion!A342)</f>
        <v/>
      </c>
      <c r="B343" s="139">
        <f>IF(Facturacion!E342="","",Facturacion!E342)</f>
        <v/>
      </c>
      <c r="C343" s="139">
        <f>IF(Facturacion!G342="","",Facturacion!G342)</f>
        <v/>
      </c>
      <c r="D343" s="140">
        <f>IF(Facturacion!N342="","",Facturacion!N342)</f>
        <v/>
      </c>
      <c r="E343" s="139">
        <f>IF(Facturacion!S342="","",Facturacion!S342)</f>
        <v/>
      </c>
      <c r="F343" s="138">
        <f>IF(Facturacion!T342="","",Facturacion!T342)</f>
        <v/>
      </c>
      <c r="G343" s="141">
        <f>IF(Facturacion!A342="","",IF(Facturacion!T342&lt;&gt;"",Facturacion!T342-Facturacion!A342,TODAY()-Facturacion!A342))</f>
        <v/>
      </c>
      <c r="H343" s="139">
        <f>IF(Facturacion!O342="","",Facturacion!O342)</f>
        <v/>
      </c>
      <c r="I343" s="140">
        <f>IF(Facturacion!U342="","",Facturacion!U342)</f>
        <v/>
      </c>
    </row>
    <row r="344" ht="15" customHeight="1" s="83">
      <c r="A344" s="138">
        <f>IF(Facturacion!A343="","",Facturacion!A343)</f>
        <v/>
      </c>
      <c r="B344" s="139">
        <f>IF(Facturacion!E343="","",Facturacion!E343)</f>
        <v/>
      </c>
      <c r="C344" s="139">
        <f>IF(Facturacion!G343="","",Facturacion!G343)</f>
        <v/>
      </c>
      <c r="D344" s="140">
        <f>IF(Facturacion!N343="","",Facturacion!N343)</f>
        <v/>
      </c>
      <c r="E344" s="139">
        <f>IF(Facturacion!S343="","",Facturacion!S343)</f>
        <v/>
      </c>
      <c r="F344" s="138">
        <f>IF(Facturacion!T343="","",Facturacion!T343)</f>
        <v/>
      </c>
      <c r="G344" s="141">
        <f>IF(Facturacion!A343="","",IF(Facturacion!T343&lt;&gt;"",Facturacion!T343-Facturacion!A343,TODAY()-Facturacion!A343))</f>
        <v/>
      </c>
      <c r="H344" s="139">
        <f>IF(Facturacion!O343="","",Facturacion!O343)</f>
        <v/>
      </c>
      <c r="I344" s="140">
        <f>IF(Facturacion!U343="","",Facturacion!U343)</f>
        <v/>
      </c>
    </row>
    <row r="345" ht="15" customHeight="1" s="83">
      <c r="A345" s="138">
        <f>IF(Facturacion!A344="","",Facturacion!A344)</f>
        <v/>
      </c>
      <c r="B345" s="139">
        <f>IF(Facturacion!E344="","",Facturacion!E344)</f>
        <v/>
      </c>
      <c r="C345" s="139">
        <f>IF(Facturacion!G344="","",Facturacion!G344)</f>
        <v/>
      </c>
      <c r="D345" s="140">
        <f>IF(Facturacion!N344="","",Facturacion!N344)</f>
        <v/>
      </c>
      <c r="E345" s="139">
        <f>IF(Facturacion!S344="","",Facturacion!S344)</f>
        <v/>
      </c>
      <c r="F345" s="138">
        <f>IF(Facturacion!T344="","",Facturacion!T344)</f>
        <v/>
      </c>
      <c r="G345" s="141">
        <f>IF(Facturacion!A344="","",IF(Facturacion!T344&lt;&gt;"",Facturacion!T344-Facturacion!A344,TODAY()-Facturacion!A344))</f>
        <v/>
      </c>
      <c r="H345" s="139">
        <f>IF(Facturacion!O344="","",Facturacion!O344)</f>
        <v/>
      </c>
      <c r="I345" s="140">
        <f>IF(Facturacion!U344="","",Facturacion!U344)</f>
        <v/>
      </c>
    </row>
    <row r="346" ht="15" customHeight="1" s="83">
      <c r="A346" s="138">
        <f>IF(Facturacion!A345="","",Facturacion!A345)</f>
        <v/>
      </c>
      <c r="B346" s="139">
        <f>IF(Facturacion!E345="","",Facturacion!E345)</f>
        <v/>
      </c>
      <c r="C346" s="139">
        <f>IF(Facturacion!G345="","",Facturacion!G345)</f>
        <v/>
      </c>
      <c r="D346" s="140">
        <f>IF(Facturacion!N345="","",Facturacion!N345)</f>
        <v/>
      </c>
      <c r="E346" s="139">
        <f>IF(Facturacion!S345="","",Facturacion!S345)</f>
        <v/>
      </c>
      <c r="F346" s="138">
        <f>IF(Facturacion!T345="","",Facturacion!T345)</f>
        <v/>
      </c>
      <c r="G346" s="141">
        <f>IF(Facturacion!A345="","",IF(Facturacion!T345&lt;&gt;"",Facturacion!T345-Facturacion!A345,TODAY()-Facturacion!A345))</f>
        <v/>
      </c>
      <c r="H346" s="139">
        <f>IF(Facturacion!O345="","",Facturacion!O345)</f>
        <v/>
      </c>
      <c r="I346" s="140">
        <f>IF(Facturacion!U345="","",Facturacion!U345)</f>
        <v/>
      </c>
    </row>
    <row r="347" ht="15" customHeight="1" s="83">
      <c r="A347" s="138">
        <f>IF(Facturacion!A346="","",Facturacion!A346)</f>
        <v/>
      </c>
      <c r="B347" s="139">
        <f>IF(Facturacion!E346="","",Facturacion!E346)</f>
        <v/>
      </c>
      <c r="C347" s="139">
        <f>IF(Facturacion!G346="","",Facturacion!G346)</f>
        <v/>
      </c>
      <c r="D347" s="140">
        <f>IF(Facturacion!N346="","",Facturacion!N346)</f>
        <v/>
      </c>
      <c r="E347" s="139">
        <f>IF(Facturacion!S346="","",Facturacion!S346)</f>
        <v/>
      </c>
      <c r="F347" s="138">
        <f>IF(Facturacion!T346="","",Facturacion!T346)</f>
        <v/>
      </c>
      <c r="G347" s="141">
        <f>IF(Facturacion!A346="","",IF(Facturacion!T346&lt;&gt;"",Facturacion!T346-Facturacion!A346,TODAY()-Facturacion!A346))</f>
        <v/>
      </c>
      <c r="H347" s="139">
        <f>IF(Facturacion!O346="","",Facturacion!O346)</f>
        <v/>
      </c>
      <c r="I347" s="140">
        <f>IF(Facturacion!U346="","",Facturacion!U346)</f>
        <v/>
      </c>
    </row>
    <row r="348" ht="15" customHeight="1" s="83">
      <c r="A348" s="138">
        <f>IF(Facturacion!A347="","",Facturacion!A347)</f>
        <v/>
      </c>
      <c r="B348" s="139">
        <f>IF(Facturacion!E347="","",Facturacion!E347)</f>
        <v/>
      </c>
      <c r="C348" s="139">
        <f>IF(Facturacion!G347="","",Facturacion!G347)</f>
        <v/>
      </c>
      <c r="D348" s="140">
        <f>IF(Facturacion!N347="","",Facturacion!N347)</f>
        <v/>
      </c>
      <c r="E348" s="139">
        <f>IF(Facturacion!S347="","",Facturacion!S347)</f>
        <v/>
      </c>
      <c r="F348" s="138">
        <f>IF(Facturacion!T347="","",Facturacion!T347)</f>
        <v/>
      </c>
      <c r="G348" s="141">
        <f>IF(Facturacion!A347="","",IF(Facturacion!T347&lt;&gt;"",Facturacion!T347-Facturacion!A347,TODAY()-Facturacion!A347))</f>
        <v/>
      </c>
      <c r="H348" s="139">
        <f>IF(Facturacion!O347="","",Facturacion!O347)</f>
        <v/>
      </c>
      <c r="I348" s="140">
        <f>IF(Facturacion!U347="","",Facturacion!U347)</f>
        <v/>
      </c>
    </row>
    <row r="349" ht="15" customHeight="1" s="83">
      <c r="A349" s="138">
        <f>IF(Facturacion!A348="","",Facturacion!A348)</f>
        <v/>
      </c>
      <c r="B349" s="139">
        <f>IF(Facturacion!E348="","",Facturacion!E348)</f>
        <v/>
      </c>
      <c r="C349" s="139">
        <f>IF(Facturacion!G348="","",Facturacion!G348)</f>
        <v/>
      </c>
      <c r="D349" s="140">
        <f>IF(Facturacion!N348="","",Facturacion!N348)</f>
        <v/>
      </c>
      <c r="E349" s="139">
        <f>IF(Facturacion!S348="","",Facturacion!S348)</f>
        <v/>
      </c>
      <c r="F349" s="138">
        <f>IF(Facturacion!T348="","",Facturacion!T348)</f>
        <v/>
      </c>
      <c r="G349" s="141">
        <f>IF(Facturacion!A348="","",IF(Facturacion!T348&lt;&gt;"",Facturacion!T348-Facturacion!A348,TODAY()-Facturacion!A348))</f>
        <v/>
      </c>
      <c r="H349" s="139">
        <f>IF(Facturacion!O348="","",Facturacion!O348)</f>
        <v/>
      </c>
      <c r="I349" s="140">
        <f>IF(Facturacion!U348="","",Facturacion!U348)</f>
        <v/>
      </c>
    </row>
    <row r="350" ht="15" customHeight="1" s="83">
      <c r="A350" s="138">
        <f>IF(Facturacion!A349="","",Facturacion!A349)</f>
        <v/>
      </c>
      <c r="B350" s="139">
        <f>IF(Facturacion!E349="","",Facturacion!E349)</f>
        <v/>
      </c>
      <c r="C350" s="139">
        <f>IF(Facturacion!G349="","",Facturacion!G349)</f>
        <v/>
      </c>
      <c r="D350" s="140">
        <f>IF(Facturacion!N349="","",Facturacion!N349)</f>
        <v/>
      </c>
      <c r="E350" s="139">
        <f>IF(Facturacion!S349="","",Facturacion!S349)</f>
        <v/>
      </c>
      <c r="F350" s="138">
        <f>IF(Facturacion!T349="","",Facturacion!T349)</f>
        <v/>
      </c>
      <c r="G350" s="141">
        <f>IF(Facturacion!A349="","",IF(Facturacion!T349&lt;&gt;"",Facturacion!T349-Facturacion!A349,TODAY()-Facturacion!A349))</f>
        <v/>
      </c>
      <c r="H350" s="139">
        <f>IF(Facturacion!O349="","",Facturacion!O349)</f>
        <v/>
      </c>
      <c r="I350" s="140">
        <f>IF(Facturacion!U349="","",Facturacion!U349)</f>
        <v/>
      </c>
    </row>
    <row r="351" ht="15" customHeight="1" s="83">
      <c r="A351" s="138">
        <f>IF(Facturacion!A350="","",Facturacion!A350)</f>
        <v/>
      </c>
      <c r="B351" s="139">
        <f>IF(Facturacion!E350="","",Facturacion!E350)</f>
        <v/>
      </c>
      <c r="C351" s="139">
        <f>IF(Facturacion!G350="","",Facturacion!G350)</f>
        <v/>
      </c>
      <c r="D351" s="140">
        <f>IF(Facturacion!N350="","",Facturacion!N350)</f>
        <v/>
      </c>
      <c r="E351" s="139">
        <f>IF(Facturacion!S350="","",Facturacion!S350)</f>
        <v/>
      </c>
      <c r="F351" s="138">
        <f>IF(Facturacion!T350="","",Facturacion!T350)</f>
        <v/>
      </c>
      <c r="G351" s="141">
        <f>IF(Facturacion!A350="","",IF(Facturacion!T350&lt;&gt;"",Facturacion!T350-Facturacion!A350,TODAY()-Facturacion!A350))</f>
        <v/>
      </c>
      <c r="H351" s="139">
        <f>IF(Facturacion!O350="","",Facturacion!O350)</f>
        <v/>
      </c>
      <c r="I351" s="140">
        <f>IF(Facturacion!U350="","",Facturacion!U350)</f>
        <v/>
      </c>
    </row>
    <row r="352" ht="15" customHeight="1" s="83">
      <c r="A352" s="138">
        <f>IF(Facturacion!A351="","",Facturacion!A351)</f>
        <v/>
      </c>
      <c r="B352" s="139">
        <f>IF(Facturacion!E351="","",Facturacion!E351)</f>
        <v/>
      </c>
      <c r="C352" s="139">
        <f>IF(Facturacion!G351="","",Facturacion!G351)</f>
        <v/>
      </c>
      <c r="D352" s="140">
        <f>IF(Facturacion!N351="","",Facturacion!N351)</f>
        <v/>
      </c>
      <c r="E352" s="139">
        <f>IF(Facturacion!S351="","",Facturacion!S351)</f>
        <v/>
      </c>
      <c r="F352" s="138">
        <f>IF(Facturacion!T351="","",Facturacion!T351)</f>
        <v/>
      </c>
      <c r="G352" s="141">
        <f>IF(Facturacion!A351="","",IF(Facturacion!T351&lt;&gt;"",Facturacion!T351-Facturacion!A351,TODAY()-Facturacion!A351))</f>
        <v/>
      </c>
      <c r="H352" s="139">
        <f>IF(Facturacion!O351="","",Facturacion!O351)</f>
        <v/>
      </c>
      <c r="I352" s="140">
        <f>IF(Facturacion!U351="","",Facturacion!U351)</f>
        <v/>
      </c>
    </row>
    <row r="353" ht="15" customHeight="1" s="83">
      <c r="A353" s="138">
        <f>IF(Facturacion!A352="","",Facturacion!A352)</f>
        <v/>
      </c>
      <c r="B353" s="139">
        <f>IF(Facturacion!E352="","",Facturacion!E352)</f>
        <v/>
      </c>
      <c r="C353" s="139">
        <f>IF(Facturacion!G352="","",Facturacion!G352)</f>
        <v/>
      </c>
      <c r="D353" s="140">
        <f>IF(Facturacion!N352="","",Facturacion!N352)</f>
        <v/>
      </c>
      <c r="E353" s="139">
        <f>IF(Facturacion!S352="","",Facturacion!S352)</f>
        <v/>
      </c>
      <c r="F353" s="138">
        <f>IF(Facturacion!T352="","",Facturacion!T352)</f>
        <v/>
      </c>
      <c r="G353" s="141">
        <f>IF(Facturacion!A352="","",IF(Facturacion!T352&lt;&gt;"",Facturacion!T352-Facturacion!A352,TODAY()-Facturacion!A352))</f>
        <v/>
      </c>
      <c r="H353" s="139">
        <f>IF(Facturacion!O352="","",Facturacion!O352)</f>
        <v/>
      </c>
      <c r="I353" s="140">
        <f>IF(Facturacion!U352="","",Facturacion!U352)</f>
        <v/>
      </c>
    </row>
    <row r="354" ht="15" customHeight="1" s="83">
      <c r="A354" s="138">
        <f>IF(Facturacion!A353="","",Facturacion!A353)</f>
        <v/>
      </c>
      <c r="B354" s="139">
        <f>IF(Facturacion!E353="","",Facturacion!E353)</f>
        <v/>
      </c>
      <c r="C354" s="139">
        <f>IF(Facturacion!G353="","",Facturacion!G353)</f>
        <v/>
      </c>
      <c r="D354" s="140">
        <f>IF(Facturacion!N353="","",Facturacion!N353)</f>
        <v/>
      </c>
      <c r="E354" s="139">
        <f>IF(Facturacion!S353="","",Facturacion!S353)</f>
        <v/>
      </c>
      <c r="F354" s="138">
        <f>IF(Facturacion!T353="","",Facturacion!T353)</f>
        <v/>
      </c>
      <c r="G354" s="141">
        <f>IF(Facturacion!A353="","",IF(Facturacion!T353&lt;&gt;"",Facturacion!T353-Facturacion!A353,TODAY()-Facturacion!A353))</f>
        <v/>
      </c>
      <c r="H354" s="139">
        <f>IF(Facturacion!O353="","",Facturacion!O353)</f>
        <v/>
      </c>
      <c r="I354" s="140">
        <f>IF(Facturacion!U353="","",Facturacion!U353)</f>
        <v/>
      </c>
    </row>
    <row r="355" ht="15" customHeight="1" s="83">
      <c r="A355" s="138">
        <f>IF(Facturacion!A354="","",Facturacion!A354)</f>
        <v/>
      </c>
      <c r="B355" s="139">
        <f>IF(Facturacion!E354="","",Facturacion!E354)</f>
        <v/>
      </c>
      <c r="C355" s="139">
        <f>IF(Facturacion!G354="","",Facturacion!G354)</f>
        <v/>
      </c>
      <c r="D355" s="140">
        <f>IF(Facturacion!N354="","",Facturacion!N354)</f>
        <v/>
      </c>
      <c r="E355" s="139">
        <f>IF(Facturacion!S354="","",Facturacion!S354)</f>
        <v/>
      </c>
      <c r="F355" s="138">
        <f>IF(Facturacion!T354="","",Facturacion!T354)</f>
        <v/>
      </c>
      <c r="G355" s="141">
        <f>IF(Facturacion!A354="","",IF(Facturacion!T354&lt;&gt;"",Facturacion!T354-Facturacion!A354,TODAY()-Facturacion!A354))</f>
        <v/>
      </c>
      <c r="H355" s="139">
        <f>IF(Facturacion!O354="","",Facturacion!O354)</f>
        <v/>
      </c>
      <c r="I355" s="140">
        <f>IF(Facturacion!U354="","",Facturacion!U354)</f>
        <v/>
      </c>
    </row>
    <row r="356" ht="15" customHeight="1" s="83">
      <c r="A356" s="138">
        <f>IF(Facturacion!A355="","",Facturacion!A355)</f>
        <v/>
      </c>
      <c r="B356" s="139">
        <f>IF(Facturacion!E355="","",Facturacion!E355)</f>
        <v/>
      </c>
      <c r="C356" s="139">
        <f>IF(Facturacion!G355="","",Facturacion!G355)</f>
        <v/>
      </c>
      <c r="D356" s="140">
        <f>IF(Facturacion!N355="","",Facturacion!N355)</f>
        <v/>
      </c>
      <c r="E356" s="139">
        <f>IF(Facturacion!S355="","",Facturacion!S355)</f>
        <v/>
      </c>
      <c r="F356" s="138">
        <f>IF(Facturacion!T355="","",Facturacion!T355)</f>
        <v/>
      </c>
      <c r="G356" s="141">
        <f>IF(Facturacion!A355="","",IF(Facturacion!T355&lt;&gt;"",Facturacion!T355-Facturacion!A355,TODAY()-Facturacion!A355))</f>
        <v/>
      </c>
      <c r="H356" s="139">
        <f>IF(Facturacion!O355="","",Facturacion!O355)</f>
        <v/>
      </c>
      <c r="I356" s="140">
        <f>IF(Facturacion!U355="","",Facturacion!U355)</f>
        <v/>
      </c>
    </row>
    <row r="357" ht="15" customHeight="1" s="83">
      <c r="A357" s="138">
        <f>IF(Facturacion!A356="","",Facturacion!A356)</f>
        <v/>
      </c>
      <c r="B357" s="139">
        <f>IF(Facturacion!E356="","",Facturacion!E356)</f>
        <v/>
      </c>
      <c r="C357" s="139">
        <f>IF(Facturacion!G356="","",Facturacion!G356)</f>
        <v/>
      </c>
      <c r="D357" s="140">
        <f>IF(Facturacion!N356="","",Facturacion!N356)</f>
        <v/>
      </c>
      <c r="E357" s="139">
        <f>IF(Facturacion!S356="","",Facturacion!S356)</f>
        <v/>
      </c>
      <c r="F357" s="138">
        <f>IF(Facturacion!T356="","",Facturacion!T356)</f>
        <v/>
      </c>
      <c r="G357" s="141">
        <f>IF(Facturacion!A356="","",IF(Facturacion!T356&lt;&gt;"",Facturacion!T356-Facturacion!A356,TODAY()-Facturacion!A356))</f>
        <v/>
      </c>
      <c r="H357" s="139">
        <f>IF(Facturacion!O356="","",Facturacion!O356)</f>
        <v/>
      </c>
      <c r="I357" s="140">
        <f>IF(Facturacion!U356="","",Facturacion!U356)</f>
        <v/>
      </c>
    </row>
    <row r="358" ht="15" customHeight="1" s="83">
      <c r="A358" s="138">
        <f>IF(Facturacion!A357="","",Facturacion!A357)</f>
        <v/>
      </c>
      <c r="B358" s="139">
        <f>IF(Facturacion!E357="","",Facturacion!E357)</f>
        <v/>
      </c>
      <c r="C358" s="139">
        <f>IF(Facturacion!G357="","",Facturacion!G357)</f>
        <v/>
      </c>
      <c r="D358" s="140">
        <f>IF(Facturacion!N357="","",Facturacion!N357)</f>
        <v/>
      </c>
      <c r="E358" s="139">
        <f>IF(Facturacion!S357="","",Facturacion!S357)</f>
        <v/>
      </c>
      <c r="F358" s="138">
        <f>IF(Facturacion!T357="","",Facturacion!T357)</f>
        <v/>
      </c>
      <c r="G358" s="141">
        <f>IF(Facturacion!A357="","",IF(Facturacion!T357&lt;&gt;"",Facturacion!T357-Facturacion!A357,TODAY()-Facturacion!A357))</f>
        <v/>
      </c>
      <c r="H358" s="139">
        <f>IF(Facturacion!O357="","",Facturacion!O357)</f>
        <v/>
      </c>
      <c r="I358" s="140">
        <f>IF(Facturacion!U357="","",Facturacion!U357)</f>
        <v/>
      </c>
    </row>
    <row r="359" ht="15" customHeight="1" s="83">
      <c r="A359" s="138">
        <f>IF(Facturacion!A358="","",Facturacion!A358)</f>
        <v/>
      </c>
      <c r="B359" s="139">
        <f>IF(Facturacion!E358="","",Facturacion!E358)</f>
        <v/>
      </c>
      <c r="C359" s="139">
        <f>IF(Facturacion!G358="","",Facturacion!G358)</f>
        <v/>
      </c>
      <c r="D359" s="140">
        <f>IF(Facturacion!N358="","",Facturacion!N358)</f>
        <v/>
      </c>
      <c r="E359" s="139">
        <f>IF(Facturacion!S358="","",Facturacion!S358)</f>
        <v/>
      </c>
      <c r="F359" s="138">
        <f>IF(Facturacion!T358="","",Facturacion!T358)</f>
        <v/>
      </c>
      <c r="G359" s="141">
        <f>IF(Facturacion!A358="","",IF(Facturacion!T358&lt;&gt;"",Facturacion!T358-Facturacion!A358,TODAY()-Facturacion!A358))</f>
        <v/>
      </c>
      <c r="H359" s="139">
        <f>IF(Facturacion!O358="","",Facturacion!O358)</f>
        <v/>
      </c>
      <c r="I359" s="140">
        <f>IF(Facturacion!U358="","",Facturacion!U358)</f>
        <v/>
      </c>
    </row>
    <row r="360" ht="15" customHeight="1" s="83">
      <c r="A360" s="138">
        <f>IF(Facturacion!A359="","",Facturacion!A359)</f>
        <v/>
      </c>
      <c r="B360" s="139">
        <f>IF(Facturacion!E359="","",Facturacion!E359)</f>
        <v/>
      </c>
      <c r="C360" s="139">
        <f>IF(Facturacion!G359="","",Facturacion!G359)</f>
        <v/>
      </c>
      <c r="D360" s="140">
        <f>IF(Facturacion!N359="","",Facturacion!N359)</f>
        <v/>
      </c>
      <c r="E360" s="139">
        <f>IF(Facturacion!S359="","",Facturacion!S359)</f>
        <v/>
      </c>
      <c r="F360" s="138">
        <f>IF(Facturacion!T359="","",Facturacion!T359)</f>
        <v/>
      </c>
      <c r="G360" s="141">
        <f>IF(Facturacion!A359="","",IF(Facturacion!T359&lt;&gt;"",Facturacion!T359-Facturacion!A359,TODAY()-Facturacion!A359))</f>
        <v/>
      </c>
      <c r="H360" s="139">
        <f>IF(Facturacion!O359="","",Facturacion!O359)</f>
        <v/>
      </c>
      <c r="I360" s="140">
        <f>IF(Facturacion!U359="","",Facturacion!U359)</f>
        <v/>
      </c>
    </row>
    <row r="361" ht="15" customHeight="1" s="83">
      <c r="A361" s="138">
        <f>IF(Facturacion!A360="","",Facturacion!A360)</f>
        <v/>
      </c>
      <c r="B361" s="139">
        <f>IF(Facturacion!E360="","",Facturacion!E360)</f>
        <v/>
      </c>
      <c r="C361" s="139">
        <f>IF(Facturacion!G360="","",Facturacion!G360)</f>
        <v/>
      </c>
      <c r="D361" s="140">
        <f>IF(Facturacion!N360="","",Facturacion!N360)</f>
        <v/>
      </c>
      <c r="E361" s="139">
        <f>IF(Facturacion!S360="","",Facturacion!S360)</f>
        <v/>
      </c>
      <c r="F361" s="138">
        <f>IF(Facturacion!T360="","",Facturacion!T360)</f>
        <v/>
      </c>
      <c r="G361" s="141">
        <f>IF(Facturacion!A360="","",IF(Facturacion!T360&lt;&gt;"",Facturacion!T360-Facturacion!A360,TODAY()-Facturacion!A360))</f>
        <v/>
      </c>
      <c r="H361" s="139">
        <f>IF(Facturacion!O360="","",Facturacion!O360)</f>
        <v/>
      </c>
      <c r="I361" s="140">
        <f>IF(Facturacion!U360="","",Facturacion!U360)</f>
        <v/>
      </c>
    </row>
    <row r="362" ht="15" customHeight="1" s="83">
      <c r="A362" s="138">
        <f>IF(Facturacion!A361="","",Facturacion!A361)</f>
        <v/>
      </c>
      <c r="B362" s="139">
        <f>IF(Facturacion!E361="","",Facturacion!E361)</f>
        <v/>
      </c>
      <c r="C362" s="139">
        <f>IF(Facturacion!G361="","",Facturacion!G361)</f>
        <v/>
      </c>
      <c r="D362" s="140">
        <f>IF(Facturacion!N361="","",Facturacion!N361)</f>
        <v/>
      </c>
      <c r="E362" s="139">
        <f>IF(Facturacion!S361="","",Facturacion!S361)</f>
        <v/>
      </c>
      <c r="F362" s="138">
        <f>IF(Facturacion!T361="","",Facturacion!T361)</f>
        <v/>
      </c>
      <c r="G362" s="141">
        <f>IF(Facturacion!A361="","",IF(Facturacion!T361&lt;&gt;"",Facturacion!T361-Facturacion!A361,TODAY()-Facturacion!A361))</f>
        <v/>
      </c>
      <c r="H362" s="139">
        <f>IF(Facturacion!O361="","",Facturacion!O361)</f>
        <v/>
      </c>
      <c r="I362" s="140">
        <f>IF(Facturacion!U361="","",Facturacion!U361)</f>
        <v/>
      </c>
    </row>
    <row r="363" ht="15" customHeight="1" s="83">
      <c r="A363" s="138">
        <f>IF(Facturacion!A362="","",Facturacion!A362)</f>
        <v/>
      </c>
      <c r="B363" s="139">
        <f>IF(Facturacion!E362="","",Facturacion!E362)</f>
        <v/>
      </c>
      <c r="C363" s="139">
        <f>IF(Facturacion!G362="","",Facturacion!G362)</f>
        <v/>
      </c>
      <c r="D363" s="140">
        <f>IF(Facturacion!N362="","",Facturacion!N362)</f>
        <v/>
      </c>
      <c r="E363" s="139">
        <f>IF(Facturacion!S362="","",Facturacion!S362)</f>
        <v/>
      </c>
      <c r="F363" s="138">
        <f>IF(Facturacion!T362="","",Facturacion!T362)</f>
        <v/>
      </c>
      <c r="G363" s="141">
        <f>IF(Facturacion!A362="","",IF(Facturacion!T362&lt;&gt;"",Facturacion!T362-Facturacion!A362,TODAY()-Facturacion!A362))</f>
        <v/>
      </c>
      <c r="H363" s="139">
        <f>IF(Facturacion!O362="","",Facturacion!O362)</f>
        <v/>
      </c>
      <c r="I363" s="140">
        <f>IF(Facturacion!U362="","",Facturacion!U362)</f>
        <v/>
      </c>
    </row>
    <row r="364" ht="15" customHeight="1" s="83">
      <c r="A364" s="138">
        <f>IF(Facturacion!A363="","",Facturacion!A363)</f>
        <v/>
      </c>
      <c r="B364" s="139">
        <f>IF(Facturacion!E363="","",Facturacion!E363)</f>
        <v/>
      </c>
      <c r="C364" s="139">
        <f>IF(Facturacion!G363="","",Facturacion!G363)</f>
        <v/>
      </c>
      <c r="D364" s="140">
        <f>IF(Facturacion!N363="","",Facturacion!N363)</f>
        <v/>
      </c>
      <c r="E364" s="139">
        <f>IF(Facturacion!S363="","",Facturacion!S363)</f>
        <v/>
      </c>
      <c r="F364" s="138">
        <f>IF(Facturacion!T363="","",Facturacion!T363)</f>
        <v/>
      </c>
      <c r="G364" s="141">
        <f>IF(Facturacion!A363="","",IF(Facturacion!T363&lt;&gt;"",Facturacion!T363-Facturacion!A363,TODAY()-Facturacion!A363))</f>
        <v/>
      </c>
      <c r="H364" s="139">
        <f>IF(Facturacion!O363="","",Facturacion!O363)</f>
        <v/>
      </c>
      <c r="I364" s="140">
        <f>IF(Facturacion!U363="","",Facturacion!U363)</f>
        <v/>
      </c>
    </row>
    <row r="365" ht="15" customHeight="1" s="83">
      <c r="A365" s="138">
        <f>IF(Facturacion!A364="","",Facturacion!A364)</f>
        <v/>
      </c>
      <c r="B365" s="139">
        <f>IF(Facturacion!E364="","",Facturacion!E364)</f>
        <v/>
      </c>
      <c r="C365" s="139">
        <f>IF(Facturacion!G364="","",Facturacion!G364)</f>
        <v/>
      </c>
      <c r="D365" s="140">
        <f>IF(Facturacion!N364="","",Facturacion!N364)</f>
        <v/>
      </c>
      <c r="E365" s="139">
        <f>IF(Facturacion!S364="","",Facturacion!S364)</f>
        <v/>
      </c>
      <c r="F365" s="138">
        <f>IF(Facturacion!T364="","",Facturacion!T364)</f>
        <v/>
      </c>
      <c r="G365" s="141">
        <f>IF(Facturacion!A364="","",IF(Facturacion!T364&lt;&gt;"",Facturacion!T364-Facturacion!A364,TODAY()-Facturacion!A364))</f>
        <v/>
      </c>
      <c r="H365" s="139">
        <f>IF(Facturacion!O364="","",Facturacion!O364)</f>
        <v/>
      </c>
      <c r="I365" s="140">
        <f>IF(Facturacion!U364="","",Facturacion!U364)</f>
        <v/>
      </c>
    </row>
    <row r="366" ht="15" customHeight="1" s="83">
      <c r="A366" s="138">
        <f>IF(Facturacion!A365="","",Facturacion!A365)</f>
        <v/>
      </c>
      <c r="B366" s="139">
        <f>IF(Facturacion!E365="","",Facturacion!E365)</f>
        <v/>
      </c>
      <c r="C366" s="139">
        <f>IF(Facturacion!G365="","",Facturacion!G365)</f>
        <v/>
      </c>
      <c r="D366" s="140">
        <f>IF(Facturacion!N365="","",Facturacion!N365)</f>
        <v/>
      </c>
      <c r="E366" s="139">
        <f>IF(Facturacion!S365="","",Facturacion!S365)</f>
        <v/>
      </c>
      <c r="F366" s="138">
        <f>IF(Facturacion!T365="","",Facturacion!T365)</f>
        <v/>
      </c>
      <c r="G366" s="141">
        <f>IF(Facturacion!A365="","",IF(Facturacion!T365&lt;&gt;"",Facturacion!T365-Facturacion!A365,TODAY()-Facturacion!A365))</f>
        <v/>
      </c>
      <c r="H366" s="139">
        <f>IF(Facturacion!O365="","",Facturacion!O365)</f>
        <v/>
      </c>
      <c r="I366" s="140">
        <f>IF(Facturacion!U365="","",Facturacion!U365)</f>
        <v/>
      </c>
    </row>
    <row r="367" ht="15" customHeight="1" s="83">
      <c r="A367" s="138">
        <f>IF(Facturacion!A366="","",Facturacion!A366)</f>
        <v/>
      </c>
      <c r="B367" s="139">
        <f>IF(Facturacion!E366="","",Facturacion!E366)</f>
        <v/>
      </c>
      <c r="C367" s="139">
        <f>IF(Facturacion!G366="","",Facturacion!G366)</f>
        <v/>
      </c>
      <c r="D367" s="140">
        <f>IF(Facturacion!N366="","",Facturacion!N366)</f>
        <v/>
      </c>
      <c r="E367" s="139">
        <f>IF(Facturacion!S366="","",Facturacion!S366)</f>
        <v/>
      </c>
      <c r="F367" s="138">
        <f>IF(Facturacion!T366="","",Facturacion!T366)</f>
        <v/>
      </c>
      <c r="G367" s="141">
        <f>IF(Facturacion!A366="","",IF(Facturacion!T366&lt;&gt;"",Facturacion!T366-Facturacion!A366,TODAY()-Facturacion!A366))</f>
        <v/>
      </c>
      <c r="H367" s="139">
        <f>IF(Facturacion!O366="","",Facturacion!O366)</f>
        <v/>
      </c>
      <c r="I367" s="140">
        <f>IF(Facturacion!U366="","",Facturacion!U366)</f>
        <v/>
      </c>
    </row>
    <row r="368" ht="15" customHeight="1" s="83">
      <c r="A368" s="138">
        <f>IF(Facturacion!A367="","",Facturacion!A367)</f>
        <v/>
      </c>
      <c r="B368" s="139">
        <f>IF(Facturacion!E367="","",Facturacion!E367)</f>
        <v/>
      </c>
      <c r="C368" s="139">
        <f>IF(Facturacion!G367="","",Facturacion!G367)</f>
        <v/>
      </c>
      <c r="D368" s="140">
        <f>IF(Facturacion!N367="","",Facturacion!N367)</f>
        <v/>
      </c>
      <c r="E368" s="139">
        <f>IF(Facturacion!S367="","",Facturacion!S367)</f>
        <v/>
      </c>
      <c r="F368" s="138">
        <f>IF(Facturacion!T367="","",Facturacion!T367)</f>
        <v/>
      </c>
      <c r="G368" s="141">
        <f>IF(Facturacion!A367="","",IF(Facturacion!T367&lt;&gt;"",Facturacion!T367-Facturacion!A367,TODAY()-Facturacion!A367))</f>
        <v/>
      </c>
      <c r="H368" s="139">
        <f>IF(Facturacion!O367="","",Facturacion!O367)</f>
        <v/>
      </c>
      <c r="I368" s="140">
        <f>IF(Facturacion!U367="","",Facturacion!U367)</f>
        <v/>
      </c>
    </row>
    <row r="369" ht="15" customHeight="1" s="83">
      <c r="A369" s="138">
        <f>IF(Facturacion!A368="","",Facturacion!A368)</f>
        <v/>
      </c>
      <c r="B369" s="139">
        <f>IF(Facturacion!E368="","",Facturacion!E368)</f>
        <v/>
      </c>
      <c r="C369" s="139">
        <f>IF(Facturacion!G368="","",Facturacion!G368)</f>
        <v/>
      </c>
      <c r="D369" s="140">
        <f>IF(Facturacion!N368="","",Facturacion!N368)</f>
        <v/>
      </c>
      <c r="E369" s="139">
        <f>IF(Facturacion!S368="","",Facturacion!S368)</f>
        <v/>
      </c>
      <c r="F369" s="138">
        <f>IF(Facturacion!T368="","",Facturacion!T368)</f>
        <v/>
      </c>
      <c r="G369" s="141">
        <f>IF(Facturacion!A368="","",IF(Facturacion!T368&lt;&gt;"",Facturacion!T368-Facturacion!A368,TODAY()-Facturacion!A368))</f>
        <v/>
      </c>
      <c r="H369" s="139">
        <f>IF(Facturacion!O368="","",Facturacion!O368)</f>
        <v/>
      </c>
      <c r="I369" s="140">
        <f>IF(Facturacion!U368="","",Facturacion!U368)</f>
        <v/>
      </c>
    </row>
    <row r="370" ht="15" customHeight="1" s="83">
      <c r="A370" s="138">
        <f>IF(Facturacion!A369="","",Facturacion!A369)</f>
        <v/>
      </c>
      <c r="B370" s="139">
        <f>IF(Facturacion!E369="","",Facturacion!E369)</f>
        <v/>
      </c>
      <c r="C370" s="139">
        <f>IF(Facturacion!G369="","",Facturacion!G369)</f>
        <v/>
      </c>
      <c r="D370" s="140">
        <f>IF(Facturacion!N369="","",Facturacion!N369)</f>
        <v/>
      </c>
      <c r="E370" s="139">
        <f>IF(Facturacion!S369="","",Facturacion!S369)</f>
        <v/>
      </c>
      <c r="F370" s="138">
        <f>IF(Facturacion!T369="","",Facturacion!T369)</f>
        <v/>
      </c>
      <c r="G370" s="141">
        <f>IF(Facturacion!A369="","",IF(Facturacion!T369&lt;&gt;"",Facturacion!T369-Facturacion!A369,TODAY()-Facturacion!A369))</f>
        <v/>
      </c>
      <c r="H370" s="139">
        <f>IF(Facturacion!O369="","",Facturacion!O369)</f>
        <v/>
      </c>
      <c r="I370" s="140">
        <f>IF(Facturacion!U369="","",Facturacion!U369)</f>
        <v/>
      </c>
    </row>
    <row r="371" ht="15" customHeight="1" s="83">
      <c r="A371" s="138">
        <f>IF(Facturacion!A370="","",Facturacion!A370)</f>
        <v/>
      </c>
      <c r="B371" s="139">
        <f>IF(Facturacion!E370="","",Facturacion!E370)</f>
        <v/>
      </c>
      <c r="C371" s="139">
        <f>IF(Facturacion!G370="","",Facturacion!G370)</f>
        <v/>
      </c>
      <c r="D371" s="140">
        <f>IF(Facturacion!N370="","",Facturacion!N370)</f>
        <v/>
      </c>
      <c r="E371" s="139">
        <f>IF(Facturacion!S370="","",Facturacion!S370)</f>
        <v/>
      </c>
      <c r="F371" s="138">
        <f>IF(Facturacion!T370="","",Facturacion!T370)</f>
        <v/>
      </c>
      <c r="G371" s="141">
        <f>IF(Facturacion!A370="","",IF(Facturacion!T370&lt;&gt;"",Facturacion!T370-Facturacion!A370,TODAY()-Facturacion!A370))</f>
        <v/>
      </c>
      <c r="H371" s="139">
        <f>IF(Facturacion!O370="","",Facturacion!O370)</f>
        <v/>
      </c>
      <c r="I371" s="140">
        <f>IF(Facturacion!U370="","",Facturacion!U370)</f>
        <v/>
      </c>
    </row>
    <row r="372" ht="15" customHeight="1" s="83">
      <c r="A372" s="138">
        <f>IF(Facturacion!A371="","",Facturacion!A371)</f>
        <v/>
      </c>
      <c r="B372" s="139">
        <f>IF(Facturacion!E371="","",Facturacion!E371)</f>
        <v/>
      </c>
      <c r="C372" s="139">
        <f>IF(Facturacion!G371="","",Facturacion!G371)</f>
        <v/>
      </c>
      <c r="D372" s="140">
        <f>IF(Facturacion!N371="","",Facturacion!N371)</f>
        <v/>
      </c>
      <c r="E372" s="139">
        <f>IF(Facturacion!S371="","",Facturacion!S371)</f>
        <v/>
      </c>
      <c r="F372" s="138">
        <f>IF(Facturacion!T371="","",Facturacion!T371)</f>
        <v/>
      </c>
      <c r="G372" s="141">
        <f>IF(Facturacion!A371="","",IF(Facturacion!T371&lt;&gt;"",Facturacion!T371-Facturacion!A371,TODAY()-Facturacion!A371))</f>
        <v/>
      </c>
      <c r="H372" s="139">
        <f>IF(Facturacion!O371="","",Facturacion!O371)</f>
        <v/>
      </c>
      <c r="I372" s="140">
        <f>IF(Facturacion!U371="","",Facturacion!U371)</f>
        <v/>
      </c>
    </row>
    <row r="373" ht="15" customHeight="1" s="83">
      <c r="A373" s="138">
        <f>IF(Facturacion!A372="","",Facturacion!A372)</f>
        <v/>
      </c>
      <c r="B373" s="139">
        <f>IF(Facturacion!E372="","",Facturacion!E372)</f>
        <v/>
      </c>
      <c r="C373" s="139">
        <f>IF(Facturacion!G372="","",Facturacion!G372)</f>
        <v/>
      </c>
      <c r="D373" s="140">
        <f>IF(Facturacion!N372="","",Facturacion!N372)</f>
        <v/>
      </c>
      <c r="E373" s="139">
        <f>IF(Facturacion!S372="","",Facturacion!S372)</f>
        <v/>
      </c>
      <c r="F373" s="138">
        <f>IF(Facturacion!T372="","",Facturacion!T372)</f>
        <v/>
      </c>
      <c r="G373" s="141">
        <f>IF(Facturacion!A372="","",IF(Facturacion!T372&lt;&gt;"",Facturacion!T372-Facturacion!A372,TODAY()-Facturacion!A372))</f>
        <v/>
      </c>
      <c r="H373" s="139">
        <f>IF(Facturacion!O372="","",Facturacion!O372)</f>
        <v/>
      </c>
      <c r="I373" s="140">
        <f>IF(Facturacion!U372="","",Facturacion!U372)</f>
        <v/>
      </c>
    </row>
    <row r="374" ht="15" customHeight="1" s="83">
      <c r="A374" s="138">
        <f>IF(Facturacion!A373="","",Facturacion!A373)</f>
        <v/>
      </c>
      <c r="B374" s="139">
        <f>IF(Facturacion!E373="","",Facturacion!E373)</f>
        <v/>
      </c>
      <c r="C374" s="139">
        <f>IF(Facturacion!G373="","",Facturacion!G373)</f>
        <v/>
      </c>
      <c r="D374" s="140">
        <f>IF(Facturacion!N373="","",Facturacion!N373)</f>
        <v/>
      </c>
      <c r="E374" s="139">
        <f>IF(Facturacion!S373="","",Facturacion!S373)</f>
        <v/>
      </c>
      <c r="F374" s="138">
        <f>IF(Facturacion!T373="","",Facturacion!T373)</f>
        <v/>
      </c>
      <c r="G374" s="141">
        <f>IF(Facturacion!A373="","",IF(Facturacion!T373&lt;&gt;"",Facturacion!T373-Facturacion!A373,TODAY()-Facturacion!A373))</f>
        <v/>
      </c>
      <c r="H374" s="139">
        <f>IF(Facturacion!O373="","",Facturacion!O373)</f>
        <v/>
      </c>
      <c r="I374" s="140">
        <f>IF(Facturacion!U373="","",Facturacion!U373)</f>
        <v/>
      </c>
    </row>
    <row r="375" ht="15" customHeight="1" s="83">
      <c r="A375" s="138">
        <f>IF(Facturacion!A374="","",Facturacion!A374)</f>
        <v/>
      </c>
      <c r="B375" s="139">
        <f>IF(Facturacion!E374="","",Facturacion!E374)</f>
        <v/>
      </c>
      <c r="C375" s="139">
        <f>IF(Facturacion!G374="","",Facturacion!G374)</f>
        <v/>
      </c>
      <c r="D375" s="140">
        <f>IF(Facturacion!N374="","",Facturacion!N374)</f>
        <v/>
      </c>
      <c r="E375" s="139">
        <f>IF(Facturacion!S374="","",Facturacion!S374)</f>
        <v/>
      </c>
      <c r="F375" s="138">
        <f>IF(Facturacion!T374="","",Facturacion!T374)</f>
        <v/>
      </c>
      <c r="G375" s="141">
        <f>IF(Facturacion!A374="","",IF(Facturacion!T374&lt;&gt;"",Facturacion!T374-Facturacion!A374,TODAY()-Facturacion!A374))</f>
        <v/>
      </c>
      <c r="H375" s="139">
        <f>IF(Facturacion!O374="","",Facturacion!O374)</f>
        <v/>
      </c>
      <c r="I375" s="140">
        <f>IF(Facturacion!U374="","",Facturacion!U374)</f>
        <v/>
      </c>
    </row>
    <row r="376" ht="15" customHeight="1" s="83">
      <c r="A376" s="138">
        <f>IF(Facturacion!A375="","",Facturacion!A375)</f>
        <v/>
      </c>
      <c r="B376" s="139">
        <f>IF(Facturacion!E375="","",Facturacion!E375)</f>
        <v/>
      </c>
      <c r="C376" s="139">
        <f>IF(Facturacion!G375="","",Facturacion!G375)</f>
        <v/>
      </c>
      <c r="D376" s="140">
        <f>IF(Facturacion!N375="","",Facturacion!N375)</f>
        <v/>
      </c>
      <c r="E376" s="139">
        <f>IF(Facturacion!S375="","",Facturacion!S375)</f>
        <v/>
      </c>
      <c r="F376" s="138">
        <f>IF(Facturacion!T375="","",Facturacion!T375)</f>
        <v/>
      </c>
      <c r="G376" s="141">
        <f>IF(Facturacion!A375="","",IF(Facturacion!T375&lt;&gt;"",Facturacion!T375-Facturacion!A375,TODAY()-Facturacion!A375))</f>
        <v/>
      </c>
      <c r="H376" s="139">
        <f>IF(Facturacion!O375="","",Facturacion!O375)</f>
        <v/>
      </c>
      <c r="I376" s="140">
        <f>IF(Facturacion!U375="","",Facturacion!U375)</f>
        <v/>
      </c>
    </row>
    <row r="377" ht="15" customHeight="1" s="83">
      <c r="A377" s="138">
        <f>IF(Facturacion!A376="","",Facturacion!A376)</f>
        <v/>
      </c>
      <c r="B377" s="139">
        <f>IF(Facturacion!E376="","",Facturacion!E376)</f>
        <v/>
      </c>
      <c r="C377" s="139">
        <f>IF(Facturacion!G376="","",Facturacion!G376)</f>
        <v/>
      </c>
      <c r="D377" s="140">
        <f>IF(Facturacion!N376="","",Facturacion!N376)</f>
        <v/>
      </c>
      <c r="E377" s="139">
        <f>IF(Facturacion!S376="","",Facturacion!S376)</f>
        <v/>
      </c>
      <c r="F377" s="138">
        <f>IF(Facturacion!T376="","",Facturacion!T376)</f>
        <v/>
      </c>
      <c r="G377" s="141">
        <f>IF(Facturacion!A376="","",IF(Facturacion!T376&lt;&gt;"",Facturacion!T376-Facturacion!A376,TODAY()-Facturacion!A376))</f>
        <v/>
      </c>
      <c r="H377" s="139">
        <f>IF(Facturacion!O376="","",Facturacion!O376)</f>
        <v/>
      </c>
      <c r="I377" s="140">
        <f>IF(Facturacion!U376="","",Facturacion!U376)</f>
        <v/>
      </c>
    </row>
    <row r="378" ht="15" customHeight="1" s="83">
      <c r="A378" s="138">
        <f>IF(Facturacion!A377="","",Facturacion!A377)</f>
        <v/>
      </c>
      <c r="B378" s="139">
        <f>IF(Facturacion!E377="","",Facturacion!E377)</f>
        <v/>
      </c>
      <c r="C378" s="139">
        <f>IF(Facturacion!G377="","",Facturacion!G377)</f>
        <v/>
      </c>
      <c r="D378" s="140">
        <f>IF(Facturacion!N377="","",Facturacion!N377)</f>
        <v/>
      </c>
      <c r="E378" s="139">
        <f>IF(Facturacion!S377="","",Facturacion!S377)</f>
        <v/>
      </c>
      <c r="F378" s="138">
        <f>IF(Facturacion!T377="","",Facturacion!T377)</f>
        <v/>
      </c>
      <c r="G378" s="141">
        <f>IF(Facturacion!A377="","",IF(Facturacion!T377&lt;&gt;"",Facturacion!T377-Facturacion!A377,TODAY()-Facturacion!A377))</f>
        <v/>
      </c>
      <c r="H378" s="139">
        <f>IF(Facturacion!O377="","",Facturacion!O377)</f>
        <v/>
      </c>
      <c r="I378" s="140">
        <f>IF(Facturacion!U377="","",Facturacion!U377)</f>
        <v/>
      </c>
    </row>
    <row r="379" ht="15" customHeight="1" s="83">
      <c r="A379" s="138">
        <f>IF(Facturacion!A378="","",Facturacion!A378)</f>
        <v/>
      </c>
      <c r="B379" s="139">
        <f>IF(Facturacion!E378="","",Facturacion!E378)</f>
        <v/>
      </c>
      <c r="C379" s="139">
        <f>IF(Facturacion!G378="","",Facturacion!G378)</f>
        <v/>
      </c>
      <c r="D379" s="140">
        <f>IF(Facturacion!N378="","",Facturacion!N378)</f>
        <v/>
      </c>
      <c r="E379" s="139">
        <f>IF(Facturacion!S378="","",Facturacion!S378)</f>
        <v/>
      </c>
      <c r="F379" s="138">
        <f>IF(Facturacion!T378="","",Facturacion!T378)</f>
        <v/>
      </c>
      <c r="G379" s="141">
        <f>IF(Facturacion!A378="","",IF(Facturacion!T378&lt;&gt;"",Facturacion!T378-Facturacion!A378,TODAY()-Facturacion!A378))</f>
        <v/>
      </c>
      <c r="H379" s="139">
        <f>IF(Facturacion!O378="","",Facturacion!O378)</f>
        <v/>
      </c>
      <c r="I379" s="140">
        <f>IF(Facturacion!U378="","",Facturacion!U378)</f>
        <v/>
      </c>
    </row>
    <row r="380" ht="15" customHeight="1" s="83">
      <c r="A380" s="138">
        <f>IF(Facturacion!A379="","",Facturacion!A379)</f>
        <v/>
      </c>
      <c r="B380" s="139">
        <f>IF(Facturacion!E379="","",Facturacion!E379)</f>
        <v/>
      </c>
      <c r="C380" s="139">
        <f>IF(Facturacion!G379="","",Facturacion!G379)</f>
        <v/>
      </c>
      <c r="D380" s="140">
        <f>IF(Facturacion!N379="","",Facturacion!N379)</f>
        <v/>
      </c>
      <c r="E380" s="139">
        <f>IF(Facturacion!S379="","",Facturacion!S379)</f>
        <v/>
      </c>
      <c r="F380" s="138">
        <f>IF(Facturacion!T379="","",Facturacion!T379)</f>
        <v/>
      </c>
      <c r="G380" s="141">
        <f>IF(Facturacion!A379="","",IF(Facturacion!T379&lt;&gt;"",Facturacion!T379-Facturacion!A379,TODAY()-Facturacion!A379))</f>
        <v/>
      </c>
      <c r="H380" s="139">
        <f>IF(Facturacion!O379="","",Facturacion!O379)</f>
        <v/>
      </c>
      <c r="I380" s="140">
        <f>IF(Facturacion!U379="","",Facturacion!U379)</f>
        <v/>
      </c>
    </row>
    <row r="381" ht="15" customHeight="1" s="83">
      <c r="A381" s="138">
        <f>IF(Facturacion!A380="","",Facturacion!A380)</f>
        <v/>
      </c>
      <c r="B381" s="139">
        <f>IF(Facturacion!E380="","",Facturacion!E380)</f>
        <v/>
      </c>
      <c r="C381" s="139">
        <f>IF(Facturacion!G380="","",Facturacion!G380)</f>
        <v/>
      </c>
      <c r="D381" s="140">
        <f>IF(Facturacion!N380="","",Facturacion!N380)</f>
        <v/>
      </c>
      <c r="E381" s="139">
        <f>IF(Facturacion!S380="","",Facturacion!S380)</f>
        <v/>
      </c>
      <c r="F381" s="138">
        <f>IF(Facturacion!T380="","",Facturacion!T380)</f>
        <v/>
      </c>
      <c r="G381" s="141">
        <f>IF(Facturacion!A380="","",IF(Facturacion!T380&lt;&gt;"",Facturacion!T380-Facturacion!A380,TODAY()-Facturacion!A380))</f>
        <v/>
      </c>
      <c r="H381" s="139">
        <f>IF(Facturacion!O380="","",Facturacion!O380)</f>
        <v/>
      </c>
      <c r="I381" s="140">
        <f>IF(Facturacion!U380="","",Facturacion!U380)</f>
        <v/>
      </c>
    </row>
    <row r="382" ht="15" customHeight="1" s="83">
      <c r="A382" s="138">
        <f>IF(Facturacion!A381="","",Facturacion!A381)</f>
        <v/>
      </c>
      <c r="B382" s="139">
        <f>IF(Facturacion!E381="","",Facturacion!E381)</f>
        <v/>
      </c>
      <c r="C382" s="139">
        <f>IF(Facturacion!G381="","",Facturacion!G381)</f>
        <v/>
      </c>
      <c r="D382" s="140">
        <f>IF(Facturacion!N381="","",Facturacion!N381)</f>
        <v/>
      </c>
      <c r="E382" s="139">
        <f>IF(Facturacion!S381="","",Facturacion!S381)</f>
        <v/>
      </c>
      <c r="F382" s="138">
        <f>IF(Facturacion!T381="","",Facturacion!T381)</f>
        <v/>
      </c>
      <c r="G382" s="141">
        <f>IF(Facturacion!A381="","",IF(Facturacion!T381&lt;&gt;"",Facturacion!T381-Facturacion!A381,TODAY()-Facturacion!A381))</f>
        <v/>
      </c>
      <c r="H382" s="139">
        <f>IF(Facturacion!O381="","",Facturacion!O381)</f>
        <v/>
      </c>
      <c r="I382" s="140">
        <f>IF(Facturacion!U381="","",Facturacion!U381)</f>
        <v/>
      </c>
    </row>
    <row r="383" ht="15" customHeight="1" s="83">
      <c r="A383" s="138">
        <f>IF(Facturacion!A382="","",Facturacion!A382)</f>
        <v/>
      </c>
      <c r="B383" s="139">
        <f>IF(Facturacion!E382="","",Facturacion!E382)</f>
        <v/>
      </c>
      <c r="C383" s="139">
        <f>IF(Facturacion!G382="","",Facturacion!G382)</f>
        <v/>
      </c>
      <c r="D383" s="140">
        <f>IF(Facturacion!N382="","",Facturacion!N382)</f>
        <v/>
      </c>
      <c r="E383" s="139">
        <f>IF(Facturacion!S382="","",Facturacion!S382)</f>
        <v/>
      </c>
      <c r="F383" s="138">
        <f>IF(Facturacion!T382="","",Facturacion!T382)</f>
        <v/>
      </c>
      <c r="G383" s="141">
        <f>IF(Facturacion!A382="","",IF(Facturacion!T382&lt;&gt;"",Facturacion!T382-Facturacion!A382,TODAY()-Facturacion!A382))</f>
        <v/>
      </c>
      <c r="H383" s="139">
        <f>IF(Facturacion!O382="","",Facturacion!O382)</f>
        <v/>
      </c>
      <c r="I383" s="140">
        <f>IF(Facturacion!U382="","",Facturacion!U382)</f>
        <v/>
      </c>
    </row>
    <row r="384" ht="15" customHeight="1" s="83">
      <c r="A384" s="138">
        <f>IF(Facturacion!A383="","",Facturacion!A383)</f>
        <v/>
      </c>
      <c r="B384" s="139">
        <f>IF(Facturacion!E383="","",Facturacion!E383)</f>
        <v/>
      </c>
      <c r="C384" s="139">
        <f>IF(Facturacion!G383="","",Facturacion!G383)</f>
        <v/>
      </c>
      <c r="D384" s="140">
        <f>IF(Facturacion!N383="","",Facturacion!N383)</f>
        <v/>
      </c>
      <c r="E384" s="139">
        <f>IF(Facturacion!S383="","",Facturacion!S383)</f>
        <v/>
      </c>
      <c r="F384" s="138">
        <f>IF(Facturacion!T383="","",Facturacion!T383)</f>
        <v/>
      </c>
      <c r="G384" s="141">
        <f>IF(Facturacion!A383="","",IF(Facturacion!T383&lt;&gt;"",Facturacion!T383-Facturacion!A383,TODAY()-Facturacion!A383))</f>
        <v/>
      </c>
      <c r="H384" s="139">
        <f>IF(Facturacion!O383="","",Facturacion!O383)</f>
        <v/>
      </c>
      <c r="I384" s="140">
        <f>IF(Facturacion!U383="","",Facturacion!U383)</f>
        <v/>
      </c>
    </row>
    <row r="385" ht="15" customHeight="1" s="83">
      <c r="A385" s="138">
        <f>IF(Facturacion!A384="","",Facturacion!A384)</f>
        <v/>
      </c>
      <c r="B385" s="139">
        <f>IF(Facturacion!E384="","",Facturacion!E384)</f>
        <v/>
      </c>
      <c r="C385" s="139">
        <f>IF(Facturacion!G384="","",Facturacion!G384)</f>
        <v/>
      </c>
      <c r="D385" s="140">
        <f>IF(Facturacion!N384="","",Facturacion!N384)</f>
        <v/>
      </c>
      <c r="E385" s="139">
        <f>IF(Facturacion!S384="","",Facturacion!S384)</f>
        <v/>
      </c>
      <c r="F385" s="138">
        <f>IF(Facturacion!T384="","",Facturacion!T384)</f>
        <v/>
      </c>
      <c r="G385" s="141">
        <f>IF(Facturacion!A384="","",IF(Facturacion!T384&lt;&gt;"",Facturacion!T384-Facturacion!A384,TODAY()-Facturacion!A384))</f>
        <v/>
      </c>
      <c r="H385" s="139">
        <f>IF(Facturacion!O384="","",Facturacion!O384)</f>
        <v/>
      </c>
      <c r="I385" s="140">
        <f>IF(Facturacion!U384="","",Facturacion!U384)</f>
        <v/>
      </c>
    </row>
    <row r="386" ht="15" customHeight="1" s="83">
      <c r="A386" s="138">
        <f>IF(Facturacion!A385="","",Facturacion!A385)</f>
        <v/>
      </c>
      <c r="B386" s="139">
        <f>IF(Facturacion!E385="","",Facturacion!E385)</f>
        <v/>
      </c>
      <c r="C386" s="139">
        <f>IF(Facturacion!G385="","",Facturacion!G385)</f>
        <v/>
      </c>
      <c r="D386" s="140">
        <f>IF(Facturacion!N385="","",Facturacion!N385)</f>
        <v/>
      </c>
      <c r="E386" s="139">
        <f>IF(Facturacion!S385="","",Facturacion!S385)</f>
        <v/>
      </c>
      <c r="F386" s="138">
        <f>IF(Facturacion!T385="","",Facturacion!T385)</f>
        <v/>
      </c>
      <c r="G386" s="141">
        <f>IF(Facturacion!A385="","",IF(Facturacion!T385&lt;&gt;"",Facturacion!T385-Facturacion!A385,TODAY()-Facturacion!A385))</f>
        <v/>
      </c>
      <c r="H386" s="139">
        <f>IF(Facturacion!O385="","",Facturacion!O385)</f>
        <v/>
      </c>
      <c r="I386" s="140">
        <f>IF(Facturacion!U385="","",Facturacion!U385)</f>
        <v/>
      </c>
    </row>
    <row r="387" ht="15" customHeight="1" s="83">
      <c r="A387" s="138">
        <f>IF(Facturacion!A386="","",Facturacion!A386)</f>
        <v/>
      </c>
      <c r="B387" s="139">
        <f>IF(Facturacion!E386="","",Facturacion!E386)</f>
        <v/>
      </c>
      <c r="C387" s="139">
        <f>IF(Facturacion!G386="","",Facturacion!G386)</f>
        <v/>
      </c>
      <c r="D387" s="140">
        <f>IF(Facturacion!N386="","",Facturacion!N386)</f>
        <v/>
      </c>
      <c r="E387" s="139">
        <f>IF(Facturacion!S386="","",Facturacion!S386)</f>
        <v/>
      </c>
      <c r="F387" s="138">
        <f>IF(Facturacion!T386="","",Facturacion!T386)</f>
        <v/>
      </c>
      <c r="G387" s="141">
        <f>IF(Facturacion!A386="","",IF(Facturacion!T386&lt;&gt;"",Facturacion!T386-Facturacion!A386,TODAY()-Facturacion!A386))</f>
        <v/>
      </c>
      <c r="H387" s="139">
        <f>IF(Facturacion!O386="","",Facturacion!O386)</f>
        <v/>
      </c>
      <c r="I387" s="140">
        <f>IF(Facturacion!U386="","",Facturacion!U386)</f>
        <v/>
      </c>
    </row>
    <row r="388" ht="15" customHeight="1" s="83">
      <c r="A388" s="138">
        <f>IF(Facturacion!A387="","",Facturacion!A387)</f>
        <v/>
      </c>
      <c r="B388" s="139">
        <f>IF(Facturacion!E387="","",Facturacion!E387)</f>
        <v/>
      </c>
      <c r="C388" s="139">
        <f>IF(Facturacion!G387="","",Facturacion!G387)</f>
        <v/>
      </c>
      <c r="D388" s="140">
        <f>IF(Facturacion!N387="","",Facturacion!N387)</f>
        <v/>
      </c>
      <c r="E388" s="139">
        <f>IF(Facturacion!S387="","",Facturacion!S387)</f>
        <v/>
      </c>
      <c r="F388" s="138">
        <f>IF(Facturacion!T387="","",Facturacion!T387)</f>
        <v/>
      </c>
      <c r="G388" s="141">
        <f>IF(Facturacion!A387="","",IF(Facturacion!T387&lt;&gt;"",Facturacion!T387-Facturacion!A387,TODAY()-Facturacion!A387))</f>
        <v/>
      </c>
      <c r="H388" s="139">
        <f>IF(Facturacion!O387="","",Facturacion!O387)</f>
        <v/>
      </c>
      <c r="I388" s="140">
        <f>IF(Facturacion!U387="","",Facturacion!U387)</f>
        <v/>
      </c>
    </row>
    <row r="389" ht="15" customHeight="1" s="83">
      <c r="A389" s="138">
        <f>IF(Facturacion!A388="","",Facturacion!A388)</f>
        <v/>
      </c>
      <c r="B389" s="139">
        <f>IF(Facturacion!E388="","",Facturacion!E388)</f>
        <v/>
      </c>
      <c r="C389" s="139">
        <f>IF(Facturacion!G388="","",Facturacion!G388)</f>
        <v/>
      </c>
      <c r="D389" s="140">
        <f>IF(Facturacion!N388="","",Facturacion!N388)</f>
        <v/>
      </c>
      <c r="E389" s="139">
        <f>IF(Facturacion!S388="","",Facturacion!S388)</f>
        <v/>
      </c>
      <c r="F389" s="138">
        <f>IF(Facturacion!T388="","",Facturacion!T388)</f>
        <v/>
      </c>
      <c r="G389" s="141">
        <f>IF(Facturacion!A388="","",IF(Facturacion!T388&lt;&gt;"",Facturacion!T388-Facturacion!A388,TODAY()-Facturacion!A388))</f>
        <v/>
      </c>
      <c r="H389" s="139">
        <f>IF(Facturacion!O388="","",Facturacion!O388)</f>
        <v/>
      </c>
      <c r="I389" s="140">
        <f>IF(Facturacion!U388="","",Facturacion!U388)</f>
        <v/>
      </c>
    </row>
    <row r="390" ht="15" customHeight="1" s="83">
      <c r="A390" s="138">
        <f>IF(Facturacion!A389="","",Facturacion!A389)</f>
        <v/>
      </c>
      <c r="B390" s="139">
        <f>IF(Facturacion!E389="","",Facturacion!E389)</f>
        <v/>
      </c>
      <c r="C390" s="139">
        <f>IF(Facturacion!G389="","",Facturacion!G389)</f>
        <v/>
      </c>
      <c r="D390" s="140">
        <f>IF(Facturacion!N389="","",Facturacion!N389)</f>
        <v/>
      </c>
      <c r="E390" s="139">
        <f>IF(Facturacion!S389="","",Facturacion!S389)</f>
        <v/>
      </c>
      <c r="F390" s="138">
        <f>IF(Facturacion!T389="","",Facturacion!T389)</f>
        <v/>
      </c>
      <c r="G390" s="141">
        <f>IF(Facturacion!A389="","",IF(Facturacion!T389&lt;&gt;"",Facturacion!T389-Facturacion!A389,TODAY()-Facturacion!A389))</f>
        <v/>
      </c>
      <c r="H390" s="139">
        <f>IF(Facturacion!O389="","",Facturacion!O389)</f>
        <v/>
      </c>
      <c r="I390" s="140">
        <f>IF(Facturacion!U389="","",Facturacion!U389)</f>
        <v/>
      </c>
    </row>
    <row r="391" ht="15" customHeight="1" s="83">
      <c r="A391" s="138">
        <f>IF(Facturacion!A390="","",Facturacion!A390)</f>
        <v/>
      </c>
      <c r="B391" s="139">
        <f>IF(Facturacion!E390="","",Facturacion!E390)</f>
        <v/>
      </c>
      <c r="C391" s="139">
        <f>IF(Facturacion!G390="","",Facturacion!G390)</f>
        <v/>
      </c>
      <c r="D391" s="140">
        <f>IF(Facturacion!N390="","",Facturacion!N390)</f>
        <v/>
      </c>
      <c r="E391" s="139">
        <f>IF(Facturacion!S390="","",Facturacion!S390)</f>
        <v/>
      </c>
      <c r="F391" s="138">
        <f>IF(Facturacion!T390="","",Facturacion!T390)</f>
        <v/>
      </c>
      <c r="G391" s="141">
        <f>IF(Facturacion!A390="","",IF(Facturacion!T390&lt;&gt;"",Facturacion!T390-Facturacion!A390,TODAY()-Facturacion!A390))</f>
        <v/>
      </c>
      <c r="H391" s="139">
        <f>IF(Facturacion!O390="","",Facturacion!O390)</f>
        <v/>
      </c>
      <c r="I391" s="140">
        <f>IF(Facturacion!U390="","",Facturacion!U390)</f>
        <v/>
      </c>
    </row>
    <row r="392" ht="15" customHeight="1" s="83">
      <c r="A392" s="138">
        <f>IF(Facturacion!A391="","",Facturacion!A391)</f>
        <v/>
      </c>
      <c r="B392" s="139">
        <f>IF(Facturacion!E391="","",Facturacion!E391)</f>
        <v/>
      </c>
      <c r="C392" s="139">
        <f>IF(Facturacion!G391="","",Facturacion!G391)</f>
        <v/>
      </c>
      <c r="D392" s="140">
        <f>IF(Facturacion!N391="","",Facturacion!N391)</f>
        <v/>
      </c>
      <c r="E392" s="139">
        <f>IF(Facturacion!S391="","",Facturacion!S391)</f>
        <v/>
      </c>
      <c r="F392" s="138">
        <f>IF(Facturacion!T391="","",Facturacion!T391)</f>
        <v/>
      </c>
      <c r="G392" s="141">
        <f>IF(Facturacion!A391="","",IF(Facturacion!T391&lt;&gt;"",Facturacion!T391-Facturacion!A391,TODAY()-Facturacion!A391))</f>
        <v/>
      </c>
      <c r="H392" s="139">
        <f>IF(Facturacion!O391="","",Facturacion!O391)</f>
        <v/>
      </c>
      <c r="I392" s="140">
        <f>IF(Facturacion!U391="","",Facturacion!U391)</f>
        <v/>
      </c>
    </row>
    <row r="393" ht="15" customHeight="1" s="83">
      <c r="A393" s="138">
        <f>IF(Facturacion!A392="","",Facturacion!A392)</f>
        <v/>
      </c>
      <c r="B393" s="139">
        <f>IF(Facturacion!E392="","",Facturacion!E392)</f>
        <v/>
      </c>
      <c r="C393" s="139">
        <f>IF(Facturacion!G392="","",Facturacion!G392)</f>
        <v/>
      </c>
      <c r="D393" s="140">
        <f>IF(Facturacion!N392="","",Facturacion!N392)</f>
        <v/>
      </c>
      <c r="E393" s="139">
        <f>IF(Facturacion!S392="","",Facturacion!S392)</f>
        <v/>
      </c>
      <c r="F393" s="138">
        <f>IF(Facturacion!T392="","",Facturacion!T392)</f>
        <v/>
      </c>
      <c r="G393" s="141">
        <f>IF(Facturacion!A392="","",IF(Facturacion!T392&lt;&gt;"",Facturacion!T392-Facturacion!A392,TODAY()-Facturacion!A392))</f>
        <v/>
      </c>
      <c r="H393" s="139">
        <f>IF(Facturacion!O392="","",Facturacion!O392)</f>
        <v/>
      </c>
      <c r="I393" s="140">
        <f>IF(Facturacion!U392="","",Facturacion!U392)</f>
        <v/>
      </c>
    </row>
    <row r="394" ht="15" customHeight="1" s="83">
      <c r="A394" s="138">
        <f>IF(Facturacion!A393="","",Facturacion!A393)</f>
        <v/>
      </c>
      <c r="B394" s="139">
        <f>IF(Facturacion!E393="","",Facturacion!E393)</f>
        <v/>
      </c>
      <c r="C394" s="139">
        <f>IF(Facturacion!G393="","",Facturacion!G393)</f>
        <v/>
      </c>
      <c r="D394" s="140">
        <f>IF(Facturacion!N393="","",Facturacion!N393)</f>
        <v/>
      </c>
      <c r="E394" s="139">
        <f>IF(Facturacion!S393="","",Facturacion!S393)</f>
        <v/>
      </c>
      <c r="F394" s="138">
        <f>IF(Facturacion!T393="","",Facturacion!T393)</f>
        <v/>
      </c>
      <c r="G394" s="141">
        <f>IF(Facturacion!A393="","",IF(Facturacion!T393&lt;&gt;"",Facturacion!T393-Facturacion!A393,TODAY()-Facturacion!A393))</f>
        <v/>
      </c>
      <c r="H394" s="139">
        <f>IF(Facturacion!O393="","",Facturacion!O393)</f>
        <v/>
      </c>
      <c r="I394" s="140">
        <f>IF(Facturacion!U393="","",Facturacion!U393)</f>
        <v/>
      </c>
    </row>
    <row r="395" ht="15" customHeight="1" s="83">
      <c r="A395" s="138">
        <f>IF(Facturacion!A394="","",Facturacion!A394)</f>
        <v/>
      </c>
      <c r="B395" s="139">
        <f>IF(Facturacion!E394="","",Facturacion!E394)</f>
        <v/>
      </c>
      <c r="C395" s="139">
        <f>IF(Facturacion!G394="","",Facturacion!G394)</f>
        <v/>
      </c>
      <c r="D395" s="140">
        <f>IF(Facturacion!N394="","",Facturacion!N394)</f>
        <v/>
      </c>
      <c r="E395" s="139">
        <f>IF(Facturacion!S394="","",Facturacion!S394)</f>
        <v/>
      </c>
      <c r="F395" s="138">
        <f>IF(Facturacion!T394="","",Facturacion!T394)</f>
        <v/>
      </c>
      <c r="G395" s="141">
        <f>IF(Facturacion!A394="","",IF(Facturacion!T394&lt;&gt;"",Facturacion!T394-Facturacion!A394,TODAY()-Facturacion!A394))</f>
        <v/>
      </c>
      <c r="H395" s="139">
        <f>IF(Facturacion!O394="","",Facturacion!O394)</f>
        <v/>
      </c>
      <c r="I395" s="140">
        <f>IF(Facturacion!U394="","",Facturacion!U394)</f>
        <v/>
      </c>
    </row>
    <row r="396" ht="15" customHeight="1" s="83">
      <c r="A396" s="138">
        <f>IF(Facturacion!A395="","",Facturacion!A395)</f>
        <v/>
      </c>
      <c r="B396" s="139">
        <f>IF(Facturacion!E395="","",Facturacion!E395)</f>
        <v/>
      </c>
      <c r="C396" s="139">
        <f>IF(Facturacion!G395="","",Facturacion!G395)</f>
        <v/>
      </c>
      <c r="D396" s="140">
        <f>IF(Facturacion!N395="","",Facturacion!N395)</f>
        <v/>
      </c>
      <c r="E396" s="139">
        <f>IF(Facturacion!S395="","",Facturacion!S395)</f>
        <v/>
      </c>
      <c r="F396" s="138">
        <f>IF(Facturacion!T395="","",Facturacion!T395)</f>
        <v/>
      </c>
      <c r="G396" s="141">
        <f>IF(Facturacion!A395="","",IF(Facturacion!T395&lt;&gt;"",Facturacion!T395-Facturacion!A395,TODAY()-Facturacion!A395))</f>
        <v/>
      </c>
      <c r="H396" s="139">
        <f>IF(Facturacion!O395="","",Facturacion!O395)</f>
        <v/>
      </c>
      <c r="I396" s="140">
        <f>IF(Facturacion!U395="","",Facturacion!U395)</f>
        <v/>
      </c>
    </row>
    <row r="397" ht="15" customHeight="1" s="83">
      <c r="A397" s="138">
        <f>IF(Facturacion!A396="","",Facturacion!A396)</f>
        <v/>
      </c>
      <c r="B397" s="139">
        <f>IF(Facturacion!E396="","",Facturacion!E396)</f>
        <v/>
      </c>
      <c r="C397" s="139">
        <f>IF(Facturacion!G396="","",Facturacion!G396)</f>
        <v/>
      </c>
      <c r="D397" s="140">
        <f>IF(Facturacion!N396="","",Facturacion!N396)</f>
        <v/>
      </c>
      <c r="E397" s="139">
        <f>IF(Facturacion!S396="","",Facturacion!S396)</f>
        <v/>
      </c>
      <c r="F397" s="138">
        <f>IF(Facturacion!T396="","",Facturacion!T396)</f>
        <v/>
      </c>
      <c r="G397" s="141">
        <f>IF(Facturacion!A396="","",IF(Facturacion!T396&lt;&gt;"",Facturacion!T396-Facturacion!A396,TODAY()-Facturacion!A396))</f>
        <v/>
      </c>
      <c r="H397" s="139">
        <f>IF(Facturacion!O396="","",Facturacion!O396)</f>
        <v/>
      </c>
      <c r="I397" s="140">
        <f>IF(Facturacion!U396="","",Facturacion!U396)</f>
        <v/>
      </c>
    </row>
    <row r="398" ht="15" customHeight="1" s="83">
      <c r="A398" s="138">
        <f>IF(Facturacion!A397="","",Facturacion!A397)</f>
        <v/>
      </c>
      <c r="B398" s="139">
        <f>IF(Facturacion!E397="","",Facturacion!E397)</f>
        <v/>
      </c>
      <c r="C398" s="139">
        <f>IF(Facturacion!G397="","",Facturacion!G397)</f>
        <v/>
      </c>
      <c r="D398" s="140">
        <f>IF(Facturacion!N397="","",Facturacion!N397)</f>
        <v/>
      </c>
      <c r="E398" s="139">
        <f>IF(Facturacion!S397="","",Facturacion!S397)</f>
        <v/>
      </c>
      <c r="F398" s="138">
        <f>IF(Facturacion!T397="","",Facturacion!T397)</f>
        <v/>
      </c>
      <c r="G398" s="141">
        <f>IF(Facturacion!A397="","",IF(Facturacion!T397&lt;&gt;"",Facturacion!T397-Facturacion!A397,TODAY()-Facturacion!A397))</f>
        <v/>
      </c>
      <c r="H398" s="139">
        <f>IF(Facturacion!O397="","",Facturacion!O397)</f>
        <v/>
      </c>
      <c r="I398" s="140">
        <f>IF(Facturacion!U397="","",Facturacion!U397)</f>
        <v/>
      </c>
    </row>
    <row r="399" ht="15" customHeight="1" s="83">
      <c r="A399" s="138">
        <f>IF(Facturacion!A398="","",Facturacion!A398)</f>
        <v/>
      </c>
      <c r="B399" s="139">
        <f>IF(Facturacion!E398="","",Facturacion!E398)</f>
        <v/>
      </c>
      <c r="C399" s="139">
        <f>IF(Facturacion!G398="","",Facturacion!G398)</f>
        <v/>
      </c>
      <c r="D399" s="140">
        <f>IF(Facturacion!N398="","",Facturacion!N398)</f>
        <v/>
      </c>
      <c r="E399" s="139">
        <f>IF(Facturacion!S398="","",Facturacion!S398)</f>
        <v/>
      </c>
      <c r="F399" s="138">
        <f>IF(Facturacion!T398="","",Facturacion!T398)</f>
        <v/>
      </c>
      <c r="G399" s="141">
        <f>IF(Facturacion!A398="","",IF(Facturacion!T398&lt;&gt;"",Facturacion!T398-Facturacion!A398,TODAY()-Facturacion!A398))</f>
        <v/>
      </c>
      <c r="H399" s="139">
        <f>IF(Facturacion!O398="","",Facturacion!O398)</f>
        <v/>
      </c>
      <c r="I399" s="140">
        <f>IF(Facturacion!U398="","",Facturacion!U398)</f>
        <v/>
      </c>
    </row>
    <row r="400" ht="15" customHeight="1" s="83">
      <c r="A400" s="138">
        <f>IF(Facturacion!A399="","",Facturacion!A399)</f>
        <v/>
      </c>
      <c r="B400" s="139">
        <f>IF(Facturacion!E399="","",Facturacion!E399)</f>
        <v/>
      </c>
      <c r="C400" s="139">
        <f>IF(Facturacion!G399="","",Facturacion!G399)</f>
        <v/>
      </c>
      <c r="D400" s="140">
        <f>IF(Facturacion!N399="","",Facturacion!N399)</f>
        <v/>
      </c>
      <c r="E400" s="139">
        <f>IF(Facturacion!S399="","",Facturacion!S399)</f>
        <v/>
      </c>
      <c r="F400" s="138">
        <f>IF(Facturacion!T399="","",Facturacion!T399)</f>
        <v/>
      </c>
      <c r="G400" s="141">
        <f>IF(Facturacion!A399="","",IF(Facturacion!T399&lt;&gt;"",Facturacion!T399-Facturacion!A399,TODAY()-Facturacion!A399))</f>
        <v/>
      </c>
      <c r="H400" s="139">
        <f>IF(Facturacion!O399="","",Facturacion!O399)</f>
        <v/>
      </c>
      <c r="I400" s="140">
        <f>IF(Facturacion!U399="","",Facturacion!U399)</f>
        <v/>
      </c>
    </row>
    <row r="401" ht="15" customHeight="1" s="83">
      <c r="A401" s="138">
        <f>IF(Facturacion!A400="","",Facturacion!A400)</f>
        <v/>
      </c>
      <c r="B401" s="139">
        <f>IF(Facturacion!E400="","",Facturacion!E400)</f>
        <v/>
      </c>
      <c r="C401" s="139">
        <f>IF(Facturacion!G400="","",Facturacion!G400)</f>
        <v/>
      </c>
      <c r="D401" s="140">
        <f>IF(Facturacion!N400="","",Facturacion!N400)</f>
        <v/>
      </c>
      <c r="E401" s="139">
        <f>IF(Facturacion!S400="","",Facturacion!S400)</f>
        <v/>
      </c>
      <c r="F401" s="138">
        <f>IF(Facturacion!T400="","",Facturacion!T400)</f>
        <v/>
      </c>
      <c r="G401" s="141">
        <f>IF(Facturacion!A400="","",IF(Facturacion!T400&lt;&gt;"",Facturacion!T400-Facturacion!A400,TODAY()-Facturacion!A400))</f>
        <v/>
      </c>
      <c r="H401" s="139">
        <f>IF(Facturacion!O400="","",Facturacion!O400)</f>
        <v/>
      </c>
      <c r="I401" s="140">
        <f>IF(Facturacion!U400="","",Facturacion!U400)</f>
        <v/>
      </c>
    </row>
    <row r="402" ht="15" customHeight="1" s="83">
      <c r="A402" s="138">
        <f>IF(Facturacion!A401="","",Facturacion!A401)</f>
        <v/>
      </c>
      <c r="B402" s="139">
        <f>IF(Facturacion!E401="","",Facturacion!E401)</f>
        <v/>
      </c>
      <c r="C402" s="139">
        <f>IF(Facturacion!G401="","",Facturacion!G401)</f>
        <v/>
      </c>
      <c r="D402" s="140">
        <f>IF(Facturacion!N401="","",Facturacion!N401)</f>
        <v/>
      </c>
      <c r="E402" s="139">
        <f>IF(Facturacion!S401="","",Facturacion!S401)</f>
        <v/>
      </c>
      <c r="F402" s="138">
        <f>IF(Facturacion!T401="","",Facturacion!T401)</f>
        <v/>
      </c>
      <c r="G402" s="141">
        <f>IF(Facturacion!A401="","",IF(Facturacion!T401&lt;&gt;"",Facturacion!T401-Facturacion!A401,TODAY()-Facturacion!A401))</f>
        <v/>
      </c>
      <c r="H402" s="139">
        <f>IF(Facturacion!O401="","",Facturacion!O401)</f>
        <v/>
      </c>
      <c r="I402" s="140">
        <f>IF(Facturacion!U401="","",Facturacion!U401)</f>
        <v/>
      </c>
    </row>
    <row r="403" ht="15" customHeight="1" s="83">
      <c r="A403" s="138">
        <f>IF(Facturacion!A402="","",Facturacion!A402)</f>
        <v/>
      </c>
      <c r="B403" s="139">
        <f>IF(Facturacion!E402="","",Facturacion!E402)</f>
        <v/>
      </c>
      <c r="C403" s="139">
        <f>IF(Facturacion!G402="","",Facturacion!G402)</f>
        <v/>
      </c>
      <c r="D403" s="140">
        <f>IF(Facturacion!N402="","",Facturacion!N402)</f>
        <v/>
      </c>
      <c r="E403" s="139">
        <f>IF(Facturacion!S402="","",Facturacion!S402)</f>
        <v/>
      </c>
      <c r="F403" s="138">
        <f>IF(Facturacion!T402="","",Facturacion!T402)</f>
        <v/>
      </c>
      <c r="G403" s="141">
        <f>IF(Facturacion!A402="","",IF(Facturacion!T402&lt;&gt;"",Facturacion!T402-Facturacion!A402,TODAY()-Facturacion!A402))</f>
        <v/>
      </c>
      <c r="H403" s="139">
        <f>IF(Facturacion!O402="","",Facturacion!O402)</f>
        <v/>
      </c>
      <c r="I403" s="140">
        <f>IF(Facturacion!U402="","",Facturacion!U402)</f>
        <v/>
      </c>
    </row>
    <row r="404" ht="15" customHeight="1" s="83">
      <c r="A404" s="138">
        <f>IF(Facturacion!A403="","",Facturacion!A403)</f>
        <v/>
      </c>
      <c r="B404" s="139">
        <f>IF(Facturacion!E403="","",Facturacion!E403)</f>
        <v/>
      </c>
      <c r="C404" s="139">
        <f>IF(Facturacion!G403="","",Facturacion!G403)</f>
        <v/>
      </c>
      <c r="D404" s="140">
        <f>IF(Facturacion!N403="","",Facturacion!N403)</f>
        <v/>
      </c>
      <c r="E404" s="139">
        <f>IF(Facturacion!S403="","",Facturacion!S403)</f>
        <v/>
      </c>
      <c r="F404" s="138">
        <f>IF(Facturacion!T403="","",Facturacion!T403)</f>
        <v/>
      </c>
      <c r="G404" s="141">
        <f>IF(Facturacion!A403="","",IF(Facturacion!T403&lt;&gt;"",Facturacion!T403-Facturacion!A403,TODAY()-Facturacion!A403))</f>
        <v/>
      </c>
      <c r="H404" s="139">
        <f>IF(Facturacion!O403="","",Facturacion!O403)</f>
        <v/>
      </c>
      <c r="I404" s="140">
        <f>IF(Facturacion!U403="","",Facturacion!U403)</f>
        <v/>
      </c>
    </row>
    <row r="405" ht="15" customHeight="1" s="83">
      <c r="A405" s="138">
        <f>IF(Facturacion!A404="","",Facturacion!A404)</f>
        <v/>
      </c>
      <c r="B405" s="139">
        <f>IF(Facturacion!E404="","",Facturacion!E404)</f>
        <v/>
      </c>
      <c r="C405" s="139">
        <f>IF(Facturacion!G404="","",Facturacion!G404)</f>
        <v/>
      </c>
      <c r="D405" s="140">
        <f>IF(Facturacion!N404="","",Facturacion!N404)</f>
        <v/>
      </c>
      <c r="E405" s="139">
        <f>IF(Facturacion!S404="","",Facturacion!S404)</f>
        <v/>
      </c>
      <c r="F405" s="138">
        <f>IF(Facturacion!T404="","",Facturacion!T404)</f>
        <v/>
      </c>
      <c r="G405" s="141">
        <f>IF(Facturacion!A404="","",IF(Facturacion!T404&lt;&gt;"",Facturacion!T404-Facturacion!A404,TODAY()-Facturacion!A404))</f>
        <v/>
      </c>
      <c r="H405" s="139">
        <f>IF(Facturacion!O404="","",Facturacion!O404)</f>
        <v/>
      </c>
      <c r="I405" s="140">
        <f>IF(Facturacion!U404="","",Facturacion!U404)</f>
        <v/>
      </c>
    </row>
    <row r="406" ht="15" customHeight="1" s="83">
      <c r="A406" s="138">
        <f>IF(Facturacion!A405="","",Facturacion!A405)</f>
        <v/>
      </c>
      <c r="B406" s="139">
        <f>IF(Facturacion!E405="","",Facturacion!E405)</f>
        <v/>
      </c>
      <c r="C406" s="139">
        <f>IF(Facturacion!G405="","",Facturacion!G405)</f>
        <v/>
      </c>
      <c r="D406" s="140">
        <f>IF(Facturacion!N405="","",Facturacion!N405)</f>
        <v/>
      </c>
      <c r="E406" s="139">
        <f>IF(Facturacion!S405="","",Facturacion!S405)</f>
        <v/>
      </c>
      <c r="F406" s="138">
        <f>IF(Facturacion!T405="","",Facturacion!T405)</f>
        <v/>
      </c>
      <c r="G406" s="141">
        <f>IF(Facturacion!A405="","",IF(Facturacion!T405&lt;&gt;"",Facturacion!T405-Facturacion!A405,TODAY()-Facturacion!A405))</f>
        <v/>
      </c>
      <c r="H406" s="139">
        <f>IF(Facturacion!O405="","",Facturacion!O405)</f>
        <v/>
      </c>
      <c r="I406" s="140">
        <f>IF(Facturacion!U405="","",Facturacion!U405)</f>
        <v/>
      </c>
    </row>
    <row r="407" ht="15" customHeight="1" s="83">
      <c r="A407" s="138">
        <f>IF(Facturacion!A406="","",Facturacion!A406)</f>
        <v/>
      </c>
      <c r="B407" s="139">
        <f>IF(Facturacion!E406="","",Facturacion!E406)</f>
        <v/>
      </c>
      <c r="C407" s="139">
        <f>IF(Facturacion!G406="","",Facturacion!G406)</f>
        <v/>
      </c>
      <c r="D407" s="140">
        <f>IF(Facturacion!N406="","",Facturacion!N406)</f>
        <v/>
      </c>
      <c r="E407" s="139">
        <f>IF(Facturacion!S406="","",Facturacion!S406)</f>
        <v/>
      </c>
      <c r="F407" s="138">
        <f>IF(Facturacion!T406="","",Facturacion!T406)</f>
        <v/>
      </c>
      <c r="G407" s="141">
        <f>IF(Facturacion!A406="","",IF(Facturacion!T406&lt;&gt;"",Facturacion!T406-Facturacion!A406,TODAY()-Facturacion!A406))</f>
        <v/>
      </c>
      <c r="H407" s="139">
        <f>IF(Facturacion!O406="","",Facturacion!O406)</f>
        <v/>
      </c>
      <c r="I407" s="140">
        <f>IF(Facturacion!U406="","",Facturacion!U406)</f>
        <v/>
      </c>
    </row>
    <row r="408" ht="15" customHeight="1" s="83">
      <c r="A408" s="138">
        <f>IF(Facturacion!A407="","",Facturacion!A407)</f>
        <v/>
      </c>
      <c r="B408" s="139">
        <f>IF(Facturacion!E407="","",Facturacion!E407)</f>
        <v/>
      </c>
      <c r="C408" s="139">
        <f>IF(Facturacion!G407="","",Facturacion!G407)</f>
        <v/>
      </c>
      <c r="D408" s="140">
        <f>IF(Facturacion!N407="","",Facturacion!N407)</f>
        <v/>
      </c>
      <c r="E408" s="139">
        <f>IF(Facturacion!S407="","",Facturacion!S407)</f>
        <v/>
      </c>
      <c r="F408" s="138">
        <f>IF(Facturacion!T407="","",Facturacion!T407)</f>
        <v/>
      </c>
      <c r="G408" s="141">
        <f>IF(Facturacion!A407="","",IF(Facturacion!T407&lt;&gt;"",Facturacion!T407-Facturacion!A407,TODAY()-Facturacion!A407))</f>
        <v/>
      </c>
      <c r="H408" s="139">
        <f>IF(Facturacion!O407="","",Facturacion!O407)</f>
        <v/>
      </c>
      <c r="I408" s="140">
        <f>IF(Facturacion!U407="","",Facturacion!U407)</f>
        <v/>
      </c>
    </row>
    <row r="409" ht="15" customHeight="1" s="83">
      <c r="A409" s="138">
        <f>IF(Facturacion!A408="","",Facturacion!A408)</f>
        <v/>
      </c>
      <c r="B409" s="139">
        <f>IF(Facturacion!E408="","",Facturacion!E408)</f>
        <v/>
      </c>
      <c r="C409" s="139">
        <f>IF(Facturacion!G408="","",Facturacion!G408)</f>
        <v/>
      </c>
      <c r="D409" s="140">
        <f>IF(Facturacion!N408="","",Facturacion!N408)</f>
        <v/>
      </c>
      <c r="E409" s="139">
        <f>IF(Facturacion!S408="","",Facturacion!S408)</f>
        <v/>
      </c>
      <c r="F409" s="138">
        <f>IF(Facturacion!T408="","",Facturacion!T408)</f>
        <v/>
      </c>
      <c r="G409" s="141">
        <f>IF(Facturacion!A408="","",IF(Facturacion!T408&lt;&gt;"",Facturacion!T408-Facturacion!A408,TODAY()-Facturacion!A408))</f>
        <v/>
      </c>
      <c r="H409" s="139">
        <f>IF(Facturacion!O408="","",Facturacion!O408)</f>
        <v/>
      </c>
      <c r="I409" s="140">
        <f>IF(Facturacion!U408="","",Facturacion!U408)</f>
        <v/>
      </c>
    </row>
    <row r="410" ht="15" customHeight="1" s="83">
      <c r="A410" s="138">
        <f>IF(Facturacion!A409="","",Facturacion!A409)</f>
        <v/>
      </c>
      <c r="B410" s="139">
        <f>IF(Facturacion!E409="","",Facturacion!E409)</f>
        <v/>
      </c>
      <c r="C410" s="139">
        <f>IF(Facturacion!G409="","",Facturacion!G409)</f>
        <v/>
      </c>
      <c r="D410" s="140">
        <f>IF(Facturacion!N409="","",Facturacion!N409)</f>
        <v/>
      </c>
      <c r="E410" s="139">
        <f>IF(Facturacion!S409="","",Facturacion!S409)</f>
        <v/>
      </c>
      <c r="F410" s="138">
        <f>IF(Facturacion!T409="","",Facturacion!T409)</f>
        <v/>
      </c>
      <c r="G410" s="141">
        <f>IF(Facturacion!A409="","",IF(Facturacion!T409&lt;&gt;"",Facturacion!T409-Facturacion!A409,TODAY()-Facturacion!A409))</f>
        <v/>
      </c>
      <c r="H410" s="139">
        <f>IF(Facturacion!O409="","",Facturacion!O409)</f>
        <v/>
      </c>
      <c r="I410" s="140">
        <f>IF(Facturacion!U409="","",Facturacion!U409)</f>
        <v/>
      </c>
    </row>
    <row r="411" ht="15" customHeight="1" s="83">
      <c r="A411" s="138">
        <f>IF(Facturacion!A410="","",Facturacion!A410)</f>
        <v/>
      </c>
      <c r="B411" s="139">
        <f>IF(Facturacion!E410="","",Facturacion!E410)</f>
        <v/>
      </c>
      <c r="C411" s="139">
        <f>IF(Facturacion!G410="","",Facturacion!G410)</f>
        <v/>
      </c>
      <c r="D411" s="140">
        <f>IF(Facturacion!N410="","",Facturacion!N410)</f>
        <v/>
      </c>
      <c r="E411" s="139">
        <f>IF(Facturacion!S410="","",Facturacion!S410)</f>
        <v/>
      </c>
      <c r="F411" s="138">
        <f>IF(Facturacion!T410="","",Facturacion!T410)</f>
        <v/>
      </c>
      <c r="G411" s="141">
        <f>IF(Facturacion!A410="","",IF(Facturacion!T410&lt;&gt;"",Facturacion!T410-Facturacion!A410,TODAY()-Facturacion!A410))</f>
        <v/>
      </c>
      <c r="H411" s="139">
        <f>IF(Facturacion!O410="","",Facturacion!O410)</f>
        <v/>
      </c>
      <c r="I411" s="140">
        <f>IF(Facturacion!U410="","",Facturacion!U410)</f>
        <v/>
      </c>
    </row>
    <row r="412" ht="15" customHeight="1" s="83">
      <c r="A412" s="138">
        <f>IF(Facturacion!A411="","",Facturacion!A411)</f>
        <v/>
      </c>
      <c r="B412" s="139">
        <f>IF(Facturacion!E411="","",Facturacion!E411)</f>
        <v/>
      </c>
      <c r="C412" s="139">
        <f>IF(Facturacion!G411="","",Facturacion!G411)</f>
        <v/>
      </c>
      <c r="D412" s="140">
        <f>IF(Facturacion!N411="","",Facturacion!N411)</f>
        <v/>
      </c>
      <c r="E412" s="139">
        <f>IF(Facturacion!S411="","",Facturacion!S411)</f>
        <v/>
      </c>
      <c r="F412" s="138">
        <f>IF(Facturacion!T411="","",Facturacion!T411)</f>
        <v/>
      </c>
      <c r="G412" s="141">
        <f>IF(Facturacion!A411="","",IF(Facturacion!T411&lt;&gt;"",Facturacion!T411-Facturacion!A411,TODAY()-Facturacion!A411))</f>
        <v/>
      </c>
      <c r="H412" s="139">
        <f>IF(Facturacion!O411="","",Facturacion!O411)</f>
        <v/>
      </c>
      <c r="I412" s="140">
        <f>IF(Facturacion!U411="","",Facturacion!U411)</f>
        <v/>
      </c>
    </row>
    <row r="413" ht="15" customHeight="1" s="83">
      <c r="A413" s="138">
        <f>IF(Facturacion!A412="","",Facturacion!A412)</f>
        <v/>
      </c>
      <c r="B413" s="139">
        <f>IF(Facturacion!E412="","",Facturacion!E412)</f>
        <v/>
      </c>
      <c r="C413" s="139">
        <f>IF(Facturacion!G412="","",Facturacion!G412)</f>
        <v/>
      </c>
      <c r="D413" s="140">
        <f>IF(Facturacion!N412="","",Facturacion!N412)</f>
        <v/>
      </c>
      <c r="E413" s="139">
        <f>IF(Facturacion!S412="","",Facturacion!S412)</f>
        <v/>
      </c>
      <c r="F413" s="138">
        <f>IF(Facturacion!T412="","",Facturacion!T412)</f>
        <v/>
      </c>
      <c r="G413" s="141">
        <f>IF(Facturacion!A412="","",IF(Facturacion!T412&lt;&gt;"",Facturacion!T412-Facturacion!A412,TODAY()-Facturacion!A412))</f>
        <v/>
      </c>
      <c r="H413" s="139">
        <f>IF(Facturacion!O412="","",Facturacion!O412)</f>
        <v/>
      </c>
      <c r="I413" s="140">
        <f>IF(Facturacion!U412="","",Facturacion!U412)</f>
        <v/>
      </c>
    </row>
    <row r="414" ht="15" customHeight="1" s="83">
      <c r="A414" s="138">
        <f>IF(Facturacion!A413="","",Facturacion!A413)</f>
        <v/>
      </c>
      <c r="B414" s="139">
        <f>IF(Facturacion!E413="","",Facturacion!E413)</f>
        <v/>
      </c>
      <c r="C414" s="139">
        <f>IF(Facturacion!G413="","",Facturacion!G413)</f>
        <v/>
      </c>
      <c r="D414" s="140">
        <f>IF(Facturacion!N413="","",Facturacion!N413)</f>
        <v/>
      </c>
      <c r="E414" s="139">
        <f>IF(Facturacion!S413="","",Facturacion!S413)</f>
        <v/>
      </c>
      <c r="F414" s="138">
        <f>IF(Facturacion!T413="","",Facturacion!T413)</f>
        <v/>
      </c>
      <c r="G414" s="141">
        <f>IF(Facturacion!A413="","",IF(Facturacion!T413&lt;&gt;"",Facturacion!T413-Facturacion!A413,TODAY()-Facturacion!A413))</f>
        <v/>
      </c>
      <c r="H414" s="139">
        <f>IF(Facturacion!O413="","",Facturacion!O413)</f>
        <v/>
      </c>
      <c r="I414" s="140">
        <f>IF(Facturacion!U413="","",Facturacion!U413)</f>
        <v/>
      </c>
    </row>
    <row r="415" ht="15" customHeight="1" s="83">
      <c r="A415" s="138">
        <f>IF(Facturacion!A414="","",Facturacion!A414)</f>
        <v/>
      </c>
      <c r="B415" s="139">
        <f>IF(Facturacion!E414="","",Facturacion!E414)</f>
        <v/>
      </c>
      <c r="C415" s="139">
        <f>IF(Facturacion!G414="","",Facturacion!G414)</f>
        <v/>
      </c>
      <c r="D415" s="140">
        <f>IF(Facturacion!N414="","",Facturacion!N414)</f>
        <v/>
      </c>
      <c r="E415" s="139">
        <f>IF(Facturacion!S414="","",Facturacion!S414)</f>
        <v/>
      </c>
      <c r="F415" s="138">
        <f>IF(Facturacion!T414="","",Facturacion!T414)</f>
        <v/>
      </c>
      <c r="G415" s="141">
        <f>IF(Facturacion!A414="","",IF(Facturacion!T414&lt;&gt;"",Facturacion!T414-Facturacion!A414,TODAY()-Facturacion!A414))</f>
        <v/>
      </c>
      <c r="H415" s="139">
        <f>IF(Facturacion!O414="","",Facturacion!O414)</f>
        <v/>
      </c>
      <c r="I415" s="140">
        <f>IF(Facturacion!U414="","",Facturacion!U414)</f>
        <v/>
      </c>
    </row>
    <row r="416" ht="15" customHeight="1" s="83">
      <c r="A416" s="138">
        <f>IF(Facturacion!A415="","",Facturacion!A415)</f>
        <v/>
      </c>
      <c r="B416" s="139">
        <f>IF(Facturacion!E415="","",Facturacion!E415)</f>
        <v/>
      </c>
      <c r="C416" s="139">
        <f>IF(Facturacion!G415="","",Facturacion!G415)</f>
        <v/>
      </c>
      <c r="D416" s="140">
        <f>IF(Facturacion!N415="","",Facturacion!N415)</f>
        <v/>
      </c>
      <c r="E416" s="139">
        <f>IF(Facturacion!S415="","",Facturacion!S415)</f>
        <v/>
      </c>
      <c r="F416" s="138">
        <f>IF(Facturacion!T415="","",Facturacion!T415)</f>
        <v/>
      </c>
      <c r="G416" s="141">
        <f>IF(Facturacion!A415="","",IF(Facturacion!T415&lt;&gt;"",Facturacion!T415-Facturacion!A415,TODAY()-Facturacion!A415))</f>
        <v/>
      </c>
      <c r="H416" s="139">
        <f>IF(Facturacion!O415="","",Facturacion!O415)</f>
        <v/>
      </c>
      <c r="I416" s="140">
        <f>IF(Facturacion!U415="","",Facturacion!U415)</f>
        <v/>
      </c>
    </row>
    <row r="417" ht="15" customHeight="1" s="83">
      <c r="A417" s="138">
        <f>IF(Facturacion!A416="","",Facturacion!A416)</f>
        <v/>
      </c>
      <c r="B417" s="139">
        <f>IF(Facturacion!E416="","",Facturacion!E416)</f>
        <v/>
      </c>
      <c r="C417" s="139">
        <f>IF(Facturacion!G416="","",Facturacion!G416)</f>
        <v/>
      </c>
      <c r="D417" s="140">
        <f>IF(Facturacion!N416="","",Facturacion!N416)</f>
        <v/>
      </c>
      <c r="E417" s="139">
        <f>IF(Facturacion!S416="","",Facturacion!S416)</f>
        <v/>
      </c>
      <c r="F417" s="138">
        <f>IF(Facturacion!T416="","",Facturacion!T416)</f>
        <v/>
      </c>
      <c r="G417" s="141">
        <f>IF(Facturacion!A416="","",IF(Facturacion!T416&lt;&gt;"",Facturacion!T416-Facturacion!A416,TODAY()-Facturacion!A416))</f>
        <v/>
      </c>
      <c r="H417" s="139">
        <f>IF(Facturacion!O416="","",Facturacion!O416)</f>
        <v/>
      </c>
      <c r="I417" s="140">
        <f>IF(Facturacion!U416="","",Facturacion!U416)</f>
        <v/>
      </c>
    </row>
    <row r="418" ht="15" customHeight="1" s="83">
      <c r="A418" s="138">
        <f>IF(Facturacion!A417="","",Facturacion!A417)</f>
        <v/>
      </c>
      <c r="B418" s="139">
        <f>IF(Facturacion!E417="","",Facturacion!E417)</f>
        <v/>
      </c>
      <c r="C418" s="139">
        <f>IF(Facturacion!G417="","",Facturacion!G417)</f>
        <v/>
      </c>
      <c r="D418" s="140">
        <f>IF(Facturacion!N417="","",Facturacion!N417)</f>
        <v/>
      </c>
      <c r="E418" s="139">
        <f>IF(Facturacion!S417="","",Facturacion!S417)</f>
        <v/>
      </c>
      <c r="F418" s="138">
        <f>IF(Facturacion!T417="","",Facturacion!T417)</f>
        <v/>
      </c>
      <c r="G418" s="141">
        <f>IF(Facturacion!A417="","",IF(Facturacion!T417&lt;&gt;"",Facturacion!T417-Facturacion!A417,TODAY()-Facturacion!A417))</f>
        <v/>
      </c>
      <c r="H418" s="139">
        <f>IF(Facturacion!O417="","",Facturacion!O417)</f>
        <v/>
      </c>
      <c r="I418" s="140">
        <f>IF(Facturacion!U417="","",Facturacion!U417)</f>
        <v/>
      </c>
    </row>
    <row r="419" ht="15" customHeight="1" s="83">
      <c r="A419" s="138">
        <f>IF(Facturacion!A418="","",Facturacion!A418)</f>
        <v/>
      </c>
      <c r="B419" s="139">
        <f>IF(Facturacion!E418="","",Facturacion!E418)</f>
        <v/>
      </c>
      <c r="C419" s="139">
        <f>IF(Facturacion!G418="","",Facturacion!G418)</f>
        <v/>
      </c>
      <c r="D419" s="140">
        <f>IF(Facturacion!N418="","",Facturacion!N418)</f>
        <v/>
      </c>
      <c r="E419" s="139">
        <f>IF(Facturacion!S418="","",Facturacion!S418)</f>
        <v/>
      </c>
      <c r="F419" s="138">
        <f>IF(Facturacion!T418="","",Facturacion!T418)</f>
        <v/>
      </c>
      <c r="G419" s="141">
        <f>IF(Facturacion!A418="","",IF(Facturacion!T418&lt;&gt;"",Facturacion!T418-Facturacion!A418,TODAY()-Facturacion!A418))</f>
        <v/>
      </c>
      <c r="H419" s="139">
        <f>IF(Facturacion!O418="","",Facturacion!O418)</f>
        <v/>
      </c>
      <c r="I419" s="140">
        <f>IF(Facturacion!U418="","",Facturacion!U418)</f>
        <v/>
      </c>
    </row>
    <row r="420" ht="15" customHeight="1" s="83">
      <c r="A420" s="138">
        <f>IF(Facturacion!A419="","",Facturacion!A419)</f>
        <v/>
      </c>
      <c r="B420" s="139">
        <f>IF(Facturacion!E419="","",Facturacion!E419)</f>
        <v/>
      </c>
      <c r="C420" s="139">
        <f>IF(Facturacion!G419="","",Facturacion!G419)</f>
        <v/>
      </c>
      <c r="D420" s="140">
        <f>IF(Facturacion!N419="","",Facturacion!N419)</f>
        <v/>
      </c>
      <c r="E420" s="139">
        <f>IF(Facturacion!S419="","",Facturacion!S419)</f>
        <v/>
      </c>
      <c r="F420" s="138">
        <f>IF(Facturacion!T419="","",Facturacion!T419)</f>
        <v/>
      </c>
      <c r="G420" s="141">
        <f>IF(Facturacion!A419="","",IF(Facturacion!T419&lt;&gt;"",Facturacion!T419-Facturacion!A419,TODAY()-Facturacion!A419))</f>
        <v/>
      </c>
      <c r="H420" s="139">
        <f>IF(Facturacion!O419="","",Facturacion!O419)</f>
        <v/>
      </c>
      <c r="I420" s="140">
        <f>IF(Facturacion!U419="","",Facturacion!U419)</f>
        <v/>
      </c>
    </row>
    <row r="421" ht="15" customHeight="1" s="83">
      <c r="A421" s="138">
        <f>IF(Facturacion!A420="","",Facturacion!A420)</f>
        <v/>
      </c>
      <c r="B421" s="139">
        <f>IF(Facturacion!E420="","",Facturacion!E420)</f>
        <v/>
      </c>
      <c r="C421" s="139">
        <f>IF(Facturacion!G420="","",Facturacion!G420)</f>
        <v/>
      </c>
      <c r="D421" s="140">
        <f>IF(Facturacion!N420="","",Facturacion!N420)</f>
        <v/>
      </c>
      <c r="E421" s="139">
        <f>IF(Facturacion!S420="","",Facturacion!S420)</f>
        <v/>
      </c>
      <c r="F421" s="138">
        <f>IF(Facturacion!T420="","",Facturacion!T420)</f>
        <v/>
      </c>
      <c r="G421" s="141">
        <f>IF(Facturacion!A420="","",IF(Facturacion!T420&lt;&gt;"",Facturacion!T420-Facturacion!A420,TODAY()-Facturacion!A420))</f>
        <v/>
      </c>
      <c r="H421" s="139">
        <f>IF(Facturacion!O420="","",Facturacion!O420)</f>
        <v/>
      </c>
      <c r="I421" s="140">
        <f>IF(Facturacion!U420="","",Facturacion!U420)</f>
        <v/>
      </c>
    </row>
    <row r="422" ht="15" customHeight="1" s="83">
      <c r="A422" s="138">
        <f>IF(Facturacion!A421="","",Facturacion!A421)</f>
        <v/>
      </c>
      <c r="B422" s="139">
        <f>IF(Facturacion!E421="","",Facturacion!E421)</f>
        <v/>
      </c>
      <c r="C422" s="139">
        <f>IF(Facturacion!G421="","",Facturacion!G421)</f>
        <v/>
      </c>
      <c r="D422" s="140">
        <f>IF(Facturacion!N421="","",Facturacion!N421)</f>
        <v/>
      </c>
      <c r="E422" s="139">
        <f>IF(Facturacion!S421="","",Facturacion!S421)</f>
        <v/>
      </c>
      <c r="F422" s="138">
        <f>IF(Facturacion!T421="","",Facturacion!T421)</f>
        <v/>
      </c>
      <c r="G422" s="141">
        <f>IF(Facturacion!A421="","",IF(Facturacion!T421&lt;&gt;"",Facturacion!T421-Facturacion!A421,TODAY()-Facturacion!A421))</f>
        <v/>
      </c>
      <c r="H422" s="139">
        <f>IF(Facturacion!O421="","",Facturacion!O421)</f>
        <v/>
      </c>
      <c r="I422" s="140">
        <f>IF(Facturacion!U421="","",Facturacion!U421)</f>
        <v/>
      </c>
    </row>
    <row r="423" ht="15" customHeight="1" s="83">
      <c r="A423" s="138">
        <f>IF(Facturacion!A422="","",Facturacion!A422)</f>
        <v/>
      </c>
      <c r="B423" s="139">
        <f>IF(Facturacion!E422="","",Facturacion!E422)</f>
        <v/>
      </c>
      <c r="C423" s="139">
        <f>IF(Facturacion!G422="","",Facturacion!G422)</f>
        <v/>
      </c>
      <c r="D423" s="140">
        <f>IF(Facturacion!N422="","",Facturacion!N422)</f>
        <v/>
      </c>
      <c r="E423" s="139">
        <f>IF(Facturacion!S422="","",Facturacion!S422)</f>
        <v/>
      </c>
      <c r="F423" s="138">
        <f>IF(Facturacion!T422="","",Facturacion!T422)</f>
        <v/>
      </c>
      <c r="G423" s="141">
        <f>IF(Facturacion!A422="","",IF(Facturacion!T422&lt;&gt;"",Facturacion!T422-Facturacion!A422,TODAY()-Facturacion!A422))</f>
        <v/>
      </c>
      <c r="H423" s="139">
        <f>IF(Facturacion!O422="","",Facturacion!O422)</f>
        <v/>
      </c>
      <c r="I423" s="140">
        <f>IF(Facturacion!U422="","",Facturacion!U422)</f>
        <v/>
      </c>
    </row>
    <row r="424" ht="15" customHeight="1" s="83">
      <c r="A424" s="138">
        <f>IF(Facturacion!A423="","",Facturacion!A423)</f>
        <v/>
      </c>
      <c r="B424" s="139">
        <f>IF(Facturacion!E423="","",Facturacion!E423)</f>
        <v/>
      </c>
      <c r="C424" s="139">
        <f>IF(Facturacion!G423="","",Facturacion!G423)</f>
        <v/>
      </c>
      <c r="D424" s="140">
        <f>IF(Facturacion!N423="","",Facturacion!N423)</f>
        <v/>
      </c>
      <c r="E424" s="139">
        <f>IF(Facturacion!S423="","",Facturacion!S423)</f>
        <v/>
      </c>
      <c r="F424" s="138">
        <f>IF(Facturacion!T423="","",Facturacion!T423)</f>
        <v/>
      </c>
      <c r="G424" s="141">
        <f>IF(Facturacion!A423="","",IF(Facturacion!T423&lt;&gt;"",Facturacion!T423-Facturacion!A423,TODAY()-Facturacion!A423))</f>
        <v/>
      </c>
      <c r="H424" s="139">
        <f>IF(Facturacion!O423="","",Facturacion!O423)</f>
        <v/>
      </c>
      <c r="I424" s="140">
        <f>IF(Facturacion!U423="","",Facturacion!U423)</f>
        <v/>
      </c>
    </row>
    <row r="425" ht="15" customHeight="1" s="83">
      <c r="A425" s="138">
        <f>IF(Facturacion!A424="","",Facturacion!A424)</f>
        <v/>
      </c>
      <c r="B425" s="139">
        <f>IF(Facturacion!E424="","",Facturacion!E424)</f>
        <v/>
      </c>
      <c r="C425" s="139">
        <f>IF(Facturacion!G424="","",Facturacion!G424)</f>
        <v/>
      </c>
      <c r="D425" s="140">
        <f>IF(Facturacion!N424="","",Facturacion!N424)</f>
        <v/>
      </c>
      <c r="E425" s="139">
        <f>IF(Facturacion!S424="","",Facturacion!S424)</f>
        <v/>
      </c>
      <c r="F425" s="138">
        <f>IF(Facturacion!T424="","",Facturacion!T424)</f>
        <v/>
      </c>
      <c r="G425" s="141">
        <f>IF(Facturacion!A424="","",IF(Facturacion!T424&lt;&gt;"",Facturacion!T424-Facturacion!A424,TODAY()-Facturacion!A424))</f>
        <v/>
      </c>
      <c r="H425" s="139">
        <f>IF(Facturacion!O424="","",Facturacion!O424)</f>
        <v/>
      </c>
      <c r="I425" s="140">
        <f>IF(Facturacion!U424="","",Facturacion!U424)</f>
        <v/>
      </c>
    </row>
    <row r="426" ht="15" customHeight="1" s="83">
      <c r="A426" s="138">
        <f>IF(Facturacion!A425="","",Facturacion!A425)</f>
        <v/>
      </c>
      <c r="B426" s="139">
        <f>IF(Facturacion!E425="","",Facturacion!E425)</f>
        <v/>
      </c>
      <c r="C426" s="139">
        <f>IF(Facturacion!G425="","",Facturacion!G425)</f>
        <v/>
      </c>
      <c r="D426" s="140">
        <f>IF(Facturacion!N425="","",Facturacion!N425)</f>
        <v/>
      </c>
      <c r="E426" s="139">
        <f>IF(Facturacion!S425="","",Facturacion!S425)</f>
        <v/>
      </c>
      <c r="F426" s="138">
        <f>IF(Facturacion!T425="","",Facturacion!T425)</f>
        <v/>
      </c>
      <c r="G426" s="141">
        <f>IF(Facturacion!A425="","",IF(Facturacion!T425&lt;&gt;"",Facturacion!T425-Facturacion!A425,TODAY()-Facturacion!A425))</f>
        <v/>
      </c>
      <c r="H426" s="139">
        <f>IF(Facturacion!O425="","",Facturacion!O425)</f>
        <v/>
      </c>
      <c r="I426" s="140">
        <f>IF(Facturacion!U425="","",Facturacion!U425)</f>
        <v/>
      </c>
    </row>
    <row r="427" ht="15" customHeight="1" s="83">
      <c r="A427" s="138">
        <f>IF(Facturacion!A426="","",Facturacion!A426)</f>
        <v/>
      </c>
      <c r="B427" s="139">
        <f>IF(Facturacion!E426="","",Facturacion!E426)</f>
        <v/>
      </c>
      <c r="C427" s="139">
        <f>IF(Facturacion!G426="","",Facturacion!G426)</f>
        <v/>
      </c>
      <c r="D427" s="140">
        <f>IF(Facturacion!N426="","",Facturacion!N426)</f>
        <v/>
      </c>
      <c r="E427" s="139">
        <f>IF(Facturacion!S426="","",Facturacion!S426)</f>
        <v/>
      </c>
      <c r="F427" s="138">
        <f>IF(Facturacion!T426="","",Facturacion!T426)</f>
        <v/>
      </c>
      <c r="G427" s="141">
        <f>IF(Facturacion!A426="","",IF(Facturacion!T426&lt;&gt;"",Facturacion!T426-Facturacion!A426,TODAY()-Facturacion!A426))</f>
        <v/>
      </c>
      <c r="H427" s="139">
        <f>IF(Facturacion!O426="","",Facturacion!O426)</f>
        <v/>
      </c>
      <c r="I427" s="140">
        <f>IF(Facturacion!U426="","",Facturacion!U426)</f>
        <v/>
      </c>
    </row>
    <row r="428" ht="15" customHeight="1" s="83">
      <c r="A428" s="138">
        <f>IF(Facturacion!A427="","",Facturacion!A427)</f>
        <v/>
      </c>
      <c r="B428" s="139">
        <f>IF(Facturacion!E427="","",Facturacion!E427)</f>
        <v/>
      </c>
      <c r="C428" s="139">
        <f>IF(Facturacion!G427="","",Facturacion!G427)</f>
        <v/>
      </c>
      <c r="D428" s="140">
        <f>IF(Facturacion!N427="","",Facturacion!N427)</f>
        <v/>
      </c>
      <c r="E428" s="139">
        <f>IF(Facturacion!S427="","",Facturacion!S427)</f>
        <v/>
      </c>
      <c r="F428" s="138">
        <f>IF(Facturacion!T427="","",Facturacion!T427)</f>
        <v/>
      </c>
      <c r="G428" s="141">
        <f>IF(Facturacion!A427="","",IF(Facturacion!T427&lt;&gt;"",Facturacion!T427-Facturacion!A427,TODAY()-Facturacion!A427))</f>
        <v/>
      </c>
      <c r="H428" s="139">
        <f>IF(Facturacion!O427="","",Facturacion!O427)</f>
        <v/>
      </c>
      <c r="I428" s="140">
        <f>IF(Facturacion!U427="","",Facturacion!U427)</f>
        <v/>
      </c>
    </row>
    <row r="429" ht="15" customHeight="1" s="83">
      <c r="A429" s="138">
        <f>IF(Facturacion!A428="","",Facturacion!A428)</f>
        <v/>
      </c>
      <c r="B429" s="139">
        <f>IF(Facturacion!E428="","",Facturacion!E428)</f>
        <v/>
      </c>
      <c r="C429" s="139">
        <f>IF(Facturacion!G428="","",Facturacion!G428)</f>
        <v/>
      </c>
      <c r="D429" s="140">
        <f>IF(Facturacion!N428="","",Facturacion!N428)</f>
        <v/>
      </c>
      <c r="E429" s="139">
        <f>IF(Facturacion!S428="","",Facturacion!S428)</f>
        <v/>
      </c>
      <c r="F429" s="138">
        <f>IF(Facturacion!T428="","",Facturacion!T428)</f>
        <v/>
      </c>
      <c r="G429" s="141">
        <f>IF(Facturacion!A428="","",IF(Facturacion!T428&lt;&gt;"",Facturacion!T428-Facturacion!A428,TODAY()-Facturacion!A428))</f>
        <v/>
      </c>
      <c r="H429" s="139">
        <f>IF(Facturacion!O428="","",Facturacion!O428)</f>
        <v/>
      </c>
      <c r="I429" s="140">
        <f>IF(Facturacion!U428="","",Facturacion!U428)</f>
        <v/>
      </c>
    </row>
    <row r="430" ht="15" customHeight="1" s="83">
      <c r="A430" s="138">
        <f>IF(Facturacion!A429="","",Facturacion!A429)</f>
        <v/>
      </c>
      <c r="B430" s="139">
        <f>IF(Facturacion!E429="","",Facturacion!E429)</f>
        <v/>
      </c>
      <c r="C430" s="139">
        <f>IF(Facturacion!G429="","",Facturacion!G429)</f>
        <v/>
      </c>
      <c r="D430" s="140">
        <f>IF(Facturacion!N429="","",Facturacion!N429)</f>
        <v/>
      </c>
      <c r="E430" s="139">
        <f>IF(Facturacion!S429="","",Facturacion!S429)</f>
        <v/>
      </c>
      <c r="F430" s="138">
        <f>IF(Facturacion!T429="","",Facturacion!T429)</f>
        <v/>
      </c>
      <c r="G430" s="141">
        <f>IF(Facturacion!A429="","",IF(Facturacion!T429&lt;&gt;"",Facturacion!T429-Facturacion!A429,TODAY()-Facturacion!A429))</f>
        <v/>
      </c>
      <c r="H430" s="139">
        <f>IF(Facturacion!O429="","",Facturacion!O429)</f>
        <v/>
      </c>
      <c r="I430" s="140">
        <f>IF(Facturacion!U429="","",Facturacion!U429)</f>
        <v/>
      </c>
    </row>
    <row r="431" ht="15" customHeight="1" s="83">
      <c r="A431" s="138">
        <f>IF(Facturacion!A430="","",Facturacion!A430)</f>
        <v/>
      </c>
      <c r="B431" s="139">
        <f>IF(Facturacion!E430="","",Facturacion!E430)</f>
        <v/>
      </c>
      <c r="C431" s="139">
        <f>IF(Facturacion!G430="","",Facturacion!G430)</f>
        <v/>
      </c>
      <c r="D431" s="140">
        <f>IF(Facturacion!N430="","",Facturacion!N430)</f>
        <v/>
      </c>
      <c r="E431" s="139">
        <f>IF(Facturacion!S430="","",Facturacion!S430)</f>
        <v/>
      </c>
      <c r="F431" s="138">
        <f>IF(Facturacion!T430="","",Facturacion!T430)</f>
        <v/>
      </c>
      <c r="G431" s="141">
        <f>IF(Facturacion!A430="","",IF(Facturacion!T430&lt;&gt;"",Facturacion!T430-Facturacion!A430,TODAY()-Facturacion!A430))</f>
        <v/>
      </c>
      <c r="H431" s="139">
        <f>IF(Facturacion!O430="","",Facturacion!O430)</f>
        <v/>
      </c>
      <c r="I431" s="140">
        <f>IF(Facturacion!U430="","",Facturacion!U430)</f>
        <v/>
      </c>
    </row>
    <row r="432" ht="15" customHeight="1" s="83">
      <c r="A432" s="138">
        <f>IF(Facturacion!A431="","",Facturacion!A431)</f>
        <v/>
      </c>
      <c r="B432" s="139">
        <f>IF(Facturacion!E431="","",Facturacion!E431)</f>
        <v/>
      </c>
      <c r="C432" s="139">
        <f>IF(Facturacion!G431="","",Facturacion!G431)</f>
        <v/>
      </c>
      <c r="D432" s="140">
        <f>IF(Facturacion!N431="","",Facturacion!N431)</f>
        <v/>
      </c>
      <c r="E432" s="139">
        <f>IF(Facturacion!S431="","",Facturacion!S431)</f>
        <v/>
      </c>
      <c r="F432" s="138">
        <f>IF(Facturacion!T431="","",Facturacion!T431)</f>
        <v/>
      </c>
      <c r="G432" s="141">
        <f>IF(Facturacion!A431="","",IF(Facturacion!T431&lt;&gt;"",Facturacion!T431-Facturacion!A431,TODAY()-Facturacion!A431))</f>
        <v/>
      </c>
      <c r="H432" s="139">
        <f>IF(Facturacion!O431="","",Facturacion!O431)</f>
        <v/>
      </c>
      <c r="I432" s="140">
        <f>IF(Facturacion!U431="","",Facturacion!U431)</f>
        <v/>
      </c>
    </row>
    <row r="433" ht="15" customHeight="1" s="83">
      <c r="A433" s="138">
        <f>IF(Facturacion!A432="","",Facturacion!A432)</f>
        <v/>
      </c>
      <c r="B433" s="139">
        <f>IF(Facturacion!E432="","",Facturacion!E432)</f>
        <v/>
      </c>
      <c r="C433" s="139">
        <f>IF(Facturacion!G432="","",Facturacion!G432)</f>
        <v/>
      </c>
      <c r="D433" s="140">
        <f>IF(Facturacion!N432="","",Facturacion!N432)</f>
        <v/>
      </c>
      <c r="E433" s="139">
        <f>IF(Facturacion!S432="","",Facturacion!S432)</f>
        <v/>
      </c>
      <c r="F433" s="138">
        <f>IF(Facturacion!T432="","",Facturacion!T432)</f>
        <v/>
      </c>
      <c r="G433" s="141">
        <f>IF(Facturacion!A432="","",IF(Facturacion!T432&lt;&gt;"",Facturacion!T432-Facturacion!A432,TODAY()-Facturacion!A432))</f>
        <v/>
      </c>
      <c r="H433" s="139">
        <f>IF(Facturacion!O432="","",Facturacion!O432)</f>
        <v/>
      </c>
      <c r="I433" s="140">
        <f>IF(Facturacion!U432="","",Facturacion!U432)</f>
        <v/>
      </c>
    </row>
    <row r="434" ht="15" customHeight="1" s="83">
      <c r="A434" s="138">
        <f>IF(Facturacion!A433="","",Facturacion!A433)</f>
        <v/>
      </c>
      <c r="B434" s="139">
        <f>IF(Facturacion!E433="","",Facturacion!E433)</f>
        <v/>
      </c>
      <c r="C434" s="139">
        <f>IF(Facturacion!G433="","",Facturacion!G433)</f>
        <v/>
      </c>
      <c r="D434" s="140">
        <f>IF(Facturacion!N433="","",Facturacion!N433)</f>
        <v/>
      </c>
      <c r="E434" s="139">
        <f>IF(Facturacion!S433="","",Facturacion!S433)</f>
        <v/>
      </c>
      <c r="F434" s="138">
        <f>IF(Facturacion!T433="","",Facturacion!T433)</f>
        <v/>
      </c>
      <c r="G434" s="141">
        <f>IF(Facturacion!A433="","",IF(Facturacion!T433&lt;&gt;"",Facturacion!T433-Facturacion!A433,TODAY()-Facturacion!A433))</f>
        <v/>
      </c>
      <c r="H434" s="139">
        <f>IF(Facturacion!O433="","",Facturacion!O433)</f>
        <v/>
      </c>
      <c r="I434" s="140">
        <f>IF(Facturacion!U433="","",Facturacion!U433)</f>
        <v/>
      </c>
    </row>
    <row r="435" ht="15" customHeight="1" s="83">
      <c r="A435" s="138">
        <f>IF(Facturacion!A434="","",Facturacion!A434)</f>
        <v/>
      </c>
      <c r="B435" s="139">
        <f>IF(Facturacion!E434="","",Facturacion!E434)</f>
        <v/>
      </c>
      <c r="C435" s="139">
        <f>IF(Facturacion!G434="","",Facturacion!G434)</f>
        <v/>
      </c>
      <c r="D435" s="140">
        <f>IF(Facturacion!N434="","",Facturacion!N434)</f>
        <v/>
      </c>
      <c r="E435" s="139">
        <f>IF(Facturacion!S434="","",Facturacion!S434)</f>
        <v/>
      </c>
      <c r="F435" s="138">
        <f>IF(Facturacion!T434="","",Facturacion!T434)</f>
        <v/>
      </c>
      <c r="G435" s="141">
        <f>IF(Facturacion!A434="","",IF(Facturacion!T434&lt;&gt;"",Facturacion!T434-Facturacion!A434,TODAY()-Facturacion!A434))</f>
        <v/>
      </c>
      <c r="H435" s="139">
        <f>IF(Facturacion!O434="","",Facturacion!O434)</f>
        <v/>
      </c>
      <c r="I435" s="140">
        <f>IF(Facturacion!U434="","",Facturacion!U434)</f>
        <v/>
      </c>
    </row>
    <row r="436" ht="15" customHeight="1" s="83">
      <c r="A436" s="138">
        <f>IF(Facturacion!A435="","",Facturacion!A435)</f>
        <v/>
      </c>
      <c r="B436" s="139">
        <f>IF(Facturacion!E435="","",Facturacion!E435)</f>
        <v/>
      </c>
      <c r="C436" s="139">
        <f>IF(Facturacion!G435="","",Facturacion!G435)</f>
        <v/>
      </c>
      <c r="D436" s="140">
        <f>IF(Facturacion!N435="","",Facturacion!N435)</f>
        <v/>
      </c>
      <c r="E436" s="139">
        <f>IF(Facturacion!S435="","",Facturacion!S435)</f>
        <v/>
      </c>
      <c r="F436" s="138">
        <f>IF(Facturacion!T435="","",Facturacion!T435)</f>
        <v/>
      </c>
      <c r="G436" s="141">
        <f>IF(Facturacion!A435="","",IF(Facturacion!T435&lt;&gt;"",Facturacion!T435-Facturacion!A435,TODAY()-Facturacion!A435))</f>
        <v/>
      </c>
      <c r="H436" s="139">
        <f>IF(Facturacion!O435="","",Facturacion!O435)</f>
        <v/>
      </c>
      <c r="I436" s="140">
        <f>IF(Facturacion!U435="","",Facturacion!U435)</f>
        <v/>
      </c>
    </row>
    <row r="437" ht="15" customHeight="1" s="83">
      <c r="A437" s="138">
        <f>IF(Facturacion!A436="","",Facturacion!A436)</f>
        <v/>
      </c>
      <c r="B437" s="139">
        <f>IF(Facturacion!E436="","",Facturacion!E436)</f>
        <v/>
      </c>
      <c r="C437" s="139">
        <f>IF(Facturacion!G436="","",Facturacion!G436)</f>
        <v/>
      </c>
      <c r="D437" s="140">
        <f>IF(Facturacion!N436="","",Facturacion!N436)</f>
        <v/>
      </c>
      <c r="E437" s="139">
        <f>IF(Facturacion!S436="","",Facturacion!S436)</f>
        <v/>
      </c>
      <c r="F437" s="138">
        <f>IF(Facturacion!T436="","",Facturacion!T436)</f>
        <v/>
      </c>
      <c r="G437" s="141">
        <f>IF(Facturacion!A436="","",IF(Facturacion!T436&lt;&gt;"",Facturacion!T436-Facturacion!A436,TODAY()-Facturacion!A436))</f>
        <v/>
      </c>
      <c r="H437" s="139">
        <f>IF(Facturacion!O436="","",Facturacion!O436)</f>
        <v/>
      </c>
      <c r="I437" s="140">
        <f>IF(Facturacion!U436="","",Facturacion!U436)</f>
        <v/>
      </c>
    </row>
    <row r="438" ht="15" customHeight="1" s="83">
      <c r="A438" s="138">
        <f>IF(Facturacion!A437="","",Facturacion!A437)</f>
        <v/>
      </c>
      <c r="B438" s="139">
        <f>IF(Facturacion!E437="","",Facturacion!E437)</f>
        <v/>
      </c>
      <c r="C438" s="139">
        <f>IF(Facturacion!G437="","",Facturacion!G437)</f>
        <v/>
      </c>
      <c r="D438" s="140">
        <f>IF(Facturacion!N437="","",Facturacion!N437)</f>
        <v/>
      </c>
      <c r="E438" s="139">
        <f>IF(Facturacion!S437="","",Facturacion!S437)</f>
        <v/>
      </c>
      <c r="F438" s="138">
        <f>IF(Facturacion!T437="","",Facturacion!T437)</f>
        <v/>
      </c>
      <c r="G438" s="141">
        <f>IF(Facturacion!A437="","",IF(Facturacion!T437&lt;&gt;"",Facturacion!T437-Facturacion!A437,TODAY()-Facturacion!A437))</f>
        <v/>
      </c>
      <c r="H438" s="139">
        <f>IF(Facturacion!O437="","",Facturacion!O437)</f>
        <v/>
      </c>
      <c r="I438" s="140">
        <f>IF(Facturacion!U437="","",Facturacion!U437)</f>
        <v/>
      </c>
    </row>
    <row r="439" ht="15" customHeight="1" s="83">
      <c r="A439" s="138">
        <f>IF(Facturacion!A438="","",Facturacion!A438)</f>
        <v/>
      </c>
      <c r="B439" s="139">
        <f>IF(Facturacion!E438="","",Facturacion!E438)</f>
        <v/>
      </c>
      <c r="C439" s="139">
        <f>IF(Facturacion!G438="","",Facturacion!G438)</f>
        <v/>
      </c>
      <c r="D439" s="140">
        <f>IF(Facturacion!N438="","",Facturacion!N438)</f>
        <v/>
      </c>
      <c r="E439" s="139">
        <f>IF(Facturacion!S438="","",Facturacion!S438)</f>
        <v/>
      </c>
      <c r="F439" s="138">
        <f>IF(Facturacion!T438="","",Facturacion!T438)</f>
        <v/>
      </c>
      <c r="G439" s="141">
        <f>IF(Facturacion!A438="","",IF(Facturacion!T438&lt;&gt;"",Facturacion!T438-Facturacion!A438,TODAY()-Facturacion!A438))</f>
        <v/>
      </c>
      <c r="H439" s="139">
        <f>IF(Facturacion!O438="","",Facturacion!O438)</f>
        <v/>
      </c>
      <c r="I439" s="140">
        <f>IF(Facturacion!U438="","",Facturacion!U438)</f>
        <v/>
      </c>
    </row>
    <row r="440" ht="15" customHeight="1" s="83">
      <c r="A440" s="138">
        <f>IF(Facturacion!A439="","",Facturacion!A439)</f>
        <v/>
      </c>
      <c r="B440" s="139">
        <f>IF(Facturacion!E439="","",Facturacion!E439)</f>
        <v/>
      </c>
      <c r="C440" s="139">
        <f>IF(Facturacion!G439="","",Facturacion!G439)</f>
        <v/>
      </c>
      <c r="D440" s="140">
        <f>IF(Facturacion!N439="","",Facturacion!N439)</f>
        <v/>
      </c>
      <c r="E440" s="139">
        <f>IF(Facturacion!S439="","",Facturacion!S439)</f>
        <v/>
      </c>
      <c r="F440" s="138">
        <f>IF(Facturacion!T439="","",Facturacion!T439)</f>
        <v/>
      </c>
      <c r="G440" s="141">
        <f>IF(Facturacion!A439="","",IF(Facturacion!T439&lt;&gt;"",Facturacion!T439-Facturacion!A439,TODAY()-Facturacion!A439))</f>
        <v/>
      </c>
      <c r="H440" s="139">
        <f>IF(Facturacion!O439="","",Facturacion!O439)</f>
        <v/>
      </c>
      <c r="I440" s="140">
        <f>IF(Facturacion!U439="","",Facturacion!U439)</f>
        <v/>
      </c>
    </row>
    <row r="441" ht="15" customHeight="1" s="83">
      <c r="A441" s="138">
        <f>IF(Facturacion!A440="","",Facturacion!A440)</f>
        <v/>
      </c>
      <c r="B441" s="139">
        <f>IF(Facturacion!E440="","",Facturacion!E440)</f>
        <v/>
      </c>
      <c r="C441" s="139">
        <f>IF(Facturacion!G440="","",Facturacion!G440)</f>
        <v/>
      </c>
      <c r="D441" s="140">
        <f>IF(Facturacion!N440="","",Facturacion!N440)</f>
        <v/>
      </c>
      <c r="E441" s="139">
        <f>IF(Facturacion!S440="","",Facturacion!S440)</f>
        <v/>
      </c>
      <c r="F441" s="138">
        <f>IF(Facturacion!T440="","",Facturacion!T440)</f>
        <v/>
      </c>
      <c r="G441" s="141">
        <f>IF(Facturacion!A440="","",IF(Facturacion!T440&lt;&gt;"",Facturacion!T440-Facturacion!A440,TODAY()-Facturacion!A440))</f>
        <v/>
      </c>
      <c r="H441" s="139">
        <f>IF(Facturacion!O440="","",Facturacion!O440)</f>
        <v/>
      </c>
      <c r="I441" s="140">
        <f>IF(Facturacion!U440="","",Facturacion!U440)</f>
        <v/>
      </c>
    </row>
    <row r="442" ht="15" customHeight="1" s="83">
      <c r="A442" s="138">
        <f>IF(Facturacion!A441="","",Facturacion!A441)</f>
        <v/>
      </c>
      <c r="B442" s="139">
        <f>IF(Facturacion!E441="","",Facturacion!E441)</f>
        <v/>
      </c>
      <c r="C442" s="139">
        <f>IF(Facturacion!G441="","",Facturacion!G441)</f>
        <v/>
      </c>
      <c r="D442" s="140">
        <f>IF(Facturacion!N441="","",Facturacion!N441)</f>
        <v/>
      </c>
      <c r="E442" s="139">
        <f>IF(Facturacion!S441="","",Facturacion!S441)</f>
        <v/>
      </c>
      <c r="F442" s="138">
        <f>IF(Facturacion!T441="","",Facturacion!T441)</f>
        <v/>
      </c>
      <c r="G442" s="141">
        <f>IF(Facturacion!A441="","",IF(Facturacion!T441&lt;&gt;"",Facturacion!T441-Facturacion!A441,TODAY()-Facturacion!A441))</f>
        <v/>
      </c>
      <c r="H442" s="139">
        <f>IF(Facturacion!O441="","",Facturacion!O441)</f>
        <v/>
      </c>
      <c r="I442" s="140">
        <f>IF(Facturacion!U441="","",Facturacion!U441)</f>
        <v/>
      </c>
    </row>
    <row r="443" ht="15" customHeight="1" s="83">
      <c r="A443" s="138">
        <f>IF(Facturacion!A442="","",Facturacion!A442)</f>
        <v/>
      </c>
      <c r="B443" s="139">
        <f>IF(Facturacion!E442="","",Facturacion!E442)</f>
        <v/>
      </c>
      <c r="C443" s="139">
        <f>IF(Facturacion!G442="","",Facturacion!G442)</f>
        <v/>
      </c>
      <c r="D443" s="140">
        <f>IF(Facturacion!N442="","",Facturacion!N442)</f>
        <v/>
      </c>
      <c r="E443" s="139">
        <f>IF(Facturacion!S442="","",Facturacion!S442)</f>
        <v/>
      </c>
      <c r="F443" s="138">
        <f>IF(Facturacion!T442="","",Facturacion!T442)</f>
        <v/>
      </c>
      <c r="G443" s="141">
        <f>IF(Facturacion!A442="","",IF(Facturacion!T442&lt;&gt;"",Facturacion!T442-Facturacion!A442,TODAY()-Facturacion!A442))</f>
        <v/>
      </c>
      <c r="H443" s="139">
        <f>IF(Facturacion!O442="","",Facturacion!O442)</f>
        <v/>
      </c>
      <c r="I443" s="140">
        <f>IF(Facturacion!U442="","",Facturacion!U442)</f>
        <v/>
      </c>
    </row>
    <row r="444" ht="15" customHeight="1" s="83">
      <c r="A444" s="138">
        <f>IF(Facturacion!A443="","",Facturacion!A443)</f>
        <v/>
      </c>
      <c r="B444" s="139">
        <f>IF(Facturacion!E443="","",Facturacion!E443)</f>
        <v/>
      </c>
      <c r="C444" s="139">
        <f>IF(Facturacion!G443="","",Facturacion!G443)</f>
        <v/>
      </c>
      <c r="D444" s="140">
        <f>IF(Facturacion!N443="","",Facturacion!N443)</f>
        <v/>
      </c>
      <c r="E444" s="139">
        <f>IF(Facturacion!S443="","",Facturacion!S443)</f>
        <v/>
      </c>
      <c r="F444" s="138">
        <f>IF(Facturacion!T443="","",Facturacion!T443)</f>
        <v/>
      </c>
      <c r="G444" s="141">
        <f>IF(Facturacion!A443="","",IF(Facturacion!T443&lt;&gt;"",Facturacion!T443-Facturacion!A443,TODAY()-Facturacion!A443))</f>
        <v/>
      </c>
      <c r="H444" s="139">
        <f>IF(Facturacion!O443="","",Facturacion!O443)</f>
        <v/>
      </c>
      <c r="I444" s="140">
        <f>IF(Facturacion!U443="","",Facturacion!U443)</f>
        <v/>
      </c>
    </row>
    <row r="445" ht="15" customHeight="1" s="83">
      <c r="A445" s="138">
        <f>IF(Facturacion!A444="","",Facturacion!A444)</f>
        <v/>
      </c>
      <c r="B445" s="139">
        <f>IF(Facturacion!E444="","",Facturacion!E444)</f>
        <v/>
      </c>
      <c r="C445" s="139">
        <f>IF(Facturacion!G444="","",Facturacion!G444)</f>
        <v/>
      </c>
      <c r="D445" s="140">
        <f>IF(Facturacion!N444="","",Facturacion!N444)</f>
        <v/>
      </c>
      <c r="E445" s="139">
        <f>IF(Facturacion!S444="","",Facturacion!S444)</f>
        <v/>
      </c>
      <c r="F445" s="138">
        <f>IF(Facturacion!T444="","",Facturacion!T444)</f>
        <v/>
      </c>
      <c r="G445" s="141">
        <f>IF(Facturacion!A444="","",IF(Facturacion!T444&lt;&gt;"",Facturacion!T444-Facturacion!A444,TODAY()-Facturacion!A444))</f>
        <v/>
      </c>
      <c r="H445" s="139">
        <f>IF(Facturacion!O444="","",Facturacion!O444)</f>
        <v/>
      </c>
      <c r="I445" s="140">
        <f>IF(Facturacion!U444="","",Facturacion!U444)</f>
        <v/>
      </c>
    </row>
    <row r="446" ht="15" customHeight="1" s="83">
      <c r="A446" s="138">
        <f>IF(Facturacion!A445="","",Facturacion!A445)</f>
        <v/>
      </c>
      <c r="B446" s="139">
        <f>IF(Facturacion!E445="","",Facturacion!E445)</f>
        <v/>
      </c>
      <c r="C446" s="139">
        <f>IF(Facturacion!G445="","",Facturacion!G445)</f>
        <v/>
      </c>
      <c r="D446" s="140">
        <f>IF(Facturacion!N445="","",Facturacion!N445)</f>
        <v/>
      </c>
      <c r="E446" s="139">
        <f>IF(Facturacion!S445="","",Facturacion!S445)</f>
        <v/>
      </c>
      <c r="F446" s="138">
        <f>IF(Facturacion!T445="","",Facturacion!T445)</f>
        <v/>
      </c>
      <c r="G446" s="141">
        <f>IF(Facturacion!A445="","",IF(Facturacion!T445&lt;&gt;"",Facturacion!T445-Facturacion!A445,TODAY()-Facturacion!A445))</f>
        <v/>
      </c>
      <c r="H446" s="139">
        <f>IF(Facturacion!O445="","",Facturacion!O445)</f>
        <v/>
      </c>
      <c r="I446" s="140">
        <f>IF(Facturacion!U445="","",Facturacion!U445)</f>
        <v/>
      </c>
    </row>
    <row r="447" ht="15" customHeight="1" s="83">
      <c r="A447" s="138">
        <f>IF(Facturacion!A446="","",Facturacion!A446)</f>
        <v/>
      </c>
      <c r="B447" s="139">
        <f>IF(Facturacion!E446="","",Facturacion!E446)</f>
        <v/>
      </c>
      <c r="C447" s="139">
        <f>IF(Facturacion!G446="","",Facturacion!G446)</f>
        <v/>
      </c>
      <c r="D447" s="140">
        <f>IF(Facturacion!N446="","",Facturacion!N446)</f>
        <v/>
      </c>
      <c r="E447" s="139">
        <f>IF(Facturacion!S446="","",Facturacion!S446)</f>
        <v/>
      </c>
      <c r="F447" s="138">
        <f>IF(Facturacion!T446="","",Facturacion!T446)</f>
        <v/>
      </c>
      <c r="G447" s="141">
        <f>IF(Facturacion!A446="","",IF(Facturacion!T446&lt;&gt;"",Facturacion!T446-Facturacion!A446,TODAY()-Facturacion!A446))</f>
        <v/>
      </c>
      <c r="H447" s="139">
        <f>IF(Facturacion!O446="","",Facturacion!O446)</f>
        <v/>
      </c>
      <c r="I447" s="140">
        <f>IF(Facturacion!U446="","",Facturacion!U446)</f>
        <v/>
      </c>
    </row>
    <row r="448" ht="15" customHeight="1" s="83">
      <c r="A448" s="138">
        <f>IF(Facturacion!A447="","",Facturacion!A447)</f>
        <v/>
      </c>
      <c r="B448" s="139">
        <f>IF(Facturacion!E447="","",Facturacion!E447)</f>
        <v/>
      </c>
      <c r="C448" s="139">
        <f>IF(Facturacion!G447="","",Facturacion!G447)</f>
        <v/>
      </c>
      <c r="D448" s="140">
        <f>IF(Facturacion!N447="","",Facturacion!N447)</f>
        <v/>
      </c>
      <c r="E448" s="139">
        <f>IF(Facturacion!S447="","",Facturacion!S447)</f>
        <v/>
      </c>
      <c r="F448" s="138">
        <f>IF(Facturacion!T447="","",Facturacion!T447)</f>
        <v/>
      </c>
      <c r="G448" s="141">
        <f>IF(Facturacion!A447="","",IF(Facturacion!T447&lt;&gt;"",Facturacion!T447-Facturacion!A447,TODAY()-Facturacion!A447))</f>
        <v/>
      </c>
      <c r="H448" s="139">
        <f>IF(Facturacion!O447="","",Facturacion!O447)</f>
        <v/>
      </c>
      <c r="I448" s="140">
        <f>IF(Facturacion!U447="","",Facturacion!U447)</f>
        <v/>
      </c>
    </row>
    <row r="449" ht="15" customHeight="1" s="83">
      <c r="A449" s="138">
        <f>IF(Facturacion!A448="","",Facturacion!A448)</f>
        <v/>
      </c>
      <c r="B449" s="139">
        <f>IF(Facturacion!E448="","",Facturacion!E448)</f>
        <v/>
      </c>
      <c r="C449" s="139">
        <f>IF(Facturacion!G448="","",Facturacion!G448)</f>
        <v/>
      </c>
      <c r="D449" s="140">
        <f>IF(Facturacion!N448="","",Facturacion!N448)</f>
        <v/>
      </c>
      <c r="E449" s="139">
        <f>IF(Facturacion!S448="","",Facturacion!S448)</f>
        <v/>
      </c>
      <c r="F449" s="138">
        <f>IF(Facturacion!T448="","",Facturacion!T448)</f>
        <v/>
      </c>
      <c r="G449" s="141">
        <f>IF(Facturacion!A448="","",IF(Facturacion!T448&lt;&gt;"",Facturacion!T448-Facturacion!A448,TODAY()-Facturacion!A448))</f>
        <v/>
      </c>
      <c r="H449" s="139">
        <f>IF(Facturacion!O448="","",Facturacion!O448)</f>
        <v/>
      </c>
      <c r="I449" s="140">
        <f>IF(Facturacion!U448="","",Facturacion!U448)</f>
        <v/>
      </c>
    </row>
    <row r="450" ht="15" customHeight="1" s="83">
      <c r="A450" s="138">
        <f>IF(Facturacion!A449="","",Facturacion!A449)</f>
        <v/>
      </c>
      <c r="B450" s="139">
        <f>IF(Facturacion!E449="","",Facturacion!E449)</f>
        <v/>
      </c>
      <c r="C450" s="139">
        <f>IF(Facturacion!G449="","",Facturacion!G449)</f>
        <v/>
      </c>
      <c r="D450" s="140">
        <f>IF(Facturacion!N449="","",Facturacion!N449)</f>
        <v/>
      </c>
      <c r="E450" s="139">
        <f>IF(Facturacion!S449="","",Facturacion!S449)</f>
        <v/>
      </c>
      <c r="F450" s="138">
        <f>IF(Facturacion!T449="","",Facturacion!T449)</f>
        <v/>
      </c>
      <c r="G450" s="141">
        <f>IF(Facturacion!A449="","",IF(Facturacion!T449&lt;&gt;"",Facturacion!T449-Facturacion!A449,TODAY()-Facturacion!A449))</f>
        <v/>
      </c>
      <c r="H450" s="139">
        <f>IF(Facturacion!O449="","",Facturacion!O449)</f>
        <v/>
      </c>
      <c r="I450" s="140">
        <f>IF(Facturacion!U449="","",Facturacion!U449)</f>
        <v/>
      </c>
    </row>
    <row r="451" ht="15" customHeight="1" s="83">
      <c r="A451" s="138">
        <f>IF(Facturacion!A450="","",Facturacion!A450)</f>
        <v/>
      </c>
      <c r="B451" s="139">
        <f>IF(Facturacion!E450="","",Facturacion!E450)</f>
        <v/>
      </c>
      <c r="C451" s="139">
        <f>IF(Facturacion!G450="","",Facturacion!G450)</f>
        <v/>
      </c>
      <c r="D451" s="140">
        <f>IF(Facturacion!N450="","",Facturacion!N450)</f>
        <v/>
      </c>
      <c r="E451" s="139">
        <f>IF(Facturacion!S450="","",Facturacion!S450)</f>
        <v/>
      </c>
      <c r="F451" s="138">
        <f>IF(Facturacion!T450="","",Facturacion!T450)</f>
        <v/>
      </c>
      <c r="G451" s="141">
        <f>IF(Facturacion!A450="","",IF(Facturacion!T450&lt;&gt;"",Facturacion!T450-Facturacion!A450,TODAY()-Facturacion!A450))</f>
        <v/>
      </c>
      <c r="H451" s="139">
        <f>IF(Facturacion!O450="","",Facturacion!O450)</f>
        <v/>
      </c>
      <c r="I451" s="140">
        <f>IF(Facturacion!U450="","",Facturacion!U450)</f>
        <v/>
      </c>
    </row>
    <row r="452" ht="15" customHeight="1" s="83">
      <c r="A452" s="138">
        <f>IF(Facturacion!A451="","",Facturacion!A451)</f>
        <v/>
      </c>
      <c r="B452" s="139">
        <f>IF(Facturacion!E451="","",Facturacion!E451)</f>
        <v/>
      </c>
      <c r="C452" s="139">
        <f>IF(Facturacion!G451="","",Facturacion!G451)</f>
        <v/>
      </c>
      <c r="D452" s="140">
        <f>IF(Facturacion!N451="","",Facturacion!N451)</f>
        <v/>
      </c>
      <c r="E452" s="139">
        <f>IF(Facturacion!S451="","",Facturacion!S451)</f>
        <v/>
      </c>
      <c r="F452" s="138">
        <f>IF(Facturacion!T451="","",Facturacion!T451)</f>
        <v/>
      </c>
      <c r="G452" s="141">
        <f>IF(Facturacion!A451="","",IF(Facturacion!T451&lt;&gt;"",Facturacion!T451-Facturacion!A451,TODAY()-Facturacion!A451))</f>
        <v/>
      </c>
      <c r="H452" s="139">
        <f>IF(Facturacion!O451="","",Facturacion!O451)</f>
        <v/>
      </c>
      <c r="I452" s="140">
        <f>IF(Facturacion!U451="","",Facturacion!U451)</f>
        <v/>
      </c>
    </row>
    <row r="453" ht="15" customHeight="1" s="83">
      <c r="A453" s="138">
        <f>IF(Facturacion!A452="","",Facturacion!A452)</f>
        <v/>
      </c>
      <c r="B453" s="139">
        <f>IF(Facturacion!E452="","",Facturacion!E452)</f>
        <v/>
      </c>
      <c r="C453" s="139">
        <f>IF(Facturacion!G452="","",Facturacion!G452)</f>
        <v/>
      </c>
      <c r="D453" s="140">
        <f>IF(Facturacion!N452="","",Facturacion!N452)</f>
        <v/>
      </c>
      <c r="E453" s="139">
        <f>IF(Facturacion!S452="","",Facturacion!S452)</f>
        <v/>
      </c>
      <c r="F453" s="138">
        <f>IF(Facturacion!T452="","",Facturacion!T452)</f>
        <v/>
      </c>
      <c r="G453" s="141">
        <f>IF(Facturacion!A452="","",IF(Facturacion!T452&lt;&gt;"",Facturacion!T452-Facturacion!A452,TODAY()-Facturacion!A452))</f>
        <v/>
      </c>
      <c r="H453" s="139">
        <f>IF(Facturacion!O452="","",Facturacion!O452)</f>
        <v/>
      </c>
      <c r="I453" s="140">
        <f>IF(Facturacion!U452="","",Facturacion!U452)</f>
        <v/>
      </c>
    </row>
    <row r="454" ht="15" customHeight="1" s="83">
      <c r="A454" s="138">
        <f>IF(Facturacion!A453="","",Facturacion!A453)</f>
        <v/>
      </c>
      <c r="B454" s="139">
        <f>IF(Facturacion!E453="","",Facturacion!E453)</f>
        <v/>
      </c>
      <c r="C454" s="139">
        <f>IF(Facturacion!G453="","",Facturacion!G453)</f>
        <v/>
      </c>
      <c r="D454" s="140">
        <f>IF(Facturacion!N453="","",Facturacion!N453)</f>
        <v/>
      </c>
      <c r="E454" s="139">
        <f>IF(Facturacion!S453="","",Facturacion!S453)</f>
        <v/>
      </c>
      <c r="F454" s="138">
        <f>IF(Facturacion!T453="","",Facturacion!T453)</f>
        <v/>
      </c>
      <c r="G454" s="141">
        <f>IF(Facturacion!A453="","",IF(Facturacion!T453&lt;&gt;"",Facturacion!T453-Facturacion!A453,TODAY()-Facturacion!A453))</f>
        <v/>
      </c>
      <c r="H454" s="139">
        <f>IF(Facturacion!O453="","",Facturacion!O453)</f>
        <v/>
      </c>
      <c r="I454" s="140">
        <f>IF(Facturacion!U453="","",Facturacion!U453)</f>
        <v/>
      </c>
    </row>
    <row r="455" ht="15" customHeight="1" s="83">
      <c r="A455" s="138">
        <f>IF(Facturacion!A454="","",Facturacion!A454)</f>
        <v/>
      </c>
      <c r="B455" s="139">
        <f>IF(Facturacion!E454="","",Facturacion!E454)</f>
        <v/>
      </c>
      <c r="C455" s="139">
        <f>IF(Facturacion!G454="","",Facturacion!G454)</f>
        <v/>
      </c>
      <c r="D455" s="140">
        <f>IF(Facturacion!N454="","",Facturacion!N454)</f>
        <v/>
      </c>
      <c r="E455" s="139">
        <f>IF(Facturacion!S454="","",Facturacion!S454)</f>
        <v/>
      </c>
      <c r="F455" s="138">
        <f>IF(Facturacion!T454="","",Facturacion!T454)</f>
        <v/>
      </c>
      <c r="G455" s="141">
        <f>IF(Facturacion!A454="","",IF(Facturacion!T454&lt;&gt;"",Facturacion!T454-Facturacion!A454,TODAY()-Facturacion!A454))</f>
        <v/>
      </c>
      <c r="H455" s="139">
        <f>IF(Facturacion!O454="","",Facturacion!O454)</f>
        <v/>
      </c>
      <c r="I455" s="140">
        <f>IF(Facturacion!U454="","",Facturacion!U454)</f>
        <v/>
      </c>
    </row>
    <row r="456" ht="15" customHeight="1" s="83">
      <c r="A456" s="138">
        <f>IF(Facturacion!A455="","",Facturacion!A455)</f>
        <v/>
      </c>
      <c r="B456" s="139">
        <f>IF(Facturacion!E455="","",Facturacion!E455)</f>
        <v/>
      </c>
      <c r="C456" s="139">
        <f>IF(Facturacion!G455="","",Facturacion!G455)</f>
        <v/>
      </c>
      <c r="D456" s="140">
        <f>IF(Facturacion!N455="","",Facturacion!N455)</f>
        <v/>
      </c>
      <c r="E456" s="139">
        <f>IF(Facturacion!S455="","",Facturacion!S455)</f>
        <v/>
      </c>
      <c r="F456" s="138">
        <f>IF(Facturacion!T455="","",Facturacion!T455)</f>
        <v/>
      </c>
      <c r="G456" s="141">
        <f>IF(Facturacion!A455="","",IF(Facturacion!T455&lt;&gt;"",Facturacion!T455-Facturacion!A455,TODAY()-Facturacion!A455))</f>
        <v/>
      </c>
      <c r="H456" s="139">
        <f>IF(Facturacion!O455="","",Facturacion!O455)</f>
        <v/>
      </c>
      <c r="I456" s="140">
        <f>IF(Facturacion!U455="","",Facturacion!U455)</f>
        <v/>
      </c>
    </row>
    <row r="457" ht="15" customHeight="1" s="83">
      <c r="A457" s="138">
        <f>IF(Facturacion!A456="","",Facturacion!A456)</f>
        <v/>
      </c>
      <c r="B457" s="139">
        <f>IF(Facturacion!E456="","",Facturacion!E456)</f>
        <v/>
      </c>
      <c r="C457" s="139">
        <f>IF(Facturacion!G456="","",Facturacion!G456)</f>
        <v/>
      </c>
      <c r="D457" s="140">
        <f>IF(Facturacion!N456="","",Facturacion!N456)</f>
        <v/>
      </c>
      <c r="E457" s="139">
        <f>IF(Facturacion!S456="","",Facturacion!S456)</f>
        <v/>
      </c>
      <c r="F457" s="138">
        <f>IF(Facturacion!T456="","",Facturacion!T456)</f>
        <v/>
      </c>
      <c r="G457" s="141">
        <f>IF(Facturacion!A456="","",IF(Facturacion!T456&lt;&gt;"",Facturacion!T456-Facturacion!A456,TODAY()-Facturacion!A456))</f>
        <v/>
      </c>
      <c r="H457" s="139">
        <f>IF(Facturacion!O456="","",Facturacion!O456)</f>
        <v/>
      </c>
      <c r="I457" s="140">
        <f>IF(Facturacion!U456="","",Facturacion!U456)</f>
        <v/>
      </c>
    </row>
    <row r="458" ht="15" customHeight="1" s="83">
      <c r="A458" s="138">
        <f>IF(Facturacion!A457="","",Facturacion!A457)</f>
        <v/>
      </c>
      <c r="B458" s="139">
        <f>IF(Facturacion!E457="","",Facturacion!E457)</f>
        <v/>
      </c>
      <c r="C458" s="139">
        <f>IF(Facturacion!G457="","",Facturacion!G457)</f>
        <v/>
      </c>
      <c r="D458" s="140">
        <f>IF(Facturacion!N457="","",Facturacion!N457)</f>
        <v/>
      </c>
      <c r="E458" s="139">
        <f>IF(Facturacion!S457="","",Facturacion!S457)</f>
        <v/>
      </c>
      <c r="F458" s="138">
        <f>IF(Facturacion!T457="","",Facturacion!T457)</f>
        <v/>
      </c>
      <c r="G458" s="141">
        <f>IF(Facturacion!A457="","",IF(Facturacion!T457&lt;&gt;"",Facturacion!T457-Facturacion!A457,TODAY()-Facturacion!A457))</f>
        <v/>
      </c>
      <c r="H458" s="139">
        <f>IF(Facturacion!O457="","",Facturacion!O457)</f>
        <v/>
      </c>
      <c r="I458" s="140">
        <f>IF(Facturacion!U457="","",Facturacion!U457)</f>
        <v/>
      </c>
    </row>
    <row r="459" ht="15" customHeight="1" s="83">
      <c r="A459" s="138">
        <f>IF(Facturacion!A458="","",Facturacion!A458)</f>
        <v/>
      </c>
      <c r="B459" s="139">
        <f>IF(Facturacion!E458="","",Facturacion!E458)</f>
        <v/>
      </c>
      <c r="C459" s="139">
        <f>IF(Facturacion!G458="","",Facturacion!G458)</f>
        <v/>
      </c>
      <c r="D459" s="140">
        <f>IF(Facturacion!N458="","",Facturacion!N458)</f>
        <v/>
      </c>
      <c r="E459" s="139">
        <f>IF(Facturacion!S458="","",Facturacion!S458)</f>
        <v/>
      </c>
      <c r="F459" s="138">
        <f>IF(Facturacion!T458="","",Facturacion!T458)</f>
        <v/>
      </c>
      <c r="G459" s="141">
        <f>IF(Facturacion!A458="","",IF(Facturacion!T458&lt;&gt;"",Facturacion!T458-Facturacion!A458,TODAY()-Facturacion!A458))</f>
        <v/>
      </c>
      <c r="H459" s="139">
        <f>IF(Facturacion!O458="","",Facturacion!O458)</f>
        <v/>
      </c>
      <c r="I459" s="140">
        <f>IF(Facturacion!U458="","",Facturacion!U458)</f>
        <v/>
      </c>
    </row>
    <row r="460" ht="15" customHeight="1" s="83">
      <c r="A460" s="138">
        <f>IF(Facturacion!A459="","",Facturacion!A459)</f>
        <v/>
      </c>
      <c r="B460" s="139">
        <f>IF(Facturacion!E459="","",Facturacion!E459)</f>
        <v/>
      </c>
      <c r="C460" s="139">
        <f>IF(Facturacion!G459="","",Facturacion!G459)</f>
        <v/>
      </c>
      <c r="D460" s="140">
        <f>IF(Facturacion!N459="","",Facturacion!N459)</f>
        <v/>
      </c>
      <c r="E460" s="139">
        <f>IF(Facturacion!S459="","",Facturacion!S459)</f>
        <v/>
      </c>
      <c r="F460" s="138">
        <f>IF(Facturacion!T459="","",Facturacion!T459)</f>
        <v/>
      </c>
      <c r="G460" s="141">
        <f>IF(Facturacion!A459="","",IF(Facturacion!T459&lt;&gt;"",Facturacion!T459-Facturacion!A459,TODAY()-Facturacion!A459))</f>
        <v/>
      </c>
      <c r="H460" s="139">
        <f>IF(Facturacion!O459="","",Facturacion!O459)</f>
        <v/>
      </c>
      <c r="I460" s="140">
        <f>IF(Facturacion!U459="","",Facturacion!U459)</f>
        <v/>
      </c>
    </row>
    <row r="461" ht="15" customHeight="1" s="83">
      <c r="A461" s="138">
        <f>IF(Facturacion!A460="","",Facturacion!A460)</f>
        <v/>
      </c>
      <c r="B461" s="139">
        <f>IF(Facturacion!E460="","",Facturacion!E460)</f>
        <v/>
      </c>
      <c r="C461" s="139">
        <f>IF(Facturacion!G460="","",Facturacion!G460)</f>
        <v/>
      </c>
      <c r="D461" s="140">
        <f>IF(Facturacion!N460="","",Facturacion!N460)</f>
        <v/>
      </c>
      <c r="E461" s="139">
        <f>IF(Facturacion!S460="","",Facturacion!S460)</f>
        <v/>
      </c>
      <c r="F461" s="138">
        <f>IF(Facturacion!T460="","",Facturacion!T460)</f>
        <v/>
      </c>
      <c r="G461" s="141">
        <f>IF(Facturacion!A460="","",IF(Facturacion!T460&lt;&gt;"",Facturacion!T460-Facturacion!A460,TODAY()-Facturacion!A460))</f>
        <v/>
      </c>
      <c r="H461" s="139">
        <f>IF(Facturacion!O460="","",Facturacion!O460)</f>
        <v/>
      </c>
      <c r="I461" s="140">
        <f>IF(Facturacion!U460="","",Facturacion!U460)</f>
        <v/>
      </c>
    </row>
    <row r="462" ht="15" customHeight="1" s="83">
      <c r="A462" s="138">
        <f>IF(Facturacion!A461="","",Facturacion!A461)</f>
        <v/>
      </c>
      <c r="B462" s="139">
        <f>IF(Facturacion!E461="","",Facturacion!E461)</f>
        <v/>
      </c>
      <c r="C462" s="139">
        <f>IF(Facturacion!G461="","",Facturacion!G461)</f>
        <v/>
      </c>
      <c r="D462" s="140">
        <f>IF(Facturacion!N461="","",Facturacion!N461)</f>
        <v/>
      </c>
      <c r="E462" s="139">
        <f>IF(Facturacion!S461="","",Facturacion!S461)</f>
        <v/>
      </c>
      <c r="F462" s="138">
        <f>IF(Facturacion!T461="","",Facturacion!T461)</f>
        <v/>
      </c>
      <c r="G462" s="141">
        <f>IF(Facturacion!A461="","",IF(Facturacion!T461&lt;&gt;"",Facturacion!T461-Facturacion!A461,TODAY()-Facturacion!A461))</f>
        <v/>
      </c>
      <c r="H462" s="139">
        <f>IF(Facturacion!O461="","",Facturacion!O461)</f>
        <v/>
      </c>
      <c r="I462" s="140">
        <f>IF(Facturacion!U461="","",Facturacion!U461)</f>
        <v/>
      </c>
    </row>
    <row r="463" ht="15" customHeight="1" s="83">
      <c r="A463" s="138">
        <f>IF(Facturacion!A462="","",Facturacion!A462)</f>
        <v/>
      </c>
      <c r="B463" s="139">
        <f>IF(Facturacion!E462="","",Facturacion!E462)</f>
        <v/>
      </c>
      <c r="C463" s="139">
        <f>IF(Facturacion!G462="","",Facturacion!G462)</f>
        <v/>
      </c>
      <c r="D463" s="140">
        <f>IF(Facturacion!N462="","",Facturacion!N462)</f>
        <v/>
      </c>
      <c r="E463" s="139">
        <f>IF(Facturacion!S462="","",Facturacion!S462)</f>
        <v/>
      </c>
      <c r="F463" s="138">
        <f>IF(Facturacion!T462="","",Facturacion!T462)</f>
        <v/>
      </c>
      <c r="G463" s="141">
        <f>IF(Facturacion!A462="","",IF(Facturacion!T462&lt;&gt;"",Facturacion!T462-Facturacion!A462,TODAY()-Facturacion!A462))</f>
        <v/>
      </c>
      <c r="H463" s="139">
        <f>IF(Facturacion!O462="","",Facturacion!O462)</f>
        <v/>
      </c>
      <c r="I463" s="140">
        <f>IF(Facturacion!U462="","",Facturacion!U462)</f>
        <v/>
      </c>
    </row>
    <row r="464" ht="15" customHeight="1" s="83">
      <c r="A464" s="138">
        <f>IF(Facturacion!A463="","",Facturacion!A463)</f>
        <v/>
      </c>
      <c r="B464" s="139">
        <f>IF(Facturacion!E463="","",Facturacion!E463)</f>
        <v/>
      </c>
      <c r="C464" s="139">
        <f>IF(Facturacion!G463="","",Facturacion!G463)</f>
        <v/>
      </c>
      <c r="D464" s="140">
        <f>IF(Facturacion!N463="","",Facturacion!N463)</f>
        <v/>
      </c>
      <c r="E464" s="139">
        <f>IF(Facturacion!S463="","",Facturacion!S463)</f>
        <v/>
      </c>
      <c r="F464" s="138">
        <f>IF(Facturacion!T463="","",Facturacion!T463)</f>
        <v/>
      </c>
      <c r="G464" s="141">
        <f>IF(Facturacion!A463="","",IF(Facturacion!T463&lt;&gt;"",Facturacion!T463-Facturacion!A463,TODAY()-Facturacion!A463))</f>
        <v/>
      </c>
      <c r="H464" s="139">
        <f>IF(Facturacion!O463="","",Facturacion!O463)</f>
        <v/>
      </c>
      <c r="I464" s="140">
        <f>IF(Facturacion!U463="","",Facturacion!U463)</f>
        <v/>
      </c>
    </row>
    <row r="465" ht="15" customHeight="1" s="83">
      <c r="A465" s="138">
        <f>IF(Facturacion!A464="","",Facturacion!A464)</f>
        <v/>
      </c>
      <c r="B465" s="139">
        <f>IF(Facturacion!E464="","",Facturacion!E464)</f>
        <v/>
      </c>
      <c r="C465" s="139">
        <f>IF(Facturacion!G464="","",Facturacion!G464)</f>
        <v/>
      </c>
      <c r="D465" s="140">
        <f>IF(Facturacion!N464="","",Facturacion!N464)</f>
        <v/>
      </c>
      <c r="E465" s="139">
        <f>IF(Facturacion!S464="","",Facturacion!S464)</f>
        <v/>
      </c>
      <c r="F465" s="138">
        <f>IF(Facturacion!T464="","",Facturacion!T464)</f>
        <v/>
      </c>
      <c r="G465" s="141">
        <f>IF(Facturacion!A464="","",IF(Facturacion!T464&lt;&gt;"",Facturacion!T464-Facturacion!A464,TODAY()-Facturacion!A464))</f>
        <v/>
      </c>
      <c r="H465" s="139">
        <f>IF(Facturacion!O464="","",Facturacion!O464)</f>
        <v/>
      </c>
      <c r="I465" s="140">
        <f>IF(Facturacion!U464="","",Facturacion!U464)</f>
        <v/>
      </c>
    </row>
    <row r="466" ht="15" customHeight="1" s="83">
      <c r="A466" s="138">
        <f>IF(Facturacion!A465="","",Facturacion!A465)</f>
        <v/>
      </c>
      <c r="B466" s="139">
        <f>IF(Facturacion!E465="","",Facturacion!E465)</f>
        <v/>
      </c>
      <c r="C466" s="139">
        <f>IF(Facturacion!G465="","",Facturacion!G465)</f>
        <v/>
      </c>
      <c r="D466" s="140">
        <f>IF(Facturacion!N465="","",Facturacion!N465)</f>
        <v/>
      </c>
      <c r="E466" s="139">
        <f>IF(Facturacion!S465="","",Facturacion!S465)</f>
        <v/>
      </c>
      <c r="F466" s="138">
        <f>IF(Facturacion!T465="","",Facturacion!T465)</f>
        <v/>
      </c>
      <c r="G466" s="141">
        <f>IF(Facturacion!A465="","",IF(Facturacion!T465&lt;&gt;"",Facturacion!T465-Facturacion!A465,TODAY()-Facturacion!A465))</f>
        <v/>
      </c>
      <c r="H466" s="139">
        <f>IF(Facturacion!O465="","",Facturacion!O465)</f>
        <v/>
      </c>
      <c r="I466" s="140">
        <f>IF(Facturacion!U465="","",Facturacion!U465)</f>
        <v/>
      </c>
    </row>
    <row r="467" ht="15" customHeight="1" s="83">
      <c r="A467" s="138">
        <f>IF(Facturacion!A466="","",Facturacion!A466)</f>
        <v/>
      </c>
      <c r="B467" s="139">
        <f>IF(Facturacion!E466="","",Facturacion!E466)</f>
        <v/>
      </c>
      <c r="C467" s="139">
        <f>IF(Facturacion!G466="","",Facturacion!G466)</f>
        <v/>
      </c>
      <c r="D467" s="140">
        <f>IF(Facturacion!N466="","",Facturacion!N466)</f>
        <v/>
      </c>
      <c r="E467" s="139">
        <f>IF(Facturacion!S466="","",Facturacion!S466)</f>
        <v/>
      </c>
      <c r="F467" s="138">
        <f>IF(Facturacion!T466="","",Facturacion!T466)</f>
        <v/>
      </c>
      <c r="G467" s="141">
        <f>IF(Facturacion!A466="","",IF(Facturacion!T466&lt;&gt;"",Facturacion!T466-Facturacion!A466,TODAY()-Facturacion!A466))</f>
        <v/>
      </c>
      <c r="H467" s="139">
        <f>IF(Facturacion!O466="","",Facturacion!O466)</f>
        <v/>
      </c>
      <c r="I467" s="140">
        <f>IF(Facturacion!U466="","",Facturacion!U466)</f>
        <v/>
      </c>
    </row>
    <row r="468" ht="15" customHeight="1" s="83">
      <c r="A468" s="138">
        <f>IF(Facturacion!A467="","",Facturacion!A467)</f>
        <v/>
      </c>
      <c r="B468" s="139">
        <f>IF(Facturacion!E467="","",Facturacion!E467)</f>
        <v/>
      </c>
      <c r="C468" s="139">
        <f>IF(Facturacion!G467="","",Facturacion!G467)</f>
        <v/>
      </c>
      <c r="D468" s="140">
        <f>IF(Facturacion!N467="","",Facturacion!N467)</f>
        <v/>
      </c>
      <c r="E468" s="139">
        <f>IF(Facturacion!S467="","",Facturacion!S467)</f>
        <v/>
      </c>
      <c r="F468" s="138">
        <f>IF(Facturacion!T467="","",Facturacion!T467)</f>
        <v/>
      </c>
      <c r="G468" s="141">
        <f>IF(Facturacion!A467="","",IF(Facturacion!T467&lt;&gt;"",Facturacion!T467-Facturacion!A467,TODAY()-Facturacion!A467))</f>
        <v/>
      </c>
      <c r="H468" s="139">
        <f>IF(Facturacion!O467="","",Facturacion!O467)</f>
        <v/>
      </c>
      <c r="I468" s="140">
        <f>IF(Facturacion!U467="","",Facturacion!U467)</f>
        <v/>
      </c>
    </row>
    <row r="469" ht="15" customHeight="1" s="83">
      <c r="A469" s="138">
        <f>IF(Facturacion!A468="","",Facturacion!A468)</f>
        <v/>
      </c>
      <c r="B469" s="139">
        <f>IF(Facturacion!E468="","",Facturacion!E468)</f>
        <v/>
      </c>
      <c r="C469" s="139">
        <f>IF(Facturacion!G468="","",Facturacion!G468)</f>
        <v/>
      </c>
      <c r="D469" s="140">
        <f>IF(Facturacion!N468="","",Facturacion!N468)</f>
        <v/>
      </c>
      <c r="E469" s="139">
        <f>IF(Facturacion!S468="","",Facturacion!S468)</f>
        <v/>
      </c>
      <c r="F469" s="138">
        <f>IF(Facturacion!T468="","",Facturacion!T468)</f>
        <v/>
      </c>
      <c r="G469" s="141">
        <f>IF(Facturacion!A468="","",IF(Facturacion!T468&lt;&gt;"",Facturacion!T468-Facturacion!A468,TODAY()-Facturacion!A468))</f>
        <v/>
      </c>
      <c r="H469" s="139">
        <f>IF(Facturacion!O468="","",Facturacion!O468)</f>
        <v/>
      </c>
      <c r="I469" s="140">
        <f>IF(Facturacion!U468="","",Facturacion!U468)</f>
        <v/>
      </c>
    </row>
    <row r="470" ht="15" customHeight="1" s="83">
      <c r="A470" s="138">
        <f>IF(Facturacion!A469="","",Facturacion!A469)</f>
        <v/>
      </c>
      <c r="B470" s="139">
        <f>IF(Facturacion!E469="","",Facturacion!E469)</f>
        <v/>
      </c>
      <c r="C470" s="139">
        <f>IF(Facturacion!G469="","",Facturacion!G469)</f>
        <v/>
      </c>
      <c r="D470" s="140">
        <f>IF(Facturacion!N469="","",Facturacion!N469)</f>
        <v/>
      </c>
      <c r="E470" s="139">
        <f>IF(Facturacion!S469="","",Facturacion!S469)</f>
        <v/>
      </c>
      <c r="F470" s="138">
        <f>IF(Facturacion!T469="","",Facturacion!T469)</f>
        <v/>
      </c>
      <c r="G470" s="141">
        <f>IF(Facturacion!A469="","",IF(Facturacion!T469&lt;&gt;"",Facturacion!T469-Facturacion!A469,TODAY()-Facturacion!A469))</f>
        <v/>
      </c>
      <c r="H470" s="139">
        <f>IF(Facturacion!O469="","",Facturacion!O469)</f>
        <v/>
      </c>
      <c r="I470" s="140">
        <f>IF(Facturacion!U469="","",Facturacion!U469)</f>
        <v/>
      </c>
    </row>
    <row r="471" ht="15" customHeight="1" s="83">
      <c r="A471" s="138">
        <f>IF(Facturacion!A470="","",Facturacion!A470)</f>
        <v/>
      </c>
      <c r="B471" s="139">
        <f>IF(Facturacion!E470="","",Facturacion!E470)</f>
        <v/>
      </c>
      <c r="C471" s="139">
        <f>IF(Facturacion!G470="","",Facturacion!G470)</f>
        <v/>
      </c>
      <c r="D471" s="140">
        <f>IF(Facturacion!N470="","",Facturacion!N470)</f>
        <v/>
      </c>
      <c r="E471" s="139">
        <f>IF(Facturacion!S470="","",Facturacion!S470)</f>
        <v/>
      </c>
      <c r="F471" s="138">
        <f>IF(Facturacion!T470="","",Facturacion!T470)</f>
        <v/>
      </c>
      <c r="G471" s="141">
        <f>IF(Facturacion!A470="","",IF(Facturacion!T470&lt;&gt;"",Facturacion!T470-Facturacion!A470,TODAY()-Facturacion!A470))</f>
        <v/>
      </c>
      <c r="H471" s="139">
        <f>IF(Facturacion!O470="","",Facturacion!O470)</f>
        <v/>
      </c>
      <c r="I471" s="140">
        <f>IF(Facturacion!U470="","",Facturacion!U470)</f>
        <v/>
      </c>
    </row>
    <row r="472" ht="15" customHeight="1" s="83">
      <c r="A472" s="138">
        <f>IF(Facturacion!A471="","",Facturacion!A471)</f>
        <v/>
      </c>
      <c r="B472" s="139">
        <f>IF(Facturacion!E471="","",Facturacion!E471)</f>
        <v/>
      </c>
      <c r="C472" s="139">
        <f>IF(Facturacion!G471="","",Facturacion!G471)</f>
        <v/>
      </c>
      <c r="D472" s="140">
        <f>IF(Facturacion!N471="","",Facturacion!N471)</f>
        <v/>
      </c>
      <c r="E472" s="139">
        <f>IF(Facturacion!S471="","",Facturacion!S471)</f>
        <v/>
      </c>
      <c r="F472" s="138">
        <f>IF(Facturacion!T471="","",Facturacion!T471)</f>
        <v/>
      </c>
      <c r="G472" s="141">
        <f>IF(Facturacion!A471="","",IF(Facturacion!T471&lt;&gt;"",Facturacion!T471-Facturacion!A471,TODAY()-Facturacion!A471))</f>
        <v/>
      </c>
      <c r="H472" s="139">
        <f>IF(Facturacion!O471="","",Facturacion!O471)</f>
        <v/>
      </c>
      <c r="I472" s="140">
        <f>IF(Facturacion!U471="","",Facturacion!U471)</f>
        <v/>
      </c>
    </row>
    <row r="473" ht="15" customHeight="1" s="83">
      <c r="A473" s="138">
        <f>IF(Facturacion!A472="","",Facturacion!A472)</f>
        <v/>
      </c>
      <c r="B473" s="139">
        <f>IF(Facturacion!E472="","",Facturacion!E472)</f>
        <v/>
      </c>
      <c r="C473" s="139">
        <f>IF(Facturacion!G472="","",Facturacion!G472)</f>
        <v/>
      </c>
      <c r="D473" s="140">
        <f>IF(Facturacion!N472="","",Facturacion!N472)</f>
        <v/>
      </c>
      <c r="E473" s="139">
        <f>IF(Facturacion!S472="","",Facturacion!S472)</f>
        <v/>
      </c>
      <c r="F473" s="138">
        <f>IF(Facturacion!T472="","",Facturacion!T472)</f>
        <v/>
      </c>
      <c r="G473" s="141">
        <f>IF(Facturacion!A472="","",IF(Facturacion!T472&lt;&gt;"",Facturacion!T472-Facturacion!A472,TODAY()-Facturacion!A472))</f>
        <v/>
      </c>
      <c r="H473" s="139">
        <f>IF(Facturacion!O472="","",Facturacion!O472)</f>
        <v/>
      </c>
      <c r="I473" s="140">
        <f>IF(Facturacion!U472="","",Facturacion!U472)</f>
        <v/>
      </c>
    </row>
    <row r="474" ht="15" customHeight="1" s="83">
      <c r="A474" s="138">
        <f>IF(Facturacion!A473="","",Facturacion!A473)</f>
        <v/>
      </c>
      <c r="B474" s="139">
        <f>IF(Facturacion!E473="","",Facturacion!E473)</f>
        <v/>
      </c>
      <c r="C474" s="139">
        <f>IF(Facturacion!G473="","",Facturacion!G473)</f>
        <v/>
      </c>
      <c r="D474" s="140">
        <f>IF(Facturacion!N473="","",Facturacion!N473)</f>
        <v/>
      </c>
      <c r="E474" s="139">
        <f>IF(Facturacion!S473="","",Facturacion!S473)</f>
        <v/>
      </c>
      <c r="F474" s="138">
        <f>IF(Facturacion!T473="","",Facturacion!T473)</f>
        <v/>
      </c>
      <c r="G474" s="141">
        <f>IF(Facturacion!A473="","",IF(Facturacion!T473&lt;&gt;"",Facturacion!T473-Facturacion!A473,TODAY()-Facturacion!A473))</f>
        <v/>
      </c>
      <c r="H474" s="139">
        <f>IF(Facturacion!O473="","",Facturacion!O473)</f>
        <v/>
      </c>
      <c r="I474" s="140">
        <f>IF(Facturacion!U473="","",Facturacion!U473)</f>
        <v/>
      </c>
    </row>
    <row r="475" ht="15" customHeight="1" s="83">
      <c r="A475" s="138">
        <f>IF(Facturacion!A474="","",Facturacion!A474)</f>
        <v/>
      </c>
      <c r="B475" s="139">
        <f>IF(Facturacion!E474="","",Facturacion!E474)</f>
        <v/>
      </c>
      <c r="C475" s="139">
        <f>IF(Facturacion!G474="","",Facturacion!G474)</f>
        <v/>
      </c>
      <c r="D475" s="140">
        <f>IF(Facturacion!N474="","",Facturacion!N474)</f>
        <v/>
      </c>
      <c r="E475" s="139">
        <f>IF(Facturacion!S474="","",Facturacion!S474)</f>
        <v/>
      </c>
      <c r="F475" s="138">
        <f>IF(Facturacion!T474="","",Facturacion!T474)</f>
        <v/>
      </c>
      <c r="G475" s="141">
        <f>IF(Facturacion!A474="","",IF(Facturacion!T474&lt;&gt;"",Facturacion!T474-Facturacion!A474,TODAY()-Facturacion!A474))</f>
        <v/>
      </c>
      <c r="H475" s="139">
        <f>IF(Facturacion!O474="","",Facturacion!O474)</f>
        <v/>
      </c>
      <c r="I475" s="140">
        <f>IF(Facturacion!U474="","",Facturacion!U474)</f>
        <v/>
      </c>
    </row>
    <row r="476" ht="15" customHeight="1" s="83">
      <c r="A476" s="138">
        <f>IF(Facturacion!A475="","",Facturacion!A475)</f>
        <v/>
      </c>
      <c r="B476" s="139">
        <f>IF(Facturacion!E475="","",Facturacion!E475)</f>
        <v/>
      </c>
      <c r="C476" s="139">
        <f>IF(Facturacion!G475="","",Facturacion!G475)</f>
        <v/>
      </c>
      <c r="D476" s="140">
        <f>IF(Facturacion!N475="","",Facturacion!N475)</f>
        <v/>
      </c>
      <c r="E476" s="139">
        <f>IF(Facturacion!S475="","",Facturacion!S475)</f>
        <v/>
      </c>
      <c r="F476" s="138">
        <f>IF(Facturacion!T475="","",Facturacion!T475)</f>
        <v/>
      </c>
      <c r="G476" s="141">
        <f>IF(Facturacion!A475="","",IF(Facturacion!T475&lt;&gt;"",Facturacion!T475-Facturacion!A475,TODAY()-Facturacion!A475))</f>
        <v/>
      </c>
      <c r="H476" s="139">
        <f>IF(Facturacion!O475="","",Facturacion!O475)</f>
        <v/>
      </c>
      <c r="I476" s="140">
        <f>IF(Facturacion!U475="","",Facturacion!U475)</f>
        <v/>
      </c>
    </row>
    <row r="477" ht="15" customHeight="1" s="83">
      <c r="A477" s="138">
        <f>IF(Facturacion!A476="","",Facturacion!A476)</f>
        <v/>
      </c>
      <c r="B477" s="139">
        <f>IF(Facturacion!E476="","",Facturacion!E476)</f>
        <v/>
      </c>
      <c r="C477" s="139">
        <f>IF(Facturacion!G476="","",Facturacion!G476)</f>
        <v/>
      </c>
      <c r="D477" s="140">
        <f>IF(Facturacion!N476="","",Facturacion!N476)</f>
        <v/>
      </c>
      <c r="E477" s="139">
        <f>IF(Facturacion!S476="","",Facturacion!S476)</f>
        <v/>
      </c>
      <c r="F477" s="138">
        <f>IF(Facturacion!T476="","",Facturacion!T476)</f>
        <v/>
      </c>
      <c r="G477" s="141">
        <f>IF(Facturacion!A476="","",IF(Facturacion!T476&lt;&gt;"",Facturacion!T476-Facturacion!A476,TODAY()-Facturacion!A476))</f>
        <v/>
      </c>
      <c r="H477" s="139">
        <f>IF(Facturacion!O476="","",Facturacion!O476)</f>
        <v/>
      </c>
      <c r="I477" s="140">
        <f>IF(Facturacion!U476="","",Facturacion!U476)</f>
        <v/>
      </c>
    </row>
    <row r="478" ht="15" customHeight="1" s="83">
      <c r="A478" s="138">
        <f>IF(Facturacion!A477="","",Facturacion!A477)</f>
        <v/>
      </c>
      <c r="B478" s="139">
        <f>IF(Facturacion!E477="","",Facturacion!E477)</f>
        <v/>
      </c>
      <c r="C478" s="139">
        <f>IF(Facturacion!G477="","",Facturacion!G477)</f>
        <v/>
      </c>
      <c r="D478" s="140">
        <f>IF(Facturacion!N477="","",Facturacion!N477)</f>
        <v/>
      </c>
      <c r="E478" s="139">
        <f>IF(Facturacion!S477="","",Facturacion!S477)</f>
        <v/>
      </c>
      <c r="F478" s="138">
        <f>IF(Facturacion!T477="","",Facturacion!T477)</f>
        <v/>
      </c>
      <c r="G478" s="141">
        <f>IF(Facturacion!A477="","",IF(Facturacion!T477&lt;&gt;"",Facturacion!T477-Facturacion!A477,TODAY()-Facturacion!A477))</f>
        <v/>
      </c>
      <c r="H478" s="139">
        <f>IF(Facturacion!O477="","",Facturacion!O477)</f>
        <v/>
      </c>
      <c r="I478" s="140">
        <f>IF(Facturacion!U477="","",Facturacion!U477)</f>
        <v/>
      </c>
    </row>
    <row r="479" ht="15" customHeight="1" s="83">
      <c r="A479" s="138">
        <f>IF(Facturacion!A478="","",Facturacion!A478)</f>
        <v/>
      </c>
      <c r="B479" s="139">
        <f>IF(Facturacion!E478="","",Facturacion!E478)</f>
        <v/>
      </c>
      <c r="C479" s="139">
        <f>IF(Facturacion!G478="","",Facturacion!G478)</f>
        <v/>
      </c>
      <c r="D479" s="140">
        <f>IF(Facturacion!N478="","",Facturacion!N478)</f>
        <v/>
      </c>
      <c r="E479" s="139">
        <f>IF(Facturacion!S478="","",Facturacion!S478)</f>
        <v/>
      </c>
      <c r="F479" s="138">
        <f>IF(Facturacion!T478="","",Facturacion!T478)</f>
        <v/>
      </c>
      <c r="G479" s="141">
        <f>IF(Facturacion!A478="","",IF(Facturacion!T478&lt;&gt;"",Facturacion!T478-Facturacion!A478,TODAY()-Facturacion!A478))</f>
        <v/>
      </c>
      <c r="H479" s="139">
        <f>IF(Facturacion!O478="","",Facturacion!O478)</f>
        <v/>
      </c>
      <c r="I479" s="140">
        <f>IF(Facturacion!U478="","",Facturacion!U478)</f>
        <v/>
      </c>
    </row>
    <row r="480" ht="15" customHeight="1" s="83">
      <c r="A480" s="138">
        <f>IF(Facturacion!A479="","",Facturacion!A479)</f>
        <v/>
      </c>
      <c r="B480" s="139">
        <f>IF(Facturacion!E479="","",Facturacion!E479)</f>
        <v/>
      </c>
      <c r="C480" s="139">
        <f>IF(Facturacion!G479="","",Facturacion!G479)</f>
        <v/>
      </c>
      <c r="D480" s="140">
        <f>IF(Facturacion!N479="","",Facturacion!N479)</f>
        <v/>
      </c>
      <c r="E480" s="139">
        <f>IF(Facturacion!S479="","",Facturacion!S479)</f>
        <v/>
      </c>
      <c r="F480" s="138">
        <f>IF(Facturacion!T479="","",Facturacion!T479)</f>
        <v/>
      </c>
      <c r="G480" s="141">
        <f>IF(Facturacion!A479="","",IF(Facturacion!T479&lt;&gt;"",Facturacion!T479-Facturacion!A479,TODAY()-Facturacion!A479))</f>
        <v/>
      </c>
      <c r="H480" s="139">
        <f>IF(Facturacion!O479="","",Facturacion!O479)</f>
        <v/>
      </c>
      <c r="I480" s="140">
        <f>IF(Facturacion!U479="","",Facturacion!U479)</f>
        <v/>
      </c>
    </row>
    <row r="481" ht="15" customHeight="1" s="83">
      <c r="A481" s="138">
        <f>IF(Facturacion!A480="","",Facturacion!A480)</f>
        <v/>
      </c>
      <c r="B481" s="139">
        <f>IF(Facturacion!E480="","",Facturacion!E480)</f>
        <v/>
      </c>
      <c r="C481" s="139">
        <f>IF(Facturacion!G480="","",Facturacion!G480)</f>
        <v/>
      </c>
      <c r="D481" s="140">
        <f>IF(Facturacion!N480="","",Facturacion!N480)</f>
        <v/>
      </c>
      <c r="E481" s="139">
        <f>IF(Facturacion!S480="","",Facturacion!S480)</f>
        <v/>
      </c>
      <c r="F481" s="138">
        <f>IF(Facturacion!T480="","",Facturacion!T480)</f>
        <v/>
      </c>
      <c r="G481" s="141">
        <f>IF(Facturacion!A480="","",IF(Facturacion!T480&lt;&gt;"",Facturacion!T480-Facturacion!A480,TODAY()-Facturacion!A480))</f>
        <v/>
      </c>
      <c r="H481" s="139">
        <f>IF(Facturacion!O480="","",Facturacion!O480)</f>
        <v/>
      </c>
      <c r="I481" s="140">
        <f>IF(Facturacion!U480="","",Facturacion!U480)</f>
        <v/>
      </c>
    </row>
    <row r="482" ht="15" customHeight="1" s="83">
      <c r="A482" s="138">
        <f>IF(Facturacion!A481="","",Facturacion!A481)</f>
        <v/>
      </c>
      <c r="B482" s="139">
        <f>IF(Facturacion!E481="","",Facturacion!E481)</f>
        <v/>
      </c>
      <c r="C482" s="139">
        <f>IF(Facturacion!G481="","",Facturacion!G481)</f>
        <v/>
      </c>
      <c r="D482" s="140">
        <f>IF(Facturacion!N481="","",Facturacion!N481)</f>
        <v/>
      </c>
      <c r="E482" s="139">
        <f>IF(Facturacion!S481="","",Facturacion!S481)</f>
        <v/>
      </c>
      <c r="F482" s="138">
        <f>IF(Facturacion!T481="","",Facturacion!T481)</f>
        <v/>
      </c>
      <c r="G482" s="141">
        <f>IF(Facturacion!A481="","",IF(Facturacion!T481&lt;&gt;"",Facturacion!T481-Facturacion!A481,TODAY()-Facturacion!A481))</f>
        <v/>
      </c>
      <c r="H482" s="139">
        <f>IF(Facturacion!O481="","",Facturacion!O481)</f>
        <v/>
      </c>
      <c r="I482" s="140">
        <f>IF(Facturacion!U481="","",Facturacion!U481)</f>
        <v/>
      </c>
    </row>
    <row r="483" ht="15" customHeight="1" s="83">
      <c r="A483" s="138">
        <f>IF(Facturacion!A482="","",Facturacion!A482)</f>
        <v/>
      </c>
      <c r="B483" s="139">
        <f>IF(Facturacion!E482="","",Facturacion!E482)</f>
        <v/>
      </c>
      <c r="C483" s="139">
        <f>IF(Facturacion!G482="","",Facturacion!G482)</f>
        <v/>
      </c>
      <c r="D483" s="140">
        <f>IF(Facturacion!N482="","",Facturacion!N482)</f>
        <v/>
      </c>
      <c r="E483" s="139">
        <f>IF(Facturacion!S482="","",Facturacion!S482)</f>
        <v/>
      </c>
      <c r="F483" s="138">
        <f>IF(Facturacion!T482="","",Facturacion!T482)</f>
        <v/>
      </c>
      <c r="G483" s="141">
        <f>IF(Facturacion!A482="","",IF(Facturacion!T482&lt;&gt;"",Facturacion!T482-Facturacion!A482,TODAY()-Facturacion!A482))</f>
        <v/>
      </c>
      <c r="H483" s="139">
        <f>IF(Facturacion!O482="","",Facturacion!O482)</f>
        <v/>
      </c>
      <c r="I483" s="140">
        <f>IF(Facturacion!U482="","",Facturacion!U482)</f>
        <v/>
      </c>
    </row>
    <row r="484" ht="15" customHeight="1" s="83">
      <c r="A484" s="138">
        <f>IF(Facturacion!A483="","",Facturacion!A483)</f>
        <v/>
      </c>
      <c r="B484" s="139">
        <f>IF(Facturacion!E483="","",Facturacion!E483)</f>
        <v/>
      </c>
      <c r="C484" s="139">
        <f>IF(Facturacion!G483="","",Facturacion!G483)</f>
        <v/>
      </c>
      <c r="D484" s="140">
        <f>IF(Facturacion!N483="","",Facturacion!N483)</f>
        <v/>
      </c>
      <c r="E484" s="139">
        <f>IF(Facturacion!S483="","",Facturacion!S483)</f>
        <v/>
      </c>
      <c r="F484" s="138">
        <f>IF(Facturacion!T483="","",Facturacion!T483)</f>
        <v/>
      </c>
      <c r="G484" s="141">
        <f>IF(Facturacion!A483="","",IF(Facturacion!T483&lt;&gt;"",Facturacion!T483-Facturacion!A483,TODAY()-Facturacion!A483))</f>
        <v/>
      </c>
      <c r="H484" s="139">
        <f>IF(Facturacion!O483="","",Facturacion!O483)</f>
        <v/>
      </c>
      <c r="I484" s="140">
        <f>IF(Facturacion!U483="","",Facturacion!U483)</f>
        <v/>
      </c>
    </row>
    <row r="485" ht="15" customHeight="1" s="83">
      <c r="A485" s="138">
        <f>IF(Facturacion!A484="","",Facturacion!A484)</f>
        <v/>
      </c>
      <c r="B485" s="139">
        <f>IF(Facturacion!E484="","",Facturacion!E484)</f>
        <v/>
      </c>
      <c r="C485" s="139">
        <f>IF(Facturacion!G484="","",Facturacion!G484)</f>
        <v/>
      </c>
      <c r="D485" s="140">
        <f>IF(Facturacion!N484="","",Facturacion!N484)</f>
        <v/>
      </c>
      <c r="E485" s="139">
        <f>IF(Facturacion!S484="","",Facturacion!S484)</f>
        <v/>
      </c>
      <c r="F485" s="138">
        <f>IF(Facturacion!T484="","",Facturacion!T484)</f>
        <v/>
      </c>
      <c r="G485" s="141">
        <f>IF(Facturacion!A484="","",IF(Facturacion!T484&lt;&gt;"",Facturacion!T484-Facturacion!A484,TODAY()-Facturacion!A484))</f>
        <v/>
      </c>
      <c r="H485" s="139">
        <f>IF(Facturacion!O484="","",Facturacion!O484)</f>
        <v/>
      </c>
      <c r="I485" s="140">
        <f>IF(Facturacion!U484="","",Facturacion!U484)</f>
        <v/>
      </c>
    </row>
    <row r="486" ht="15" customHeight="1" s="83">
      <c r="A486" s="138">
        <f>IF(Facturacion!A485="","",Facturacion!A485)</f>
        <v/>
      </c>
      <c r="B486" s="139">
        <f>IF(Facturacion!E485="","",Facturacion!E485)</f>
        <v/>
      </c>
      <c r="C486" s="139">
        <f>IF(Facturacion!G485="","",Facturacion!G485)</f>
        <v/>
      </c>
      <c r="D486" s="140">
        <f>IF(Facturacion!N485="","",Facturacion!N485)</f>
        <v/>
      </c>
      <c r="E486" s="139">
        <f>IF(Facturacion!S485="","",Facturacion!S485)</f>
        <v/>
      </c>
      <c r="F486" s="138">
        <f>IF(Facturacion!T485="","",Facturacion!T485)</f>
        <v/>
      </c>
      <c r="G486" s="141">
        <f>IF(Facturacion!A485="","",IF(Facturacion!T485&lt;&gt;"",Facturacion!T485-Facturacion!A485,TODAY()-Facturacion!A485))</f>
        <v/>
      </c>
      <c r="H486" s="139">
        <f>IF(Facturacion!O485="","",Facturacion!O485)</f>
        <v/>
      </c>
      <c r="I486" s="140">
        <f>IF(Facturacion!U485="","",Facturacion!U485)</f>
        <v/>
      </c>
    </row>
    <row r="487" ht="15" customHeight="1" s="83">
      <c r="A487" s="138">
        <f>IF(Facturacion!A486="","",Facturacion!A486)</f>
        <v/>
      </c>
      <c r="B487" s="139">
        <f>IF(Facturacion!E486="","",Facturacion!E486)</f>
        <v/>
      </c>
      <c r="C487" s="139">
        <f>IF(Facturacion!G486="","",Facturacion!G486)</f>
        <v/>
      </c>
      <c r="D487" s="140">
        <f>IF(Facturacion!N486="","",Facturacion!N486)</f>
        <v/>
      </c>
      <c r="E487" s="139">
        <f>IF(Facturacion!S486="","",Facturacion!S486)</f>
        <v/>
      </c>
      <c r="F487" s="138">
        <f>IF(Facturacion!T486="","",Facturacion!T486)</f>
        <v/>
      </c>
      <c r="G487" s="141">
        <f>IF(Facturacion!A486="","",IF(Facturacion!T486&lt;&gt;"",Facturacion!T486-Facturacion!A486,TODAY()-Facturacion!A486))</f>
        <v/>
      </c>
      <c r="H487" s="139">
        <f>IF(Facturacion!O486="","",Facturacion!O486)</f>
        <v/>
      </c>
      <c r="I487" s="140">
        <f>IF(Facturacion!U486="","",Facturacion!U486)</f>
        <v/>
      </c>
    </row>
    <row r="488" ht="15" customHeight="1" s="83">
      <c r="A488" s="138">
        <f>IF(Facturacion!A487="","",Facturacion!A487)</f>
        <v/>
      </c>
      <c r="B488" s="139">
        <f>IF(Facturacion!E487="","",Facturacion!E487)</f>
        <v/>
      </c>
      <c r="C488" s="139">
        <f>IF(Facturacion!G487="","",Facturacion!G487)</f>
        <v/>
      </c>
      <c r="D488" s="140">
        <f>IF(Facturacion!N487="","",Facturacion!N487)</f>
        <v/>
      </c>
      <c r="E488" s="139">
        <f>IF(Facturacion!S487="","",Facturacion!S487)</f>
        <v/>
      </c>
      <c r="F488" s="138">
        <f>IF(Facturacion!T487="","",Facturacion!T487)</f>
        <v/>
      </c>
      <c r="G488" s="141">
        <f>IF(Facturacion!A487="","",IF(Facturacion!T487&lt;&gt;"",Facturacion!T487-Facturacion!A487,TODAY()-Facturacion!A487))</f>
        <v/>
      </c>
      <c r="H488" s="139">
        <f>IF(Facturacion!O487="","",Facturacion!O487)</f>
        <v/>
      </c>
      <c r="I488" s="140">
        <f>IF(Facturacion!U487="","",Facturacion!U487)</f>
        <v/>
      </c>
    </row>
    <row r="489" ht="15" customHeight="1" s="83">
      <c r="A489" s="138">
        <f>IF(Facturacion!A488="","",Facturacion!A488)</f>
        <v/>
      </c>
      <c r="B489" s="139">
        <f>IF(Facturacion!E488="","",Facturacion!E488)</f>
        <v/>
      </c>
      <c r="C489" s="139">
        <f>IF(Facturacion!G488="","",Facturacion!G488)</f>
        <v/>
      </c>
      <c r="D489" s="140">
        <f>IF(Facturacion!N488="","",Facturacion!N488)</f>
        <v/>
      </c>
      <c r="E489" s="139">
        <f>IF(Facturacion!S488="","",Facturacion!S488)</f>
        <v/>
      </c>
      <c r="F489" s="138">
        <f>IF(Facturacion!T488="","",Facturacion!T488)</f>
        <v/>
      </c>
      <c r="G489" s="141">
        <f>IF(Facturacion!A488="","",IF(Facturacion!T488&lt;&gt;"",Facturacion!T488-Facturacion!A488,TODAY()-Facturacion!A488))</f>
        <v/>
      </c>
      <c r="H489" s="139">
        <f>IF(Facturacion!O488="","",Facturacion!O488)</f>
        <v/>
      </c>
      <c r="I489" s="140">
        <f>IF(Facturacion!U488="","",Facturacion!U488)</f>
        <v/>
      </c>
    </row>
    <row r="490" ht="15" customHeight="1" s="83">
      <c r="A490" s="138">
        <f>IF(Facturacion!A489="","",Facturacion!A489)</f>
        <v/>
      </c>
      <c r="B490" s="139">
        <f>IF(Facturacion!E489="","",Facturacion!E489)</f>
        <v/>
      </c>
      <c r="C490" s="139">
        <f>IF(Facturacion!G489="","",Facturacion!G489)</f>
        <v/>
      </c>
      <c r="D490" s="140">
        <f>IF(Facturacion!N489="","",Facturacion!N489)</f>
        <v/>
      </c>
      <c r="E490" s="139">
        <f>IF(Facturacion!S489="","",Facturacion!S489)</f>
        <v/>
      </c>
      <c r="F490" s="138">
        <f>IF(Facturacion!T489="","",Facturacion!T489)</f>
        <v/>
      </c>
      <c r="G490" s="141">
        <f>IF(Facturacion!A489="","",IF(Facturacion!T489&lt;&gt;"",Facturacion!T489-Facturacion!A489,TODAY()-Facturacion!A489))</f>
        <v/>
      </c>
      <c r="H490" s="139">
        <f>IF(Facturacion!O489="","",Facturacion!O489)</f>
        <v/>
      </c>
      <c r="I490" s="140">
        <f>IF(Facturacion!U489="","",Facturacion!U489)</f>
        <v/>
      </c>
    </row>
    <row r="491" ht="15" customHeight="1" s="83">
      <c r="A491" s="138">
        <f>IF(Facturacion!A490="","",Facturacion!A490)</f>
        <v/>
      </c>
      <c r="B491" s="139">
        <f>IF(Facturacion!E490="","",Facturacion!E490)</f>
        <v/>
      </c>
      <c r="C491" s="139">
        <f>IF(Facturacion!G490="","",Facturacion!G490)</f>
        <v/>
      </c>
      <c r="D491" s="140">
        <f>IF(Facturacion!N490="","",Facturacion!N490)</f>
        <v/>
      </c>
      <c r="E491" s="139">
        <f>IF(Facturacion!S490="","",Facturacion!S490)</f>
        <v/>
      </c>
      <c r="F491" s="138">
        <f>IF(Facturacion!T490="","",Facturacion!T490)</f>
        <v/>
      </c>
      <c r="G491" s="141">
        <f>IF(Facturacion!A490="","",IF(Facturacion!T490&lt;&gt;"",Facturacion!T490-Facturacion!A490,TODAY()-Facturacion!A490))</f>
        <v/>
      </c>
      <c r="H491" s="139">
        <f>IF(Facturacion!O490="","",Facturacion!O490)</f>
        <v/>
      </c>
      <c r="I491" s="140">
        <f>IF(Facturacion!U490="","",Facturacion!U490)</f>
        <v/>
      </c>
    </row>
    <row r="492" ht="15" customHeight="1" s="83">
      <c r="A492" s="138">
        <f>IF(Facturacion!A491="","",Facturacion!A491)</f>
        <v/>
      </c>
      <c r="B492" s="139">
        <f>IF(Facturacion!E491="","",Facturacion!E491)</f>
        <v/>
      </c>
      <c r="C492" s="139">
        <f>IF(Facturacion!G491="","",Facturacion!G491)</f>
        <v/>
      </c>
      <c r="D492" s="140">
        <f>IF(Facturacion!N491="","",Facturacion!N491)</f>
        <v/>
      </c>
      <c r="E492" s="139">
        <f>IF(Facturacion!S491="","",Facturacion!S491)</f>
        <v/>
      </c>
      <c r="F492" s="138">
        <f>IF(Facturacion!T491="","",Facturacion!T491)</f>
        <v/>
      </c>
      <c r="G492" s="141">
        <f>IF(Facturacion!A491="","",IF(Facturacion!T491&lt;&gt;"",Facturacion!T491-Facturacion!A491,TODAY()-Facturacion!A491))</f>
        <v/>
      </c>
      <c r="H492" s="139">
        <f>IF(Facturacion!O491="","",Facturacion!O491)</f>
        <v/>
      </c>
      <c r="I492" s="140">
        <f>IF(Facturacion!U491="","",Facturacion!U491)</f>
        <v/>
      </c>
    </row>
    <row r="493" ht="15" customHeight="1" s="83">
      <c r="A493" s="138">
        <f>IF(Facturacion!A492="","",Facturacion!A492)</f>
        <v/>
      </c>
      <c r="B493" s="139">
        <f>IF(Facturacion!E492="","",Facturacion!E492)</f>
        <v/>
      </c>
      <c r="C493" s="139">
        <f>IF(Facturacion!G492="","",Facturacion!G492)</f>
        <v/>
      </c>
      <c r="D493" s="140">
        <f>IF(Facturacion!N492="","",Facturacion!N492)</f>
        <v/>
      </c>
      <c r="E493" s="139">
        <f>IF(Facturacion!S492="","",Facturacion!S492)</f>
        <v/>
      </c>
      <c r="F493" s="138">
        <f>IF(Facturacion!T492="","",Facturacion!T492)</f>
        <v/>
      </c>
      <c r="G493" s="141">
        <f>IF(Facturacion!A492="","",IF(Facturacion!T492&lt;&gt;"",Facturacion!T492-Facturacion!A492,TODAY()-Facturacion!A492))</f>
        <v/>
      </c>
      <c r="H493" s="139">
        <f>IF(Facturacion!O492="","",Facturacion!O492)</f>
        <v/>
      </c>
      <c r="I493" s="140">
        <f>IF(Facturacion!U492="","",Facturacion!U492)</f>
        <v/>
      </c>
    </row>
    <row r="494" ht="15" customHeight="1" s="83">
      <c r="A494" s="138">
        <f>IF(Facturacion!A493="","",Facturacion!A493)</f>
        <v/>
      </c>
      <c r="B494" s="139">
        <f>IF(Facturacion!E493="","",Facturacion!E493)</f>
        <v/>
      </c>
      <c r="C494" s="139">
        <f>IF(Facturacion!G493="","",Facturacion!G493)</f>
        <v/>
      </c>
      <c r="D494" s="140">
        <f>IF(Facturacion!N493="","",Facturacion!N493)</f>
        <v/>
      </c>
      <c r="E494" s="139">
        <f>IF(Facturacion!S493="","",Facturacion!S493)</f>
        <v/>
      </c>
      <c r="F494" s="138">
        <f>IF(Facturacion!T493="","",Facturacion!T493)</f>
        <v/>
      </c>
      <c r="G494" s="141">
        <f>IF(Facturacion!A493="","",IF(Facturacion!T493&lt;&gt;"",Facturacion!T493-Facturacion!A493,TODAY()-Facturacion!A493))</f>
        <v/>
      </c>
      <c r="H494" s="139">
        <f>IF(Facturacion!O493="","",Facturacion!O493)</f>
        <v/>
      </c>
      <c r="I494" s="140">
        <f>IF(Facturacion!U493="","",Facturacion!U493)</f>
        <v/>
      </c>
    </row>
    <row r="495" ht="15" customHeight="1" s="83">
      <c r="A495" s="138">
        <f>IF(Facturacion!A494="","",Facturacion!A494)</f>
        <v/>
      </c>
      <c r="B495" s="139">
        <f>IF(Facturacion!E494="","",Facturacion!E494)</f>
        <v/>
      </c>
      <c r="C495" s="139">
        <f>IF(Facturacion!G494="","",Facturacion!G494)</f>
        <v/>
      </c>
      <c r="D495" s="140">
        <f>IF(Facturacion!N494="","",Facturacion!N494)</f>
        <v/>
      </c>
      <c r="E495" s="139">
        <f>IF(Facturacion!S494="","",Facturacion!S494)</f>
        <v/>
      </c>
      <c r="F495" s="138">
        <f>IF(Facturacion!T494="","",Facturacion!T494)</f>
        <v/>
      </c>
      <c r="G495" s="141">
        <f>IF(Facturacion!A494="","",IF(Facturacion!T494&lt;&gt;"",Facturacion!T494-Facturacion!A494,TODAY()-Facturacion!A494))</f>
        <v/>
      </c>
      <c r="H495" s="139">
        <f>IF(Facturacion!O494="","",Facturacion!O494)</f>
        <v/>
      </c>
      <c r="I495" s="140">
        <f>IF(Facturacion!U494="","",Facturacion!U494)</f>
        <v/>
      </c>
    </row>
    <row r="496" ht="15" customHeight="1" s="83">
      <c r="A496" s="138">
        <f>IF(Facturacion!A495="","",Facturacion!A495)</f>
        <v/>
      </c>
      <c r="B496" s="139">
        <f>IF(Facturacion!E495="","",Facturacion!E495)</f>
        <v/>
      </c>
      <c r="C496" s="139">
        <f>IF(Facturacion!G495="","",Facturacion!G495)</f>
        <v/>
      </c>
      <c r="D496" s="140">
        <f>IF(Facturacion!N495="","",Facturacion!N495)</f>
        <v/>
      </c>
      <c r="E496" s="139">
        <f>IF(Facturacion!S495="","",Facturacion!S495)</f>
        <v/>
      </c>
      <c r="F496" s="138">
        <f>IF(Facturacion!T495="","",Facturacion!T495)</f>
        <v/>
      </c>
      <c r="G496" s="141">
        <f>IF(Facturacion!A495="","",IF(Facturacion!T495&lt;&gt;"",Facturacion!T495-Facturacion!A495,TODAY()-Facturacion!A495))</f>
        <v/>
      </c>
      <c r="H496" s="139">
        <f>IF(Facturacion!O495="","",Facturacion!O495)</f>
        <v/>
      </c>
      <c r="I496" s="140">
        <f>IF(Facturacion!U495="","",Facturacion!U495)</f>
        <v/>
      </c>
    </row>
    <row r="497" ht="15" customHeight="1" s="83">
      <c r="A497" s="138">
        <f>IF(Facturacion!A496="","",Facturacion!A496)</f>
        <v/>
      </c>
      <c r="B497" s="139">
        <f>IF(Facturacion!E496="","",Facturacion!E496)</f>
        <v/>
      </c>
      <c r="C497" s="139">
        <f>IF(Facturacion!G496="","",Facturacion!G496)</f>
        <v/>
      </c>
      <c r="D497" s="140">
        <f>IF(Facturacion!N496="","",Facturacion!N496)</f>
        <v/>
      </c>
      <c r="E497" s="139">
        <f>IF(Facturacion!S496="","",Facturacion!S496)</f>
        <v/>
      </c>
      <c r="F497" s="138">
        <f>IF(Facturacion!T496="","",Facturacion!T496)</f>
        <v/>
      </c>
      <c r="G497" s="141">
        <f>IF(Facturacion!A496="","",IF(Facturacion!T496&lt;&gt;"",Facturacion!T496-Facturacion!A496,TODAY()-Facturacion!A496))</f>
        <v/>
      </c>
      <c r="H497" s="139">
        <f>IF(Facturacion!O496="","",Facturacion!O496)</f>
        <v/>
      </c>
      <c r="I497" s="140">
        <f>IF(Facturacion!U496="","",Facturacion!U496)</f>
        <v/>
      </c>
    </row>
    <row r="498" ht="15" customHeight="1" s="83">
      <c r="A498" s="138">
        <f>IF(Facturacion!A497="","",Facturacion!A497)</f>
        <v/>
      </c>
      <c r="B498" s="139">
        <f>IF(Facturacion!E497="","",Facturacion!E497)</f>
        <v/>
      </c>
      <c r="C498" s="139">
        <f>IF(Facturacion!G497="","",Facturacion!G497)</f>
        <v/>
      </c>
      <c r="D498" s="140">
        <f>IF(Facturacion!N497="","",Facturacion!N497)</f>
        <v/>
      </c>
      <c r="E498" s="139">
        <f>IF(Facturacion!S497="","",Facturacion!S497)</f>
        <v/>
      </c>
      <c r="F498" s="138">
        <f>IF(Facturacion!T497="","",Facturacion!T497)</f>
        <v/>
      </c>
      <c r="G498" s="141">
        <f>IF(Facturacion!A497="","",IF(Facturacion!T497&lt;&gt;"",Facturacion!T497-Facturacion!A497,TODAY()-Facturacion!A497))</f>
        <v/>
      </c>
      <c r="H498" s="139">
        <f>IF(Facturacion!O497="","",Facturacion!O497)</f>
        <v/>
      </c>
      <c r="I498" s="140">
        <f>IF(Facturacion!U497="","",Facturacion!U497)</f>
        <v/>
      </c>
    </row>
    <row r="499" ht="15" customHeight="1" s="83">
      <c r="A499" s="138">
        <f>IF(Facturacion!A498="","",Facturacion!A498)</f>
        <v/>
      </c>
      <c r="B499" s="139">
        <f>IF(Facturacion!E498="","",Facturacion!E498)</f>
        <v/>
      </c>
      <c r="C499" s="139">
        <f>IF(Facturacion!G498="","",Facturacion!G498)</f>
        <v/>
      </c>
      <c r="D499" s="140">
        <f>IF(Facturacion!N498="","",Facturacion!N498)</f>
        <v/>
      </c>
      <c r="E499" s="139">
        <f>IF(Facturacion!S498="","",Facturacion!S498)</f>
        <v/>
      </c>
      <c r="F499" s="138">
        <f>IF(Facturacion!T498="","",Facturacion!T498)</f>
        <v/>
      </c>
      <c r="G499" s="141">
        <f>IF(Facturacion!A498="","",IF(Facturacion!T498&lt;&gt;"",Facturacion!T498-Facturacion!A498,TODAY()-Facturacion!A498))</f>
        <v/>
      </c>
      <c r="H499" s="139">
        <f>IF(Facturacion!O498="","",Facturacion!O498)</f>
        <v/>
      </c>
      <c r="I499" s="140">
        <f>IF(Facturacion!U498="","",Facturacion!U498)</f>
        <v/>
      </c>
    </row>
    <row r="500" ht="15" customHeight="1" s="83">
      <c r="A500" s="138">
        <f>IF(Facturacion!A499="","",Facturacion!A499)</f>
        <v/>
      </c>
      <c r="B500" s="139">
        <f>IF(Facturacion!E499="","",Facturacion!E499)</f>
        <v/>
      </c>
      <c r="C500" s="139">
        <f>IF(Facturacion!G499="","",Facturacion!G499)</f>
        <v/>
      </c>
      <c r="D500" s="140">
        <f>IF(Facturacion!N499="","",Facturacion!N499)</f>
        <v/>
      </c>
      <c r="E500" s="139">
        <f>IF(Facturacion!S499="","",Facturacion!S499)</f>
        <v/>
      </c>
      <c r="F500" s="138">
        <f>IF(Facturacion!T499="","",Facturacion!T499)</f>
        <v/>
      </c>
      <c r="G500" s="141">
        <f>IF(Facturacion!A499="","",IF(Facturacion!T499&lt;&gt;"",Facturacion!T499-Facturacion!A499,TODAY()-Facturacion!A499))</f>
        <v/>
      </c>
      <c r="H500" s="139">
        <f>IF(Facturacion!O499="","",Facturacion!O499)</f>
        <v/>
      </c>
      <c r="I500" s="140">
        <f>IF(Facturacion!U499="","",Facturacion!U499)</f>
        <v/>
      </c>
    </row>
    <row r="501" ht="15" customHeight="1" s="83">
      <c r="A501" s="138">
        <f>IF(Facturacion!A500="","",Facturacion!A500)</f>
        <v/>
      </c>
      <c r="B501" s="139">
        <f>IF(Facturacion!E500="","",Facturacion!E500)</f>
        <v/>
      </c>
      <c r="C501" s="139">
        <f>IF(Facturacion!G500="","",Facturacion!G500)</f>
        <v/>
      </c>
      <c r="D501" s="140">
        <f>IF(Facturacion!N500="","",Facturacion!N500)</f>
        <v/>
      </c>
      <c r="E501" s="139">
        <f>IF(Facturacion!S500="","",Facturacion!S500)</f>
        <v/>
      </c>
      <c r="F501" s="138">
        <f>IF(Facturacion!T500="","",Facturacion!T500)</f>
        <v/>
      </c>
      <c r="G501" s="141">
        <f>IF(Facturacion!A500="","",IF(Facturacion!T500&lt;&gt;"",Facturacion!T500-Facturacion!A500,TODAY()-Facturacion!A500))</f>
        <v/>
      </c>
      <c r="H501" s="139">
        <f>IF(Facturacion!O500="","",Facturacion!O500)</f>
        <v/>
      </c>
      <c r="I501" s="140">
        <f>IF(Facturacion!U500="","",Facturacion!U500)</f>
        <v/>
      </c>
    </row>
    <row r="502" ht="15" customHeight="1" s="83">
      <c r="A502" s="138">
        <f>IF(Facturacion!A501="","",Facturacion!A501)</f>
        <v/>
      </c>
      <c r="B502" s="139">
        <f>IF(Facturacion!E501="","",Facturacion!E501)</f>
        <v/>
      </c>
      <c r="C502" s="139">
        <f>IF(Facturacion!G501="","",Facturacion!G501)</f>
        <v/>
      </c>
      <c r="D502" s="140">
        <f>IF(Facturacion!N501="","",Facturacion!N501)</f>
        <v/>
      </c>
      <c r="E502" s="139">
        <f>IF(Facturacion!S501="","",Facturacion!S501)</f>
        <v/>
      </c>
      <c r="F502" s="138">
        <f>IF(Facturacion!T501="","",Facturacion!T501)</f>
        <v/>
      </c>
      <c r="G502" s="141">
        <f>IF(Facturacion!A501="","",IF(Facturacion!T501&lt;&gt;"",Facturacion!T501-Facturacion!A501,TODAY()-Facturacion!A501))</f>
        <v/>
      </c>
      <c r="H502" s="139">
        <f>IF(Facturacion!O501="","",Facturacion!O501)</f>
        <v/>
      </c>
      <c r="I502" s="140">
        <f>IF(Facturacion!U501="","",Facturacion!U501)</f>
        <v/>
      </c>
    </row>
  </sheetData>
  <mergeCells count="2">
    <mergeCell ref="A1:I1"/>
    <mergeCell ref="K2:L2"/>
  </mergeCells>
  <conditionalFormatting sqref="E3:E502">
    <cfRule type="cellIs" rank="0" priority="2" equalAverage="0" operator="equal" aboveAverage="0" dxfId="1" text="" percent="0" bottom="0">
      <formula>"Cobrada"</formula>
    </cfRule>
    <cfRule type="cellIs" rank="0" priority="3" equalAverage="0" operator="equal" aboveAverage="0" dxfId="2" text="" percent="0" bottom="0">
      <formula>"Pendiente"</formula>
    </cfRule>
    <cfRule type="cellIs" rank="0" priority="4" equalAverage="0" operator="equal" aboveAverage="0" dxfId="0" text="" percent="0" bottom="0">
      <formula>"Vencida"</formula>
    </cfRule>
  </conditionalFormatting>
  <conditionalFormatting sqref="G3:G502">
    <cfRule type="expression" rank="0" priority="5" equalAverage="0" aboveAverage="0" dxfId="0" text="" percent="0" bottom="0">
      <formula>AND($G3&gt;30,$E3="Pendiente")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82" min="1" max="1"/>
    <col width="14" customWidth="1" style="82" min="2" max="13"/>
    <col width="16" customWidth="1" style="82" min="14" max="14"/>
    <col width="28" customWidth="1" style="82" min="15" max="15"/>
  </cols>
  <sheetData>
    <row r="1" ht="17.25" customHeight="1" s="83">
      <c r="A1" s="129" t="inlineStr">
        <is>
          <t>CÁLCULO DE IMPUESTOS APROXIMADO - 2026</t>
        </is>
      </c>
    </row>
    <row r="2" ht="27.75" customHeight="1" s="83">
      <c r="A2" s="100" t="inlineStr">
        <is>
          <t>Concepto</t>
        </is>
      </c>
      <c r="B2" s="100" t="inlineStr">
        <is>
          <t>Ene</t>
        </is>
      </c>
      <c r="C2" s="100" t="inlineStr">
        <is>
          <t>Feb</t>
        </is>
      </c>
      <c r="D2" s="100" t="inlineStr">
        <is>
          <t>Mar</t>
        </is>
      </c>
      <c r="E2" s="100" t="inlineStr">
        <is>
          <t>Abr</t>
        </is>
      </c>
      <c r="F2" s="100" t="inlineStr">
        <is>
          <t>May</t>
        </is>
      </c>
      <c r="G2" s="100" t="inlineStr">
        <is>
          <t>Jun</t>
        </is>
      </c>
      <c r="H2" s="100" t="inlineStr">
        <is>
          <t>Jul</t>
        </is>
      </c>
      <c r="I2" s="100" t="inlineStr">
        <is>
          <t>Ago</t>
        </is>
      </c>
      <c r="J2" s="100" t="inlineStr">
        <is>
          <t>Sep</t>
        </is>
      </c>
      <c r="K2" s="100" t="inlineStr">
        <is>
          <t>Oct</t>
        </is>
      </c>
      <c r="L2" s="100" t="inlineStr">
        <is>
          <t>Nov</t>
        </is>
      </c>
      <c r="M2" s="100" t="inlineStr">
        <is>
          <t>Dic</t>
        </is>
      </c>
      <c r="N2" s="100" t="inlineStr">
        <is>
          <t>Total Año</t>
        </is>
      </c>
      <c r="O2" s="100" t="inlineStr">
        <is>
          <t>Notas</t>
        </is>
      </c>
    </row>
    <row r="3" ht="15" customHeight="1" s="83">
      <c r="A3" s="143" t="inlineStr">
        <is>
          <t>BASE: Facturación mensual</t>
        </is>
      </c>
      <c r="B3" s="144" t="n"/>
      <c r="C3" s="144" t="n"/>
      <c r="D3" s="144" t="n"/>
      <c r="E3" s="144" t="n"/>
      <c r="F3" s="144" t="n"/>
      <c r="G3" s="144" t="n"/>
      <c r="H3" s="144" t="n"/>
      <c r="I3" s="144" t="n"/>
      <c r="J3" s="144" t="n"/>
      <c r="K3" s="144" t="n"/>
      <c r="L3" s="144" t="n"/>
      <c r="M3" s="144" t="n"/>
      <c r="N3" s="144" t="n"/>
      <c r="O3" s="144" t="n"/>
    </row>
    <row r="4" ht="15" customHeight="1" s="83">
      <c r="A4" s="101" t="inlineStr">
        <is>
          <t>Total Facturado (Neto + Exento)</t>
        </is>
      </c>
      <c r="B4" s="140">
        <f>SUMIFS(Fac_Neto,Fac_Mes,1,Fac_Anio,2026,Fac_EstadoAFIP,"&lt;&gt;Anulada")+SUMIFS(Fac_NoGrav,Fac_Mes,1,Fac_Anio,2026,Fac_EstadoAFIP,"&lt;&gt;Anulada")</f>
        <v/>
      </c>
      <c r="C4" s="140">
        <f>SUMIFS(Fac_Neto,Fac_Mes,2,Fac_Anio,2026,Fac_EstadoAFIP,"&lt;&gt;Anulada")+SUMIFS(Fac_NoGrav,Fac_Mes,2,Fac_Anio,2026,Fac_EstadoAFIP,"&lt;&gt;Anulada")</f>
        <v/>
      </c>
      <c r="D4" s="140">
        <f>SUMIFS(Fac_Neto,Fac_Mes,3,Fac_Anio,2026,Fac_EstadoAFIP,"&lt;&gt;Anulada")+SUMIFS(Fac_NoGrav,Fac_Mes,3,Fac_Anio,2026,Fac_EstadoAFIP,"&lt;&gt;Anulada")</f>
        <v/>
      </c>
      <c r="E4" s="140">
        <f>SUMIFS(Fac_Neto,Fac_Mes,4,Fac_Anio,2026,Fac_EstadoAFIP,"&lt;&gt;Anulada")+SUMIFS(Fac_NoGrav,Fac_Mes,4,Fac_Anio,2026,Fac_EstadoAFIP,"&lt;&gt;Anulada")</f>
        <v/>
      </c>
      <c r="F4" s="140">
        <f>SUMIFS(Fac_Neto,Fac_Mes,5,Fac_Anio,2026,Fac_EstadoAFIP,"&lt;&gt;Anulada")+SUMIFS(Fac_NoGrav,Fac_Mes,5,Fac_Anio,2026,Fac_EstadoAFIP,"&lt;&gt;Anulada")</f>
        <v/>
      </c>
      <c r="G4" s="140">
        <f>SUMIFS(Fac_Neto,Fac_Mes,6,Fac_Anio,2026,Fac_EstadoAFIP,"&lt;&gt;Anulada")+SUMIFS(Fac_NoGrav,Fac_Mes,6,Fac_Anio,2026,Fac_EstadoAFIP,"&lt;&gt;Anulada")</f>
        <v/>
      </c>
      <c r="H4" s="140">
        <f>SUMIFS(Fac_Neto,Fac_Mes,7,Fac_Anio,2026,Fac_EstadoAFIP,"&lt;&gt;Anulada")+SUMIFS(Fac_NoGrav,Fac_Mes,7,Fac_Anio,2026,Fac_EstadoAFIP,"&lt;&gt;Anulada")</f>
        <v/>
      </c>
      <c r="I4" s="140">
        <f>SUMIFS(Fac_Neto,Fac_Mes,8,Fac_Anio,2026,Fac_EstadoAFIP,"&lt;&gt;Anulada")+SUMIFS(Fac_NoGrav,Fac_Mes,8,Fac_Anio,2026,Fac_EstadoAFIP,"&lt;&gt;Anulada")</f>
        <v/>
      </c>
      <c r="J4" s="140">
        <f>SUMIFS(Fac_Neto,Fac_Mes,9,Fac_Anio,2026,Fac_EstadoAFIP,"&lt;&gt;Anulada")+SUMIFS(Fac_NoGrav,Fac_Mes,9,Fac_Anio,2026,Fac_EstadoAFIP,"&lt;&gt;Anulada")</f>
        <v/>
      </c>
      <c r="K4" s="140">
        <f>SUMIFS(Fac_Neto,Fac_Mes,10,Fac_Anio,2026,Fac_EstadoAFIP,"&lt;&gt;Anulada")+SUMIFS(Fac_NoGrav,Fac_Mes,10,Fac_Anio,2026,Fac_EstadoAFIP,"&lt;&gt;Anulada")</f>
        <v/>
      </c>
      <c r="L4" s="140">
        <f>SUMIFS(Fac_Neto,Fac_Mes,11,Fac_Anio,2026,Fac_EstadoAFIP,"&lt;&gt;Anulada")+SUMIFS(Fac_NoGrav,Fac_Mes,11,Fac_Anio,2026,Fac_EstadoAFIP,"&lt;&gt;Anulada")</f>
        <v/>
      </c>
      <c r="M4" s="140">
        <f>SUMIFS(Fac_Neto,Fac_Mes,12,Fac_Anio,2026,Fac_EstadoAFIP,"&lt;&gt;Anulada")+SUMIFS(Fac_NoGrav,Fac_Mes,12,Fac_Anio,2026,Fac_EstadoAFIP,"&lt;&gt;Anulada")</f>
        <v/>
      </c>
      <c r="N4" s="145">
        <f>SUM(B4:M4)</f>
        <v/>
      </c>
      <c r="O4" s="103" t="inlineStr">
        <is>
          <t>Suma de Neto Gravado + No Gravado/Exento</t>
        </is>
      </c>
    </row>
    <row r="5" ht="15" customHeight="1" s="83">
      <c r="A5" s="101" t="inlineStr">
        <is>
          <t xml:space="preserve">  → Actividad 702010 (Gerenciamiento)</t>
        </is>
      </c>
      <c r="B5" s="140">
        <f>SUMIFS(Fac_Neto,Fac_Mes,1,Fac_Anio,2026,Fac_EstadoAFIP,"&lt;&gt;Anulada",Fac_Actividad,702010)+SUMIFS(Fac_NoGrav,Fac_Mes,1,Fac_Anio,2026,Fac_EstadoAFIP,"&lt;&gt;Anulada",Fac_Actividad,702010)</f>
        <v/>
      </c>
      <c r="C5" s="140">
        <f>SUMIFS(Fac_Neto,Fac_Mes,2,Fac_Anio,2026,Fac_EstadoAFIP,"&lt;&gt;Anulada",Fac_Actividad,702010)+SUMIFS(Fac_NoGrav,Fac_Mes,2,Fac_Anio,2026,Fac_EstadoAFIP,"&lt;&gt;Anulada",Fac_Actividad,702010)</f>
        <v/>
      </c>
      <c r="D5" s="140">
        <f>SUMIFS(Fac_Neto,Fac_Mes,3,Fac_Anio,2026,Fac_EstadoAFIP,"&lt;&gt;Anulada",Fac_Actividad,702010)+SUMIFS(Fac_NoGrav,Fac_Mes,3,Fac_Anio,2026,Fac_EstadoAFIP,"&lt;&gt;Anulada",Fac_Actividad,702010)</f>
        <v/>
      </c>
      <c r="E5" s="140">
        <f>SUMIFS(Fac_Neto,Fac_Mes,4,Fac_Anio,2026,Fac_EstadoAFIP,"&lt;&gt;Anulada",Fac_Actividad,702010)+SUMIFS(Fac_NoGrav,Fac_Mes,4,Fac_Anio,2026,Fac_EstadoAFIP,"&lt;&gt;Anulada",Fac_Actividad,702010)</f>
        <v/>
      </c>
      <c r="F5" s="140">
        <f>SUMIFS(Fac_Neto,Fac_Mes,5,Fac_Anio,2026,Fac_EstadoAFIP,"&lt;&gt;Anulada",Fac_Actividad,702010)+SUMIFS(Fac_NoGrav,Fac_Mes,5,Fac_Anio,2026,Fac_EstadoAFIP,"&lt;&gt;Anulada",Fac_Actividad,702010)</f>
        <v/>
      </c>
      <c r="G5" s="140">
        <f>SUMIFS(Fac_Neto,Fac_Mes,6,Fac_Anio,2026,Fac_EstadoAFIP,"&lt;&gt;Anulada",Fac_Actividad,702010)+SUMIFS(Fac_NoGrav,Fac_Mes,6,Fac_Anio,2026,Fac_EstadoAFIP,"&lt;&gt;Anulada",Fac_Actividad,702010)</f>
        <v/>
      </c>
      <c r="H5" s="140">
        <f>SUMIFS(Fac_Neto,Fac_Mes,7,Fac_Anio,2026,Fac_EstadoAFIP,"&lt;&gt;Anulada",Fac_Actividad,702010)+SUMIFS(Fac_NoGrav,Fac_Mes,7,Fac_Anio,2026,Fac_EstadoAFIP,"&lt;&gt;Anulada",Fac_Actividad,702010)</f>
        <v/>
      </c>
      <c r="I5" s="140">
        <f>SUMIFS(Fac_Neto,Fac_Mes,8,Fac_Anio,2026,Fac_EstadoAFIP,"&lt;&gt;Anulada",Fac_Actividad,702010)+SUMIFS(Fac_NoGrav,Fac_Mes,8,Fac_Anio,2026,Fac_EstadoAFIP,"&lt;&gt;Anulada",Fac_Actividad,702010)</f>
        <v/>
      </c>
      <c r="J5" s="140">
        <f>SUMIFS(Fac_Neto,Fac_Mes,9,Fac_Anio,2026,Fac_EstadoAFIP,"&lt;&gt;Anulada",Fac_Actividad,702010)+SUMIFS(Fac_NoGrav,Fac_Mes,9,Fac_Anio,2026,Fac_EstadoAFIP,"&lt;&gt;Anulada",Fac_Actividad,702010)</f>
        <v/>
      </c>
      <c r="K5" s="140">
        <f>SUMIFS(Fac_Neto,Fac_Mes,10,Fac_Anio,2026,Fac_EstadoAFIP,"&lt;&gt;Anulada",Fac_Actividad,702010)+SUMIFS(Fac_NoGrav,Fac_Mes,10,Fac_Anio,2026,Fac_EstadoAFIP,"&lt;&gt;Anulada",Fac_Actividad,702010)</f>
        <v/>
      </c>
      <c r="L5" s="140">
        <f>SUMIFS(Fac_Neto,Fac_Mes,11,Fac_Anio,2026,Fac_EstadoAFIP,"&lt;&gt;Anulada",Fac_Actividad,702010)+SUMIFS(Fac_NoGrav,Fac_Mes,11,Fac_Anio,2026,Fac_EstadoAFIP,"&lt;&gt;Anulada",Fac_Actividad,702010)</f>
        <v/>
      </c>
      <c r="M5" s="140">
        <f>SUMIFS(Fac_Neto,Fac_Mes,12,Fac_Anio,2026,Fac_EstadoAFIP,"&lt;&gt;Anulada",Fac_Actividad,702010)+SUMIFS(Fac_NoGrav,Fac_Mes,12,Fac_Anio,2026,Fac_EstadoAFIP,"&lt;&gt;Anulada",Fac_Actividad,702010)</f>
        <v/>
      </c>
      <c r="N5" s="145">
        <f>SUM(B5:M5)</f>
        <v/>
      </c>
    </row>
    <row r="6" ht="15" customHeight="1" s="83">
      <c r="A6" s="101" t="inlineStr">
        <is>
          <t xml:space="preserve">  → Actividad 651110 (Seguros)</t>
        </is>
      </c>
      <c r="B6" s="140">
        <f>SUMIFS(Fac_Neto,Fac_Mes,1,Fac_Anio,2026,Fac_EstadoAFIP,"&lt;&gt;Anulada",Fac_Actividad,651110)+SUMIFS(Fac_NoGrav,Fac_Mes,1,Fac_Anio,2026,Fac_EstadoAFIP,"&lt;&gt;Anulada",Fac_Actividad,651110)</f>
        <v/>
      </c>
      <c r="C6" s="140">
        <f>SUMIFS(Fac_Neto,Fac_Mes,2,Fac_Anio,2026,Fac_EstadoAFIP,"&lt;&gt;Anulada",Fac_Actividad,651110)+SUMIFS(Fac_NoGrav,Fac_Mes,2,Fac_Anio,2026,Fac_EstadoAFIP,"&lt;&gt;Anulada",Fac_Actividad,651110)</f>
        <v/>
      </c>
      <c r="D6" s="140">
        <f>SUMIFS(Fac_Neto,Fac_Mes,3,Fac_Anio,2026,Fac_EstadoAFIP,"&lt;&gt;Anulada",Fac_Actividad,651110)+SUMIFS(Fac_NoGrav,Fac_Mes,3,Fac_Anio,2026,Fac_EstadoAFIP,"&lt;&gt;Anulada",Fac_Actividad,651110)</f>
        <v/>
      </c>
      <c r="E6" s="140">
        <f>SUMIFS(Fac_Neto,Fac_Mes,4,Fac_Anio,2026,Fac_EstadoAFIP,"&lt;&gt;Anulada",Fac_Actividad,651110)+SUMIFS(Fac_NoGrav,Fac_Mes,4,Fac_Anio,2026,Fac_EstadoAFIP,"&lt;&gt;Anulada",Fac_Actividad,651110)</f>
        <v/>
      </c>
      <c r="F6" s="140">
        <f>SUMIFS(Fac_Neto,Fac_Mes,5,Fac_Anio,2026,Fac_EstadoAFIP,"&lt;&gt;Anulada",Fac_Actividad,651110)+SUMIFS(Fac_NoGrav,Fac_Mes,5,Fac_Anio,2026,Fac_EstadoAFIP,"&lt;&gt;Anulada",Fac_Actividad,651110)</f>
        <v/>
      </c>
      <c r="G6" s="140">
        <f>SUMIFS(Fac_Neto,Fac_Mes,6,Fac_Anio,2026,Fac_EstadoAFIP,"&lt;&gt;Anulada",Fac_Actividad,651110)+SUMIFS(Fac_NoGrav,Fac_Mes,6,Fac_Anio,2026,Fac_EstadoAFIP,"&lt;&gt;Anulada",Fac_Actividad,651110)</f>
        <v/>
      </c>
      <c r="H6" s="140">
        <f>SUMIFS(Fac_Neto,Fac_Mes,7,Fac_Anio,2026,Fac_EstadoAFIP,"&lt;&gt;Anulada",Fac_Actividad,651110)+SUMIFS(Fac_NoGrav,Fac_Mes,7,Fac_Anio,2026,Fac_EstadoAFIP,"&lt;&gt;Anulada",Fac_Actividad,651110)</f>
        <v/>
      </c>
      <c r="I6" s="140">
        <f>SUMIFS(Fac_Neto,Fac_Mes,8,Fac_Anio,2026,Fac_EstadoAFIP,"&lt;&gt;Anulada",Fac_Actividad,651110)+SUMIFS(Fac_NoGrav,Fac_Mes,8,Fac_Anio,2026,Fac_EstadoAFIP,"&lt;&gt;Anulada",Fac_Actividad,651110)</f>
        <v/>
      </c>
      <c r="J6" s="140">
        <f>SUMIFS(Fac_Neto,Fac_Mes,9,Fac_Anio,2026,Fac_EstadoAFIP,"&lt;&gt;Anulada",Fac_Actividad,651110)+SUMIFS(Fac_NoGrav,Fac_Mes,9,Fac_Anio,2026,Fac_EstadoAFIP,"&lt;&gt;Anulada",Fac_Actividad,651110)</f>
        <v/>
      </c>
      <c r="K6" s="140">
        <f>SUMIFS(Fac_Neto,Fac_Mes,10,Fac_Anio,2026,Fac_EstadoAFIP,"&lt;&gt;Anulada",Fac_Actividad,651110)+SUMIFS(Fac_NoGrav,Fac_Mes,10,Fac_Anio,2026,Fac_EstadoAFIP,"&lt;&gt;Anulada",Fac_Actividad,651110)</f>
        <v/>
      </c>
      <c r="L6" s="140">
        <f>SUMIFS(Fac_Neto,Fac_Mes,11,Fac_Anio,2026,Fac_EstadoAFIP,"&lt;&gt;Anulada",Fac_Actividad,651110)+SUMIFS(Fac_NoGrav,Fac_Mes,11,Fac_Anio,2026,Fac_EstadoAFIP,"&lt;&gt;Anulada",Fac_Actividad,651110)</f>
        <v/>
      </c>
      <c r="M6" s="140">
        <f>SUMIFS(Fac_Neto,Fac_Mes,12,Fac_Anio,2026,Fac_EstadoAFIP,"&lt;&gt;Anulada",Fac_Actividad,651110)+SUMIFS(Fac_NoGrav,Fac_Mes,12,Fac_Anio,2026,Fac_EstadoAFIP,"&lt;&gt;Anulada",Fac_Actividad,651110)</f>
        <v/>
      </c>
      <c r="N6" s="145">
        <f>SUM(B6:M6)</f>
        <v/>
      </c>
    </row>
    <row r="8" ht="15" customHeight="1" s="83">
      <c r="A8" s="143" t="inlineStr">
        <is>
          <t>IVA</t>
        </is>
      </c>
      <c r="B8" s="144" t="n"/>
      <c r="C8" s="144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  <c r="O8" s="144" t="n"/>
    </row>
    <row r="9" ht="15" customHeight="1" s="83">
      <c r="A9" s="101" t="inlineStr">
        <is>
          <t>Neto Gravado 21%</t>
        </is>
      </c>
      <c r="B9" s="140">
        <f>SUMIFS(Fac_Neto,Fac_Mes,1,Fac_Anio,2026,Fac_EstadoAFIP,"&lt;&gt;Anulada")</f>
        <v/>
      </c>
      <c r="C9" s="140">
        <f>SUMIFS(Fac_Neto,Fac_Mes,2,Fac_Anio,2026,Fac_EstadoAFIP,"&lt;&gt;Anulada")</f>
        <v/>
      </c>
      <c r="D9" s="140">
        <f>SUMIFS(Fac_Neto,Fac_Mes,3,Fac_Anio,2026,Fac_EstadoAFIP,"&lt;&gt;Anulada")</f>
        <v/>
      </c>
      <c r="E9" s="140">
        <f>SUMIFS(Fac_Neto,Fac_Mes,4,Fac_Anio,2026,Fac_EstadoAFIP,"&lt;&gt;Anulada")</f>
        <v/>
      </c>
      <c r="F9" s="140">
        <f>SUMIFS(Fac_Neto,Fac_Mes,5,Fac_Anio,2026,Fac_EstadoAFIP,"&lt;&gt;Anulada")</f>
        <v/>
      </c>
      <c r="G9" s="140">
        <f>SUMIFS(Fac_Neto,Fac_Mes,6,Fac_Anio,2026,Fac_EstadoAFIP,"&lt;&gt;Anulada")</f>
        <v/>
      </c>
      <c r="H9" s="140">
        <f>SUMIFS(Fac_Neto,Fac_Mes,7,Fac_Anio,2026,Fac_EstadoAFIP,"&lt;&gt;Anulada")</f>
        <v/>
      </c>
      <c r="I9" s="140">
        <f>SUMIFS(Fac_Neto,Fac_Mes,8,Fac_Anio,2026,Fac_EstadoAFIP,"&lt;&gt;Anulada")</f>
        <v/>
      </c>
      <c r="J9" s="140">
        <f>SUMIFS(Fac_Neto,Fac_Mes,9,Fac_Anio,2026,Fac_EstadoAFIP,"&lt;&gt;Anulada")</f>
        <v/>
      </c>
      <c r="K9" s="140">
        <f>SUMIFS(Fac_Neto,Fac_Mes,10,Fac_Anio,2026,Fac_EstadoAFIP,"&lt;&gt;Anulada")</f>
        <v/>
      </c>
      <c r="L9" s="140">
        <f>SUMIFS(Fac_Neto,Fac_Mes,11,Fac_Anio,2026,Fac_EstadoAFIP,"&lt;&gt;Anulada")</f>
        <v/>
      </c>
      <c r="M9" s="140">
        <f>SUMIFS(Fac_Neto,Fac_Mes,12,Fac_Anio,2026,Fac_EstadoAFIP,"&lt;&gt;Anulada")</f>
        <v/>
      </c>
      <c r="N9" s="145">
        <f>SUM(B9:M9)</f>
        <v/>
      </c>
    </row>
    <row r="10" ht="15" customHeight="1" s="83">
      <c r="A10" s="107" t="inlineStr">
        <is>
          <t>IVA Débito Fiscal (21%)</t>
        </is>
      </c>
      <c r="B10" s="140">
        <f>SUMIFS(Fac_IVA21,Fac_Mes,1,Fac_Anio,2026,Fac_EstadoAFIP,"&lt;&gt;Anulada")+SUMIFS(Fac_IVA105,Fac_Mes,1,Fac_Anio,2026,Fac_EstadoAFIP,"&lt;&gt;Anulada")</f>
        <v/>
      </c>
      <c r="C10" s="140">
        <f>SUMIFS(Fac_IVA21,Fac_Mes,2,Fac_Anio,2026,Fac_EstadoAFIP,"&lt;&gt;Anulada")+SUMIFS(Fac_IVA105,Fac_Mes,2,Fac_Anio,2026,Fac_EstadoAFIP,"&lt;&gt;Anulada")</f>
        <v/>
      </c>
      <c r="D10" s="140">
        <f>SUMIFS(Fac_IVA21,Fac_Mes,3,Fac_Anio,2026,Fac_EstadoAFIP,"&lt;&gt;Anulada")+SUMIFS(Fac_IVA105,Fac_Mes,3,Fac_Anio,2026,Fac_EstadoAFIP,"&lt;&gt;Anulada")</f>
        <v/>
      </c>
      <c r="E10" s="140">
        <f>SUMIFS(Fac_IVA21,Fac_Mes,4,Fac_Anio,2026,Fac_EstadoAFIP,"&lt;&gt;Anulada")+SUMIFS(Fac_IVA105,Fac_Mes,4,Fac_Anio,2026,Fac_EstadoAFIP,"&lt;&gt;Anulada")</f>
        <v/>
      </c>
      <c r="F10" s="140">
        <f>SUMIFS(Fac_IVA21,Fac_Mes,5,Fac_Anio,2026,Fac_EstadoAFIP,"&lt;&gt;Anulada")+SUMIFS(Fac_IVA105,Fac_Mes,5,Fac_Anio,2026,Fac_EstadoAFIP,"&lt;&gt;Anulada")</f>
        <v/>
      </c>
      <c r="G10" s="140">
        <f>SUMIFS(Fac_IVA21,Fac_Mes,6,Fac_Anio,2026,Fac_EstadoAFIP,"&lt;&gt;Anulada")+SUMIFS(Fac_IVA105,Fac_Mes,6,Fac_Anio,2026,Fac_EstadoAFIP,"&lt;&gt;Anulada")</f>
        <v/>
      </c>
      <c r="H10" s="140">
        <f>SUMIFS(Fac_IVA21,Fac_Mes,7,Fac_Anio,2026,Fac_EstadoAFIP,"&lt;&gt;Anulada")+SUMIFS(Fac_IVA105,Fac_Mes,7,Fac_Anio,2026,Fac_EstadoAFIP,"&lt;&gt;Anulada")</f>
        <v/>
      </c>
      <c r="I10" s="140">
        <f>SUMIFS(Fac_IVA21,Fac_Mes,8,Fac_Anio,2026,Fac_EstadoAFIP,"&lt;&gt;Anulada")+SUMIFS(Fac_IVA105,Fac_Mes,8,Fac_Anio,2026,Fac_EstadoAFIP,"&lt;&gt;Anulada")</f>
        <v/>
      </c>
      <c r="J10" s="140">
        <f>SUMIFS(Fac_IVA21,Fac_Mes,9,Fac_Anio,2026,Fac_EstadoAFIP,"&lt;&gt;Anulada")+SUMIFS(Fac_IVA105,Fac_Mes,9,Fac_Anio,2026,Fac_EstadoAFIP,"&lt;&gt;Anulada")</f>
        <v/>
      </c>
      <c r="K10" s="140">
        <f>SUMIFS(Fac_IVA21,Fac_Mes,10,Fac_Anio,2026,Fac_EstadoAFIP,"&lt;&gt;Anulada")+SUMIFS(Fac_IVA105,Fac_Mes,10,Fac_Anio,2026,Fac_EstadoAFIP,"&lt;&gt;Anulada")</f>
        <v/>
      </c>
      <c r="L10" s="140">
        <f>SUMIFS(Fac_IVA21,Fac_Mes,11,Fac_Anio,2026,Fac_EstadoAFIP,"&lt;&gt;Anulada")+SUMIFS(Fac_IVA105,Fac_Mes,11,Fac_Anio,2026,Fac_EstadoAFIP,"&lt;&gt;Anulada")</f>
        <v/>
      </c>
      <c r="M10" s="140">
        <f>SUMIFS(Fac_IVA21,Fac_Mes,12,Fac_Anio,2026,Fac_EstadoAFIP,"&lt;&gt;Anulada")+SUMIFS(Fac_IVA105,Fac_Mes,12,Fac_Anio,2026,Fac_EstadoAFIP,"&lt;&gt;Anulada")</f>
        <v/>
      </c>
      <c r="N10" s="145">
        <f>SUM(B10:M10)</f>
        <v/>
      </c>
      <c r="O10" s="103" t="inlineStr">
        <is>
          <t>Suma IVA 21% + IVA 10,5% de facturas no anuladas</t>
        </is>
      </c>
    </row>
    <row r="11" ht="15" customHeight="1" s="83">
      <c r="A11" s="101" t="inlineStr">
        <is>
          <t>IVA Crédito Fiscal estimado (prorrateo)</t>
        </is>
      </c>
      <c r="B11" s="123">
        <f>B10*Pct_credito</f>
        <v/>
      </c>
      <c r="C11" s="123">
        <f>C10*Pct_credito</f>
        <v/>
      </c>
      <c r="D11" s="123">
        <f>D10*Pct_credito</f>
        <v/>
      </c>
      <c r="E11" s="123">
        <f>E10*Pct_credito</f>
        <v/>
      </c>
      <c r="F11" s="123">
        <f>F10*Pct_credito</f>
        <v/>
      </c>
      <c r="G11" s="123">
        <f>G10*Pct_credito</f>
        <v/>
      </c>
      <c r="H11" s="123">
        <f>H10*Pct_credito</f>
        <v/>
      </c>
      <c r="I11" s="123">
        <f>I10*Pct_credito</f>
        <v/>
      </c>
      <c r="J11" s="123">
        <f>J10*Pct_credito</f>
        <v/>
      </c>
      <c r="K11" s="123">
        <f>K10*Pct_credito</f>
        <v/>
      </c>
      <c r="L11" s="123">
        <f>L10*Pct_credito</f>
        <v/>
      </c>
      <c r="M11" s="123">
        <f>M10*Pct_credito</f>
        <v/>
      </c>
      <c r="N11" s="145">
        <f>SUM(B11:M11)</f>
        <v/>
      </c>
      <c r="O11" s="103" t="inlineStr">
        <is>
          <t>Débito × % crédito (definido en Reglas)</t>
        </is>
      </c>
    </row>
    <row r="12" ht="15" customHeight="1" s="83">
      <c r="A12" s="107" t="inlineStr">
        <is>
          <t>IVA Saldo a pagar (estimado)</t>
        </is>
      </c>
      <c r="B12" s="145">
        <f>MAX(0,B10-B11)</f>
        <v/>
      </c>
      <c r="C12" s="145">
        <f>MAX(0,C10-C11)</f>
        <v/>
      </c>
      <c r="D12" s="145">
        <f>MAX(0,D10-D11)</f>
        <v/>
      </c>
      <c r="E12" s="145">
        <f>MAX(0,E10-E11)</f>
        <v/>
      </c>
      <c r="F12" s="145">
        <f>MAX(0,F10-F11)</f>
        <v/>
      </c>
      <c r="G12" s="145">
        <f>MAX(0,G10-G11)</f>
        <v/>
      </c>
      <c r="H12" s="145">
        <f>MAX(0,H10-H11)</f>
        <v/>
      </c>
      <c r="I12" s="145">
        <f>MAX(0,I10-I11)</f>
        <v/>
      </c>
      <c r="J12" s="145">
        <f>MAX(0,J10-J11)</f>
        <v/>
      </c>
      <c r="K12" s="145">
        <f>MAX(0,K10-K11)</f>
        <v/>
      </c>
      <c r="L12" s="145">
        <f>MAX(0,L10-L11)</f>
        <v/>
      </c>
      <c r="M12" s="145">
        <f>MAX(0,M10-M11)</f>
        <v/>
      </c>
      <c r="N12" s="145">
        <f>SUM(B12:M12)</f>
        <v/>
      </c>
      <c r="O12" s="103" t="inlineStr">
        <is>
          <t>MAX(Débito - Crédito; 0)</t>
        </is>
      </c>
    </row>
    <row r="13" ht="15" customHeight="1" s="83">
      <c r="A13" s="101" t="inlineStr">
        <is>
          <t>Vencimiento IVA (mes siguiente)</t>
        </is>
      </c>
      <c r="B13" s="146">
        <f>DATE(2026,2,Reglas!$C$49)</f>
        <v/>
      </c>
      <c r="C13" s="146">
        <f>DATE(2026,3,Reglas!$C$49)</f>
        <v/>
      </c>
      <c r="D13" s="146">
        <f>DATE(2026,4,Reglas!$C$49)</f>
        <v/>
      </c>
      <c r="E13" s="146">
        <f>DATE(2026,5,Reglas!$C$49)</f>
        <v/>
      </c>
      <c r="F13" s="146">
        <f>DATE(2026,6,Reglas!$C$49)</f>
        <v/>
      </c>
      <c r="G13" s="146">
        <f>DATE(2026,7,Reglas!$C$49)</f>
        <v/>
      </c>
      <c r="H13" s="146">
        <f>DATE(2026,8,Reglas!$C$49)</f>
        <v/>
      </c>
      <c r="I13" s="146">
        <f>DATE(2026,9,Reglas!$C$49)</f>
        <v/>
      </c>
      <c r="J13" s="146">
        <f>DATE(2026,10,Reglas!$C$49)</f>
        <v/>
      </c>
      <c r="K13" s="146">
        <f>DATE(2026,11,Reglas!$C$49)</f>
        <v/>
      </c>
      <c r="L13" s="146">
        <f>DATE(2026,12,Reglas!$C$49)</f>
        <v/>
      </c>
      <c r="M13" s="146">
        <f>DATE(2027,1,Reglas!$C$49)</f>
        <v/>
      </c>
      <c r="O13" s="103" t="inlineStr">
        <is>
          <t>Día configurable en hoja Reglas</t>
        </is>
      </c>
    </row>
    <row r="15" ht="15" customHeight="1" s="83">
      <c r="A15" s="143" t="inlineStr">
        <is>
          <t>IIBB - CABA (901)</t>
        </is>
      </c>
      <c r="B15" s="144" t="n"/>
      <c r="C15" s="144" t="n"/>
      <c r="D15" s="144" t="n"/>
      <c r="E15" s="144" t="n"/>
      <c r="F15" s="144" t="n"/>
      <c r="G15" s="144" t="n"/>
      <c r="H15" s="144" t="n"/>
      <c r="I15" s="144" t="n"/>
      <c r="J15" s="144" t="n"/>
      <c r="K15" s="144" t="n"/>
      <c r="L15" s="144" t="n"/>
      <c r="M15" s="144" t="n"/>
      <c r="N15" s="144" t="n"/>
      <c r="O15" s="144" t="n"/>
    </row>
    <row r="16" ht="15" customHeight="1" s="83">
      <c r="A16" s="101" t="inlineStr">
        <is>
          <t>Base distribuida CABA - 702010</t>
        </is>
      </c>
      <c r="B16" s="123">
        <f>B5*Coef_CABA</f>
        <v/>
      </c>
      <c r="C16" s="123">
        <f>C5*Coef_CABA</f>
        <v/>
      </c>
      <c r="D16" s="123">
        <f>D5*Coef_CABA</f>
        <v/>
      </c>
      <c r="E16" s="123">
        <f>E5*Coef_CABA</f>
        <v/>
      </c>
      <c r="F16" s="123">
        <f>F5*Coef_CABA</f>
        <v/>
      </c>
      <c r="G16" s="123">
        <f>G5*Coef_CABA</f>
        <v/>
      </c>
      <c r="H16" s="123">
        <f>H5*Coef_CABA</f>
        <v/>
      </c>
      <c r="I16" s="123">
        <f>I5*Coef_CABA</f>
        <v/>
      </c>
      <c r="J16" s="123">
        <f>J5*Coef_CABA</f>
        <v/>
      </c>
      <c r="K16" s="123">
        <f>K5*Coef_CABA</f>
        <v/>
      </c>
      <c r="L16" s="123">
        <f>L5*Coef_CABA</f>
        <v/>
      </c>
      <c r="M16" s="123">
        <f>M5*Coef_CABA</f>
        <v/>
      </c>
      <c r="N16" s="145">
        <f>SUM(B16:M16)</f>
        <v/>
      </c>
    </row>
    <row r="17" ht="15" customHeight="1" s="83">
      <c r="A17" s="101" t="inlineStr">
        <is>
          <t>Base distribuida CABA - 651110</t>
        </is>
      </c>
      <c r="B17" s="123">
        <f>B6*Coef_CABA</f>
        <v/>
      </c>
      <c r="C17" s="123">
        <f>C6*Coef_CABA</f>
        <v/>
      </c>
      <c r="D17" s="123">
        <f>D6*Coef_CABA</f>
        <v/>
      </c>
      <c r="E17" s="123">
        <f>E6*Coef_CABA</f>
        <v/>
      </c>
      <c r="F17" s="123">
        <f>F6*Coef_CABA</f>
        <v/>
      </c>
      <c r="G17" s="123">
        <f>G6*Coef_CABA</f>
        <v/>
      </c>
      <c r="H17" s="123">
        <f>H6*Coef_CABA</f>
        <v/>
      </c>
      <c r="I17" s="123">
        <f>I6*Coef_CABA</f>
        <v/>
      </c>
      <c r="J17" s="123">
        <f>J6*Coef_CABA</f>
        <v/>
      </c>
      <c r="K17" s="123">
        <f>K6*Coef_CABA</f>
        <v/>
      </c>
      <c r="L17" s="123">
        <f>L6*Coef_CABA</f>
        <v/>
      </c>
      <c r="M17" s="123">
        <f>M6*Coef_CABA</f>
        <v/>
      </c>
      <c r="N17" s="145">
        <f>SUM(B17:M17)</f>
        <v/>
      </c>
    </row>
    <row r="18" ht="15" customHeight="1" s="83">
      <c r="A18" s="101" t="inlineStr">
        <is>
          <t>Impuesto IIBB CABA - 702010 (3%)</t>
        </is>
      </c>
      <c r="B18" s="123">
        <f>B16*Alic_702_CABA</f>
        <v/>
      </c>
      <c r="C18" s="123">
        <f>C16*Alic_702_CABA</f>
        <v/>
      </c>
      <c r="D18" s="123">
        <f>D16*Alic_702_CABA</f>
        <v/>
      </c>
      <c r="E18" s="123">
        <f>E16*Alic_702_CABA</f>
        <v/>
      </c>
      <c r="F18" s="123">
        <f>F16*Alic_702_CABA</f>
        <v/>
      </c>
      <c r="G18" s="123">
        <f>G16*Alic_702_CABA</f>
        <v/>
      </c>
      <c r="H18" s="123">
        <f>H16*Alic_702_CABA</f>
        <v/>
      </c>
      <c r="I18" s="123">
        <f>I16*Alic_702_CABA</f>
        <v/>
      </c>
      <c r="J18" s="123">
        <f>J16*Alic_702_CABA</f>
        <v/>
      </c>
      <c r="K18" s="123">
        <f>K16*Alic_702_CABA</f>
        <v/>
      </c>
      <c r="L18" s="123">
        <f>L16*Alic_702_CABA</f>
        <v/>
      </c>
      <c r="M18" s="123">
        <f>M16*Alic_702_CABA</f>
        <v/>
      </c>
      <c r="N18" s="145">
        <f>SUM(B18:M18)</f>
        <v/>
      </c>
    </row>
    <row r="19" ht="15" customHeight="1" s="83">
      <c r="A19" s="101" t="inlineStr">
        <is>
          <t>Impuesto IIBB CABA - 651110 (5,5%)</t>
        </is>
      </c>
      <c r="B19" s="123">
        <f>B17*Alic_651_CABA</f>
        <v/>
      </c>
      <c r="C19" s="123">
        <f>C17*Alic_651_CABA</f>
        <v/>
      </c>
      <c r="D19" s="123">
        <f>D17*Alic_651_CABA</f>
        <v/>
      </c>
      <c r="E19" s="123">
        <f>E17*Alic_651_CABA</f>
        <v/>
      </c>
      <c r="F19" s="123">
        <f>F17*Alic_651_CABA</f>
        <v/>
      </c>
      <c r="G19" s="123">
        <f>G17*Alic_651_CABA</f>
        <v/>
      </c>
      <c r="H19" s="123">
        <f>H17*Alic_651_CABA</f>
        <v/>
      </c>
      <c r="I19" s="123">
        <f>I17*Alic_651_CABA</f>
        <v/>
      </c>
      <c r="J19" s="123">
        <f>J17*Alic_651_CABA</f>
        <v/>
      </c>
      <c r="K19" s="123">
        <f>K17*Alic_651_CABA</f>
        <v/>
      </c>
      <c r="L19" s="123">
        <f>L17*Alic_651_CABA</f>
        <v/>
      </c>
      <c r="M19" s="123">
        <f>M17*Alic_651_CABA</f>
        <v/>
      </c>
      <c r="N19" s="145">
        <f>SUM(B19:M19)</f>
        <v/>
      </c>
    </row>
    <row r="20" ht="15" customHeight="1" s="83">
      <c r="A20" s="107" t="inlineStr">
        <is>
          <t>IIBB CABA - Total Determinado</t>
        </is>
      </c>
      <c r="B20" s="145">
        <f>B18+B19</f>
        <v/>
      </c>
      <c r="C20" s="145">
        <f>C18+C19</f>
        <v/>
      </c>
      <c r="D20" s="145">
        <f>D18+D19</f>
        <v/>
      </c>
      <c r="E20" s="145">
        <f>E18+E19</f>
        <v/>
      </c>
      <c r="F20" s="145">
        <f>F18+F19</f>
        <v/>
      </c>
      <c r="G20" s="145">
        <f>G18+G19</f>
        <v/>
      </c>
      <c r="H20" s="145">
        <f>H18+H19</f>
        <v/>
      </c>
      <c r="I20" s="145">
        <f>I18+I19</f>
        <v/>
      </c>
      <c r="J20" s="145">
        <f>J18+J19</f>
        <v/>
      </c>
      <c r="K20" s="145">
        <f>K18+K19</f>
        <v/>
      </c>
      <c r="L20" s="145">
        <f>L18+L19</f>
        <v/>
      </c>
      <c r="M20" s="145">
        <f>M18+M19</f>
        <v/>
      </c>
      <c r="N20" s="145">
        <f>SUM(B20:M20)</f>
        <v/>
      </c>
    </row>
    <row r="21" ht="15" customHeight="1" s="83">
      <c r="A21" s="101" t="inlineStr">
        <is>
          <t>(-) Retenciones / Percepciones / Recaudaciones CABA</t>
        </is>
      </c>
      <c r="B21" s="122" t="n">
        <v>0</v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45">
        <f>SUM(B21:M21)</f>
        <v/>
      </c>
      <c r="O21" s="106" t="inlineStr">
        <is>
          <t>Cargar manual cuando lleguen los certificados</t>
        </is>
      </c>
    </row>
    <row r="22" ht="15" customHeight="1" s="83">
      <c r="A22" s="107" t="inlineStr">
        <is>
          <t>IIBB CABA - A pagar (estimado)</t>
        </is>
      </c>
      <c r="B22" s="145">
        <f>MAX(0,B20-B21)</f>
        <v/>
      </c>
      <c r="C22" s="145">
        <f>MAX(0,C20-C21)</f>
        <v/>
      </c>
      <c r="D22" s="145">
        <f>MAX(0,D20-D21)</f>
        <v/>
      </c>
      <c r="E22" s="145">
        <f>MAX(0,E20-E21)</f>
        <v/>
      </c>
      <c r="F22" s="145">
        <f>MAX(0,F20-F21)</f>
        <v/>
      </c>
      <c r="G22" s="145">
        <f>MAX(0,G20-G21)</f>
        <v/>
      </c>
      <c r="H22" s="145">
        <f>MAX(0,H20-H21)</f>
        <v/>
      </c>
      <c r="I22" s="145">
        <f>MAX(0,I20-I21)</f>
        <v/>
      </c>
      <c r="J22" s="145">
        <f>MAX(0,J20-J21)</f>
        <v/>
      </c>
      <c r="K22" s="145">
        <f>MAX(0,K20-K21)</f>
        <v/>
      </c>
      <c r="L22" s="145">
        <f>MAX(0,L20-L21)</f>
        <v/>
      </c>
      <c r="M22" s="145">
        <f>MAX(0,M20-M21)</f>
        <v/>
      </c>
      <c r="N22" s="145">
        <f>SUM(B22:M22)</f>
        <v/>
      </c>
    </row>
    <row r="24" ht="15" customHeight="1" s="83">
      <c r="A24" s="143" t="inlineStr">
        <is>
          <t>IIBB - CÓRDOBA (904)</t>
        </is>
      </c>
      <c r="B24" s="144" t="n"/>
      <c r="C24" s="144" t="n"/>
      <c r="D24" s="144" t="n"/>
      <c r="E24" s="144" t="n"/>
      <c r="F24" s="144" t="n"/>
      <c r="G24" s="144" t="n"/>
      <c r="H24" s="144" t="n"/>
      <c r="I24" s="144" t="n"/>
      <c r="J24" s="144" t="n"/>
      <c r="K24" s="144" t="n"/>
      <c r="L24" s="144" t="n"/>
      <c r="M24" s="144" t="n"/>
      <c r="N24" s="144" t="n"/>
      <c r="O24" s="144" t="n"/>
    </row>
    <row r="25" ht="15" customHeight="1" s="83">
      <c r="A25" s="101" t="inlineStr">
        <is>
          <t>Base distribuida Córdoba - 702010</t>
        </is>
      </c>
      <c r="B25" s="123">
        <f>B5*Coef_Cba</f>
        <v/>
      </c>
      <c r="C25" s="123">
        <f>C5*Coef_Cba</f>
        <v/>
      </c>
      <c r="D25" s="123">
        <f>D5*Coef_Cba</f>
        <v/>
      </c>
      <c r="E25" s="123">
        <f>E5*Coef_Cba</f>
        <v/>
      </c>
      <c r="F25" s="123">
        <f>F5*Coef_Cba</f>
        <v/>
      </c>
      <c r="G25" s="123">
        <f>G5*Coef_Cba</f>
        <v/>
      </c>
      <c r="H25" s="123">
        <f>H5*Coef_Cba</f>
        <v/>
      </c>
      <c r="I25" s="123">
        <f>I5*Coef_Cba</f>
        <v/>
      </c>
      <c r="J25" s="123">
        <f>J5*Coef_Cba</f>
        <v/>
      </c>
      <c r="K25" s="123">
        <f>K5*Coef_Cba</f>
        <v/>
      </c>
      <c r="L25" s="123">
        <f>L5*Coef_Cba</f>
        <v/>
      </c>
      <c r="M25" s="123">
        <f>M5*Coef_Cba</f>
        <v/>
      </c>
      <c r="N25" s="145">
        <f>SUM(B25:M25)</f>
        <v/>
      </c>
    </row>
    <row r="26" ht="15" customHeight="1" s="83">
      <c r="A26" s="101" t="inlineStr">
        <is>
          <t>Base distribuida Córdoba - 651110</t>
        </is>
      </c>
      <c r="B26" s="123">
        <f>B6*Coef_Cba</f>
        <v/>
      </c>
      <c r="C26" s="123">
        <f>C6*Coef_Cba</f>
        <v/>
      </c>
      <c r="D26" s="123">
        <f>D6*Coef_Cba</f>
        <v/>
      </c>
      <c r="E26" s="123">
        <f>E6*Coef_Cba</f>
        <v/>
      </c>
      <c r="F26" s="123">
        <f>F6*Coef_Cba</f>
        <v/>
      </c>
      <c r="G26" s="123">
        <f>G6*Coef_Cba</f>
        <v/>
      </c>
      <c r="H26" s="123">
        <f>H6*Coef_Cba</f>
        <v/>
      </c>
      <c r="I26" s="123">
        <f>I6*Coef_Cba</f>
        <v/>
      </c>
      <c r="J26" s="123">
        <f>J6*Coef_Cba</f>
        <v/>
      </c>
      <c r="K26" s="123">
        <f>K6*Coef_Cba</f>
        <v/>
      </c>
      <c r="L26" s="123">
        <f>L6*Coef_Cba</f>
        <v/>
      </c>
      <c r="M26" s="123">
        <f>M6*Coef_Cba</f>
        <v/>
      </c>
      <c r="N26" s="145">
        <f>SUM(B26:M26)</f>
        <v/>
      </c>
    </row>
    <row r="27" ht="15" customHeight="1" s="83">
      <c r="A27" s="101" t="inlineStr">
        <is>
          <t>Impuesto IIBB Cba - 702010 (5,5%)</t>
        </is>
      </c>
      <c r="B27" s="123">
        <f>B25*Alic_702_Cba</f>
        <v/>
      </c>
      <c r="C27" s="123">
        <f>C25*Alic_702_Cba</f>
        <v/>
      </c>
      <c r="D27" s="123">
        <f>D25*Alic_702_Cba</f>
        <v/>
      </c>
      <c r="E27" s="123">
        <f>E25*Alic_702_Cba</f>
        <v/>
      </c>
      <c r="F27" s="123">
        <f>F25*Alic_702_Cba</f>
        <v/>
      </c>
      <c r="G27" s="123">
        <f>G25*Alic_702_Cba</f>
        <v/>
      </c>
      <c r="H27" s="123">
        <f>H25*Alic_702_Cba</f>
        <v/>
      </c>
      <c r="I27" s="123">
        <f>I25*Alic_702_Cba</f>
        <v/>
      </c>
      <c r="J27" s="123">
        <f>J25*Alic_702_Cba</f>
        <v/>
      </c>
      <c r="K27" s="123">
        <f>K25*Alic_702_Cba</f>
        <v/>
      </c>
      <c r="L27" s="123">
        <f>L25*Alic_702_Cba</f>
        <v/>
      </c>
      <c r="M27" s="123">
        <f>M25*Alic_702_Cba</f>
        <v/>
      </c>
      <c r="N27" s="145">
        <f>SUM(B27:M27)</f>
        <v/>
      </c>
    </row>
    <row r="28" ht="15" customHeight="1" s="83">
      <c r="A28" s="101" t="inlineStr">
        <is>
          <t>Impuesto IIBB Cba - 651110 (3%)</t>
        </is>
      </c>
      <c r="B28" s="123">
        <f>B26*Alic_651_Cba</f>
        <v/>
      </c>
      <c r="C28" s="123">
        <f>C26*Alic_651_Cba</f>
        <v/>
      </c>
      <c r="D28" s="123">
        <f>D26*Alic_651_Cba</f>
        <v/>
      </c>
      <c r="E28" s="123">
        <f>E26*Alic_651_Cba</f>
        <v/>
      </c>
      <c r="F28" s="123">
        <f>F26*Alic_651_Cba</f>
        <v/>
      </c>
      <c r="G28" s="123">
        <f>G26*Alic_651_Cba</f>
        <v/>
      </c>
      <c r="H28" s="123">
        <f>H26*Alic_651_Cba</f>
        <v/>
      </c>
      <c r="I28" s="123">
        <f>I26*Alic_651_Cba</f>
        <v/>
      </c>
      <c r="J28" s="123">
        <f>J26*Alic_651_Cba</f>
        <v/>
      </c>
      <c r="K28" s="123">
        <f>K26*Alic_651_Cba</f>
        <v/>
      </c>
      <c r="L28" s="123">
        <f>L26*Alic_651_Cba</f>
        <v/>
      </c>
      <c r="M28" s="123">
        <f>M26*Alic_651_Cba</f>
        <v/>
      </c>
      <c r="N28" s="145">
        <f>SUM(B28:M28)</f>
        <v/>
      </c>
    </row>
    <row r="29" ht="15" customHeight="1" s="83">
      <c r="A29" s="107" t="inlineStr">
        <is>
          <t>IIBB Cba - Total Determinado</t>
        </is>
      </c>
      <c r="B29" s="145">
        <f>B27+B28</f>
        <v/>
      </c>
      <c r="C29" s="145">
        <f>C27+C28</f>
        <v/>
      </c>
      <c r="D29" s="145">
        <f>D27+D28</f>
        <v/>
      </c>
      <c r="E29" s="145">
        <f>E27+E28</f>
        <v/>
      </c>
      <c r="F29" s="145">
        <f>F27+F28</f>
        <v/>
      </c>
      <c r="G29" s="145">
        <f>G27+G28</f>
        <v/>
      </c>
      <c r="H29" s="145">
        <f>H27+H28</f>
        <v/>
      </c>
      <c r="I29" s="145">
        <f>I27+I28</f>
        <v/>
      </c>
      <c r="J29" s="145">
        <f>J27+J28</f>
        <v/>
      </c>
      <c r="K29" s="145">
        <f>K27+K28</f>
        <v/>
      </c>
      <c r="L29" s="145">
        <f>L27+L28</f>
        <v/>
      </c>
      <c r="M29" s="145">
        <f>M27+M28</f>
        <v/>
      </c>
      <c r="N29" s="145">
        <f>SUM(B29:M29)</f>
        <v/>
      </c>
    </row>
    <row r="30" ht="15" customHeight="1" s="83">
      <c r="A30" s="101" t="inlineStr">
        <is>
          <t>(-) Retenciones / Percepciones / Recaudaciones Cba</t>
        </is>
      </c>
      <c r="B30" s="122" t="n">
        <v>0</v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45">
        <f>SUM(B30:M30)</f>
        <v/>
      </c>
      <c r="O30" s="106" t="inlineStr">
        <is>
          <t>Cargar manual cuando lleguen los certificados</t>
        </is>
      </c>
    </row>
    <row r="31" ht="15" customHeight="1" s="83">
      <c r="A31" s="107" t="inlineStr">
        <is>
          <t>IIBB Cba - A pagar (estimado)</t>
        </is>
      </c>
      <c r="B31" s="145">
        <f>MAX(0,B29-B30)</f>
        <v/>
      </c>
      <c r="C31" s="145">
        <f>MAX(0,C29-C30)</f>
        <v/>
      </c>
      <c r="D31" s="145">
        <f>MAX(0,D29-D30)</f>
        <v/>
      </c>
      <c r="E31" s="145">
        <f>MAX(0,E29-E30)</f>
        <v/>
      </c>
      <c r="F31" s="145">
        <f>MAX(0,F29-F30)</f>
        <v/>
      </c>
      <c r="G31" s="145">
        <f>MAX(0,G29-G30)</f>
        <v/>
      </c>
      <c r="H31" s="145">
        <f>MAX(0,H29-H30)</f>
        <v/>
      </c>
      <c r="I31" s="145">
        <f>MAX(0,I29-I30)</f>
        <v/>
      </c>
      <c r="J31" s="145">
        <f>MAX(0,J29-J30)</f>
        <v/>
      </c>
      <c r="K31" s="145">
        <f>MAX(0,K29-K30)</f>
        <v/>
      </c>
      <c r="L31" s="145">
        <f>MAX(0,L29-L30)</f>
        <v/>
      </c>
      <c r="M31" s="145">
        <f>MAX(0,M29-M30)</f>
        <v/>
      </c>
      <c r="N31" s="145">
        <f>SUM(B31:M31)</f>
        <v/>
      </c>
    </row>
    <row r="33" ht="15" customHeight="1" s="83">
      <c r="A33" s="143" t="inlineStr">
        <is>
          <t>Tasa Comercio e Industria - Municipalidad de Córdoba</t>
        </is>
      </c>
      <c r="B33" s="144" t="n"/>
      <c r="C33" s="144" t="n"/>
      <c r="D33" s="144" t="n"/>
      <c r="E33" s="144" t="n"/>
      <c r="F33" s="144" t="n"/>
      <c r="G33" s="144" t="n"/>
      <c r="H33" s="144" t="n"/>
      <c r="I33" s="144" t="n"/>
      <c r="J33" s="144" t="n"/>
      <c r="K33" s="144" t="n"/>
      <c r="L33" s="144" t="n"/>
      <c r="M33" s="144" t="n"/>
      <c r="N33" s="144" t="n"/>
      <c r="O33" s="144" t="n"/>
    </row>
    <row r="34" ht="15" customHeight="1" s="83">
      <c r="A34" s="101" t="inlineStr">
        <is>
          <t>Base imponible (Facturación Cba)</t>
        </is>
      </c>
      <c r="B34" s="123">
        <f>B25+B26</f>
        <v/>
      </c>
      <c r="C34" s="123">
        <f>C25+C26</f>
        <v/>
      </c>
      <c r="D34" s="123">
        <f>D25+D26</f>
        <v/>
      </c>
      <c r="E34" s="123">
        <f>E25+E26</f>
        <v/>
      </c>
      <c r="F34" s="123">
        <f>F25+F26</f>
        <v/>
      </c>
      <c r="G34" s="123">
        <f>G25+G26</f>
        <v/>
      </c>
      <c r="H34" s="123">
        <f>H25+H26</f>
        <v/>
      </c>
      <c r="I34" s="123">
        <f>I25+I26</f>
        <v/>
      </c>
      <c r="J34" s="123">
        <f>J25+J26</f>
        <v/>
      </c>
      <c r="K34" s="123">
        <f>K25+K26</f>
        <v/>
      </c>
      <c r="L34" s="123">
        <f>L25+L26</f>
        <v/>
      </c>
      <c r="M34" s="123">
        <f>M25+M26</f>
        <v/>
      </c>
      <c r="N34" s="145">
        <f>SUM(B34:M34)</f>
        <v/>
      </c>
      <c r="O34" s="103" t="inlineStr">
        <is>
          <t>Solo la porción atribuida a Córdoba (CM)</t>
        </is>
      </c>
    </row>
    <row r="35" ht="15" customHeight="1" s="83">
      <c r="A35" s="107" t="inlineStr">
        <is>
          <t>Tasa Comercio - Determinado</t>
        </is>
      </c>
      <c r="B35" s="123">
        <f>B34*Tasa_2026</f>
        <v/>
      </c>
      <c r="C35" s="123">
        <f>C34*Tasa_2026</f>
        <v/>
      </c>
      <c r="D35" s="123">
        <f>D34*Tasa_2026</f>
        <v/>
      </c>
      <c r="E35" s="123">
        <f>E34*Tasa_2026</f>
        <v/>
      </c>
      <c r="F35" s="123">
        <f>F34*Tasa_2026</f>
        <v/>
      </c>
      <c r="G35" s="123">
        <f>G34*Tasa_2026</f>
        <v/>
      </c>
      <c r="H35" s="123">
        <f>H34*Tasa_2026</f>
        <v/>
      </c>
      <c r="I35" s="123">
        <f>I34*Tasa_2026</f>
        <v/>
      </c>
      <c r="J35" s="123">
        <f>J34*Tasa_2026</f>
        <v/>
      </c>
      <c r="K35" s="123">
        <f>K34*Tasa_2026</f>
        <v/>
      </c>
      <c r="L35" s="123">
        <f>L34*Tasa_2026</f>
        <v/>
      </c>
      <c r="M35" s="123">
        <f>M34*Tasa_2026</f>
        <v/>
      </c>
      <c r="N35" s="145">
        <f>SUM(B35:M35)</f>
        <v/>
      </c>
      <c r="O35" s="103" t="inlineStr">
        <is>
          <t>Base × Alícuota 2026 (definido en Reglas)</t>
        </is>
      </c>
    </row>
    <row r="36" ht="15" customHeight="1" s="83">
      <c r="A36" s="101" t="inlineStr">
        <is>
          <t>(-) Retenciones / Recaudaciones Cba</t>
        </is>
      </c>
      <c r="B36" s="122" t="n">
        <v>0</v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45">
        <f>SUM(B36:M36)</f>
        <v/>
      </c>
      <c r="O36" s="106" t="inlineStr">
        <is>
          <t>Cargar manual cuando lleguen los certificados</t>
        </is>
      </c>
    </row>
    <row r="37" ht="15" customHeight="1" s="83">
      <c r="A37" s="107" t="inlineStr">
        <is>
          <t>Tasa Comercio - A pagar (estimado)</t>
        </is>
      </c>
      <c r="B37" s="145">
        <f>MAX(0,B35-B36)</f>
        <v/>
      </c>
      <c r="C37" s="145">
        <f>MAX(0,C35-C36)</f>
        <v/>
      </c>
      <c r="D37" s="145">
        <f>MAX(0,D35-D36)</f>
        <v/>
      </c>
      <c r="E37" s="145">
        <f>MAX(0,E35-E36)</f>
        <v/>
      </c>
      <c r="F37" s="145">
        <f>MAX(0,F35-F36)</f>
        <v/>
      </c>
      <c r="G37" s="145">
        <f>MAX(0,G35-G36)</f>
        <v/>
      </c>
      <c r="H37" s="145">
        <f>MAX(0,H35-H36)</f>
        <v/>
      </c>
      <c r="I37" s="145">
        <f>MAX(0,I35-I36)</f>
        <v/>
      </c>
      <c r="J37" s="145">
        <f>MAX(0,J35-J36)</f>
        <v/>
      </c>
      <c r="K37" s="145">
        <f>MAX(0,K35-K36)</f>
        <v/>
      </c>
      <c r="L37" s="145">
        <f>MAX(0,L35-L36)</f>
        <v/>
      </c>
      <c r="M37" s="145">
        <f>MAX(0,M35-M36)</f>
        <v/>
      </c>
      <c r="N37" s="145">
        <f>SUM(B37:M37)</f>
        <v/>
      </c>
    </row>
    <row r="39" ht="15" customHeight="1" s="83">
      <c r="A39" s="143" t="inlineStr">
        <is>
          <t>RESUMEN MENSUAL - TOTAL A PAGAR</t>
        </is>
      </c>
      <c r="B39" s="144" t="n"/>
      <c r="C39" s="144" t="n"/>
      <c r="D39" s="144" t="n"/>
      <c r="E39" s="144" t="n"/>
      <c r="F39" s="144" t="n"/>
      <c r="G39" s="144" t="n"/>
      <c r="H39" s="144" t="n"/>
      <c r="I39" s="144" t="n"/>
      <c r="J39" s="144" t="n"/>
      <c r="K39" s="144" t="n"/>
      <c r="L39" s="144" t="n"/>
      <c r="M39" s="144" t="n"/>
      <c r="N39" s="144" t="n"/>
      <c r="O39" s="144" t="n"/>
    </row>
    <row r="40" ht="15" customHeight="1" s="83">
      <c r="A40" s="101" t="inlineStr">
        <is>
          <t>IVA</t>
        </is>
      </c>
      <c r="B40" s="123">
        <f>B12</f>
        <v/>
      </c>
      <c r="C40" s="123">
        <f>C12</f>
        <v/>
      </c>
      <c r="D40" s="123">
        <f>D12</f>
        <v/>
      </c>
      <c r="E40" s="123">
        <f>E12</f>
        <v/>
      </c>
      <c r="F40" s="123">
        <f>F12</f>
        <v/>
      </c>
      <c r="G40" s="123">
        <f>G12</f>
        <v/>
      </c>
      <c r="H40" s="123">
        <f>H12</f>
        <v/>
      </c>
      <c r="I40" s="123">
        <f>I12</f>
        <v/>
      </c>
      <c r="J40" s="123">
        <f>J12</f>
        <v/>
      </c>
      <c r="K40" s="123">
        <f>K12</f>
        <v/>
      </c>
      <c r="L40" s="123">
        <f>L12</f>
        <v/>
      </c>
      <c r="M40" s="123">
        <f>M12</f>
        <v/>
      </c>
      <c r="N40" s="145">
        <f>SUM(B40:M40)</f>
        <v/>
      </c>
    </row>
    <row r="41" ht="15" customHeight="1" s="83">
      <c r="A41" s="101" t="inlineStr">
        <is>
          <t>IIBB CABA</t>
        </is>
      </c>
      <c r="B41" s="123">
        <f>B22</f>
        <v/>
      </c>
      <c r="C41" s="123">
        <f>C22</f>
        <v/>
      </c>
      <c r="D41" s="123">
        <f>D22</f>
        <v/>
      </c>
      <c r="E41" s="123">
        <f>E22</f>
        <v/>
      </c>
      <c r="F41" s="123">
        <f>F22</f>
        <v/>
      </c>
      <c r="G41" s="123">
        <f>G22</f>
        <v/>
      </c>
      <c r="H41" s="123">
        <f>H22</f>
        <v/>
      </c>
      <c r="I41" s="123">
        <f>I22</f>
        <v/>
      </c>
      <c r="J41" s="123">
        <f>J22</f>
        <v/>
      </c>
      <c r="K41" s="123">
        <f>K22</f>
        <v/>
      </c>
      <c r="L41" s="123">
        <f>L22</f>
        <v/>
      </c>
      <c r="M41" s="123">
        <f>M22</f>
        <v/>
      </c>
      <c r="N41" s="145">
        <f>SUM(B41:M41)</f>
        <v/>
      </c>
    </row>
    <row r="42" ht="15" customHeight="1" s="83">
      <c r="A42" s="101" t="inlineStr">
        <is>
          <t>IIBB Córdoba</t>
        </is>
      </c>
      <c r="B42" s="123">
        <f>B31</f>
        <v/>
      </c>
      <c r="C42" s="123">
        <f>C31</f>
        <v/>
      </c>
      <c r="D42" s="123">
        <f>D31</f>
        <v/>
      </c>
      <c r="E42" s="123">
        <f>E31</f>
        <v/>
      </c>
      <c r="F42" s="123">
        <f>F31</f>
        <v/>
      </c>
      <c r="G42" s="123">
        <f>G31</f>
        <v/>
      </c>
      <c r="H42" s="123">
        <f>H31</f>
        <v/>
      </c>
      <c r="I42" s="123">
        <f>I31</f>
        <v/>
      </c>
      <c r="J42" s="123">
        <f>J31</f>
        <v/>
      </c>
      <c r="K42" s="123">
        <f>K31</f>
        <v/>
      </c>
      <c r="L42" s="123">
        <f>L31</f>
        <v/>
      </c>
      <c r="M42" s="123">
        <f>M31</f>
        <v/>
      </c>
      <c r="N42" s="145">
        <f>SUM(B42:M42)</f>
        <v/>
      </c>
    </row>
    <row r="43" ht="15" customHeight="1" s="83">
      <c r="A43" s="101" t="inlineStr">
        <is>
          <t>Tasa Comercio Cba</t>
        </is>
      </c>
      <c r="B43" s="123">
        <f>B37</f>
        <v/>
      </c>
      <c r="C43" s="123">
        <f>C37</f>
        <v/>
      </c>
      <c r="D43" s="123">
        <f>D37</f>
        <v/>
      </c>
      <c r="E43" s="123">
        <f>E37</f>
        <v/>
      </c>
      <c r="F43" s="123">
        <f>F37</f>
        <v/>
      </c>
      <c r="G43" s="123">
        <f>G37</f>
        <v/>
      </c>
      <c r="H43" s="123">
        <f>H37</f>
        <v/>
      </c>
      <c r="I43" s="123">
        <f>I37</f>
        <v/>
      </c>
      <c r="J43" s="123">
        <f>J37</f>
        <v/>
      </c>
      <c r="K43" s="123">
        <f>K37</f>
        <v/>
      </c>
      <c r="L43" s="123">
        <f>L37</f>
        <v/>
      </c>
      <c r="M43" s="123">
        <f>M37</f>
        <v/>
      </c>
      <c r="N43" s="145">
        <f>SUM(B43:M43)</f>
        <v/>
      </c>
    </row>
    <row r="44" ht="15" customHeight="1" s="83">
      <c r="A44" s="147" t="inlineStr">
        <is>
          <t>TOTAL IMPUESTOS DEL MES</t>
        </is>
      </c>
      <c r="B44" s="148">
        <f>B40+B41+B42+B43</f>
        <v/>
      </c>
      <c r="C44" s="148">
        <f>C40+C41+C42+C43</f>
        <v/>
      </c>
      <c r="D44" s="148">
        <f>D40+D41+D42+D43</f>
        <v/>
      </c>
      <c r="E44" s="148">
        <f>E40+E41+E42+E43</f>
        <v/>
      </c>
      <c r="F44" s="148">
        <f>F40+F41+F42+F43</f>
        <v/>
      </c>
      <c r="G44" s="148">
        <f>G40+G41+G42+G43</f>
        <v/>
      </c>
      <c r="H44" s="148">
        <f>H40+H41+H42+H43</f>
        <v/>
      </c>
      <c r="I44" s="148">
        <f>I40+I41+I42+I43</f>
        <v/>
      </c>
      <c r="J44" s="148">
        <f>J40+J41+J42+J43</f>
        <v/>
      </c>
      <c r="K44" s="148">
        <f>K40+K41+K42+K43</f>
        <v/>
      </c>
      <c r="L44" s="148">
        <f>L40+L41+L42+L43</f>
        <v/>
      </c>
      <c r="M44" s="148">
        <f>M40+M41+M42+M43</f>
        <v/>
      </c>
      <c r="N44" s="148">
        <f>SUM(B44:M44)</f>
        <v/>
      </c>
    </row>
    <row r="45" ht="15" customHeight="1" s="83">
      <c r="A45" s="107" t="inlineStr">
        <is>
          <t>% Impuestos / Facturación</t>
        </is>
      </c>
      <c r="B45" s="142">
        <f>IFERROR(B44/B4,0)</f>
        <v/>
      </c>
      <c r="C45" s="142">
        <f>IFERROR(C44/C4,0)</f>
        <v/>
      </c>
      <c r="D45" s="142">
        <f>IFERROR(D44/D4,0)</f>
        <v/>
      </c>
      <c r="E45" s="142">
        <f>IFERROR(E44/E4,0)</f>
        <v/>
      </c>
      <c r="F45" s="142">
        <f>IFERROR(F44/F4,0)</f>
        <v/>
      </c>
      <c r="G45" s="142">
        <f>IFERROR(G44/G4,0)</f>
        <v/>
      </c>
      <c r="H45" s="142">
        <f>IFERROR(H44/H4,0)</f>
        <v/>
      </c>
      <c r="I45" s="142">
        <f>IFERROR(I44/I4,0)</f>
        <v/>
      </c>
      <c r="J45" s="142">
        <f>IFERROR(J44/J4,0)</f>
        <v/>
      </c>
      <c r="K45" s="142">
        <f>IFERROR(K44/K4,0)</f>
        <v/>
      </c>
      <c r="L45" s="142">
        <f>IFERROR(L44/L4,0)</f>
        <v/>
      </c>
      <c r="M45" s="142">
        <f>IFERROR(M44/M4,0)</f>
        <v/>
      </c>
      <c r="N45" s="149">
        <f>IFERROR(N44/N4,0)</f>
        <v/>
      </c>
    </row>
  </sheetData>
  <mergeCells count="1">
    <mergeCell ref="A1: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82" min="1" max="1"/>
    <col width="14" customWidth="1" style="82" min="2" max="14"/>
  </cols>
  <sheetData>
    <row r="1" ht="19.5" customHeight="1" s="83">
      <c r="A1" s="98" t="inlineStr">
        <is>
          <t>GRIFF SALUD SA</t>
        </is>
      </c>
    </row>
    <row r="2" ht="15" customHeight="1" s="83">
      <c r="A2" s="150" t="inlineStr">
        <is>
          <t>IMPUESTO AL VALOR AGREGADO · Liquidación mensual</t>
        </is>
      </c>
    </row>
    <row r="3" ht="15" customHeight="1" s="83">
      <c r="A3" s="99" t="inlineStr">
        <is>
          <t>Año 2026</t>
        </is>
      </c>
    </row>
    <row r="5" ht="21.75" customHeight="1" s="83">
      <c r="A5" s="100" t="inlineStr">
        <is>
          <t>Concepto</t>
        </is>
      </c>
      <c r="B5" s="100" t="inlineStr">
        <is>
          <t>Ene</t>
        </is>
      </c>
      <c r="C5" s="100" t="inlineStr">
        <is>
          <t>Feb</t>
        </is>
      </c>
      <c r="D5" s="100" t="inlineStr">
        <is>
          <t>Mar</t>
        </is>
      </c>
      <c r="E5" s="100" t="inlineStr">
        <is>
          <t>Abr</t>
        </is>
      </c>
      <c r="F5" s="100" t="inlineStr">
        <is>
          <t>May</t>
        </is>
      </c>
      <c r="G5" s="100" t="inlineStr">
        <is>
          <t>Jun</t>
        </is>
      </c>
      <c r="H5" s="100" t="inlineStr">
        <is>
          <t>Jul</t>
        </is>
      </c>
      <c r="I5" s="100" t="inlineStr">
        <is>
          <t>Ago</t>
        </is>
      </c>
      <c r="J5" s="100" t="inlineStr">
        <is>
          <t>Sep</t>
        </is>
      </c>
      <c r="K5" s="100" t="inlineStr">
        <is>
          <t>Oct</t>
        </is>
      </c>
      <c r="L5" s="100" t="inlineStr">
        <is>
          <t>Nov</t>
        </is>
      </c>
      <c r="M5" s="100" t="inlineStr">
        <is>
          <t>Dic</t>
        </is>
      </c>
      <c r="N5" s="100" t="inlineStr">
        <is>
          <t>Total Año</t>
        </is>
      </c>
    </row>
    <row r="6" ht="15" customHeight="1" s="83">
      <c r="A6" s="143" t="inlineStr">
        <is>
          <t>Operaciones del período</t>
        </is>
      </c>
    </row>
    <row r="7" ht="15" customHeight="1" s="83">
      <c r="A7" s="151" t="inlineStr">
        <is>
          <t>Neto Gravado 21%</t>
        </is>
      </c>
      <c r="B7" s="140">
        <f>Impuestos!B9</f>
        <v/>
      </c>
      <c r="C7" s="140">
        <f>Impuestos!C9</f>
        <v/>
      </c>
      <c r="D7" s="140">
        <f>Impuestos!D9</f>
        <v/>
      </c>
      <c r="E7" s="140">
        <f>Impuestos!E9</f>
        <v/>
      </c>
      <c r="F7" s="140">
        <f>Impuestos!F9</f>
        <v/>
      </c>
      <c r="G7" s="140">
        <f>Impuestos!G9</f>
        <v/>
      </c>
      <c r="H7" s="140">
        <f>Impuestos!H9</f>
        <v/>
      </c>
      <c r="I7" s="140">
        <f>Impuestos!I9</f>
        <v/>
      </c>
      <c r="J7" s="140">
        <f>Impuestos!J9</f>
        <v/>
      </c>
      <c r="K7" s="140">
        <f>Impuestos!K9</f>
        <v/>
      </c>
      <c r="L7" s="140">
        <f>Impuestos!L9</f>
        <v/>
      </c>
      <c r="M7" s="140">
        <f>Impuestos!M9</f>
        <v/>
      </c>
      <c r="N7" s="145">
        <f>SUM(B7:M7)</f>
        <v/>
      </c>
    </row>
    <row r="8" ht="15" customHeight="1" s="83">
      <c r="A8" s="151" t="inlineStr">
        <is>
          <t>Neto Gravado 10,5%</t>
        </is>
      </c>
      <c r="B8" s="140">
        <f>SUMIFS(Fac_IVA105,Fac_Mes,1,Fac_Anio,2026,Fac_EstadoAFIP,"&lt;&gt;Anulada")/0.105</f>
        <v/>
      </c>
      <c r="C8" s="140">
        <f>SUMIFS(Fac_IVA105,Fac_Mes,2,Fac_Anio,2026,Fac_EstadoAFIP,"&lt;&gt;Anulada")/0.105</f>
        <v/>
      </c>
      <c r="D8" s="140">
        <f>SUMIFS(Fac_IVA105,Fac_Mes,3,Fac_Anio,2026,Fac_EstadoAFIP,"&lt;&gt;Anulada")/0.105</f>
        <v/>
      </c>
      <c r="E8" s="140">
        <f>SUMIFS(Fac_IVA105,Fac_Mes,4,Fac_Anio,2026,Fac_EstadoAFIP,"&lt;&gt;Anulada")/0.105</f>
        <v/>
      </c>
      <c r="F8" s="140">
        <f>SUMIFS(Fac_IVA105,Fac_Mes,5,Fac_Anio,2026,Fac_EstadoAFIP,"&lt;&gt;Anulada")/0.105</f>
        <v/>
      </c>
      <c r="G8" s="140">
        <f>SUMIFS(Fac_IVA105,Fac_Mes,6,Fac_Anio,2026,Fac_EstadoAFIP,"&lt;&gt;Anulada")/0.105</f>
        <v/>
      </c>
      <c r="H8" s="140">
        <f>SUMIFS(Fac_IVA105,Fac_Mes,7,Fac_Anio,2026,Fac_EstadoAFIP,"&lt;&gt;Anulada")/0.105</f>
        <v/>
      </c>
      <c r="I8" s="140">
        <f>SUMIFS(Fac_IVA105,Fac_Mes,8,Fac_Anio,2026,Fac_EstadoAFIP,"&lt;&gt;Anulada")/0.105</f>
        <v/>
      </c>
      <c r="J8" s="140">
        <f>SUMIFS(Fac_IVA105,Fac_Mes,9,Fac_Anio,2026,Fac_EstadoAFIP,"&lt;&gt;Anulada")/0.105</f>
        <v/>
      </c>
      <c r="K8" s="140">
        <f>SUMIFS(Fac_IVA105,Fac_Mes,10,Fac_Anio,2026,Fac_EstadoAFIP,"&lt;&gt;Anulada")/0.105</f>
        <v/>
      </c>
      <c r="L8" s="140">
        <f>SUMIFS(Fac_IVA105,Fac_Mes,11,Fac_Anio,2026,Fac_EstadoAFIP,"&lt;&gt;Anulada")/0.105</f>
        <v/>
      </c>
      <c r="M8" s="140">
        <f>SUMIFS(Fac_IVA105,Fac_Mes,12,Fac_Anio,2026,Fac_EstadoAFIP,"&lt;&gt;Anulada")/0.105</f>
        <v/>
      </c>
      <c r="N8" s="145">
        <f>SUM(B8:M8)</f>
        <v/>
      </c>
    </row>
    <row r="9" ht="15" customHeight="1" s="83">
      <c r="A9" s="151" t="inlineStr">
        <is>
          <t>No Gravado / Exento</t>
        </is>
      </c>
      <c r="B9" s="140">
        <f>SUMIFS(Fac_NoGrav,Fac_Mes,1,Fac_Anio,2026,Fac_EstadoAFIP,"&lt;&gt;Anulada")</f>
        <v/>
      </c>
      <c r="C9" s="140">
        <f>SUMIFS(Fac_NoGrav,Fac_Mes,2,Fac_Anio,2026,Fac_EstadoAFIP,"&lt;&gt;Anulada")</f>
        <v/>
      </c>
      <c r="D9" s="140">
        <f>SUMIFS(Fac_NoGrav,Fac_Mes,3,Fac_Anio,2026,Fac_EstadoAFIP,"&lt;&gt;Anulada")</f>
        <v/>
      </c>
      <c r="E9" s="140">
        <f>SUMIFS(Fac_NoGrav,Fac_Mes,4,Fac_Anio,2026,Fac_EstadoAFIP,"&lt;&gt;Anulada")</f>
        <v/>
      </c>
      <c r="F9" s="140">
        <f>SUMIFS(Fac_NoGrav,Fac_Mes,5,Fac_Anio,2026,Fac_EstadoAFIP,"&lt;&gt;Anulada")</f>
        <v/>
      </c>
      <c r="G9" s="140">
        <f>SUMIFS(Fac_NoGrav,Fac_Mes,6,Fac_Anio,2026,Fac_EstadoAFIP,"&lt;&gt;Anulada")</f>
        <v/>
      </c>
      <c r="H9" s="140">
        <f>SUMIFS(Fac_NoGrav,Fac_Mes,7,Fac_Anio,2026,Fac_EstadoAFIP,"&lt;&gt;Anulada")</f>
        <v/>
      </c>
      <c r="I9" s="140">
        <f>SUMIFS(Fac_NoGrav,Fac_Mes,8,Fac_Anio,2026,Fac_EstadoAFIP,"&lt;&gt;Anulada")</f>
        <v/>
      </c>
      <c r="J9" s="140">
        <f>SUMIFS(Fac_NoGrav,Fac_Mes,9,Fac_Anio,2026,Fac_EstadoAFIP,"&lt;&gt;Anulada")</f>
        <v/>
      </c>
      <c r="K9" s="140">
        <f>SUMIFS(Fac_NoGrav,Fac_Mes,10,Fac_Anio,2026,Fac_EstadoAFIP,"&lt;&gt;Anulada")</f>
        <v/>
      </c>
      <c r="L9" s="140">
        <f>SUMIFS(Fac_NoGrav,Fac_Mes,11,Fac_Anio,2026,Fac_EstadoAFIP,"&lt;&gt;Anulada")</f>
        <v/>
      </c>
      <c r="M9" s="140">
        <f>SUMIFS(Fac_NoGrav,Fac_Mes,12,Fac_Anio,2026,Fac_EstadoAFIP,"&lt;&gt;Anulada")</f>
        <v/>
      </c>
      <c r="N9" s="145">
        <f>SUM(B9:M9)</f>
        <v/>
      </c>
    </row>
    <row r="10" ht="15" customHeight="1" s="83">
      <c r="A10" s="152" t="inlineStr">
        <is>
          <t>Total Facturado (neto)</t>
        </is>
      </c>
      <c r="B10" s="145">
        <f>B7+B8+B9</f>
        <v/>
      </c>
      <c r="C10" s="145">
        <f>C7+C8+C9</f>
        <v/>
      </c>
      <c r="D10" s="145">
        <f>D7+D8+D9</f>
        <v/>
      </c>
      <c r="E10" s="145">
        <f>E7+E8+E9</f>
        <v/>
      </c>
      <c r="F10" s="145">
        <f>F7+F8+F9</f>
        <v/>
      </c>
      <c r="G10" s="145">
        <f>G7+G8+G9</f>
        <v/>
      </c>
      <c r="H10" s="145">
        <f>H7+H8+H9</f>
        <v/>
      </c>
      <c r="I10" s="145">
        <f>I7+I8+I9</f>
        <v/>
      </c>
      <c r="J10" s="145">
        <f>J7+J8+J9</f>
        <v/>
      </c>
      <c r="K10" s="145">
        <f>K7+K8+K9</f>
        <v/>
      </c>
      <c r="L10" s="145">
        <f>L7+L8+L9</f>
        <v/>
      </c>
      <c r="M10" s="145">
        <f>M7+M8+M9</f>
        <v/>
      </c>
      <c r="N10" s="145">
        <f>SUM(B10:M10)</f>
        <v/>
      </c>
    </row>
    <row r="12" ht="15" customHeight="1" s="83">
      <c r="A12" s="143" t="inlineStr">
        <is>
          <t>IVA Débito Fiscal</t>
        </is>
      </c>
    </row>
    <row r="13" ht="15" customHeight="1" s="83">
      <c r="A13" s="151" t="inlineStr">
        <is>
          <t>IVA Débito 21%</t>
        </is>
      </c>
      <c r="B13" s="123">
        <f>B7*IVA_general</f>
        <v/>
      </c>
      <c r="C13" s="123">
        <f>C7*IVA_general</f>
        <v/>
      </c>
      <c r="D13" s="123">
        <f>D7*IVA_general</f>
        <v/>
      </c>
      <c r="E13" s="123">
        <f>E7*IVA_general</f>
        <v/>
      </c>
      <c r="F13" s="123">
        <f>F7*IVA_general</f>
        <v/>
      </c>
      <c r="G13" s="123">
        <f>G7*IVA_general</f>
        <v/>
      </c>
      <c r="H13" s="123">
        <f>H7*IVA_general</f>
        <v/>
      </c>
      <c r="I13" s="123">
        <f>I7*IVA_general</f>
        <v/>
      </c>
      <c r="J13" s="123">
        <f>J7*IVA_general</f>
        <v/>
      </c>
      <c r="K13" s="123">
        <f>K7*IVA_general</f>
        <v/>
      </c>
      <c r="L13" s="123">
        <f>L7*IVA_general</f>
        <v/>
      </c>
      <c r="M13" s="123">
        <f>M7*IVA_general</f>
        <v/>
      </c>
      <c r="N13" s="145">
        <f>SUM(B13:M13)</f>
        <v/>
      </c>
    </row>
    <row r="14" ht="15" customHeight="1" s="83">
      <c r="A14" s="151" t="inlineStr">
        <is>
          <t>IVA Débito 10,5%</t>
        </is>
      </c>
      <c r="B14" s="123">
        <f>B8*IVA_reducida</f>
        <v/>
      </c>
      <c r="C14" s="123">
        <f>C8*IVA_reducida</f>
        <v/>
      </c>
      <c r="D14" s="123">
        <f>D8*IVA_reducida</f>
        <v/>
      </c>
      <c r="E14" s="123">
        <f>E8*IVA_reducida</f>
        <v/>
      </c>
      <c r="F14" s="123">
        <f>F8*IVA_reducida</f>
        <v/>
      </c>
      <c r="G14" s="123">
        <f>G8*IVA_reducida</f>
        <v/>
      </c>
      <c r="H14" s="123">
        <f>H8*IVA_reducida</f>
        <v/>
      </c>
      <c r="I14" s="123">
        <f>I8*IVA_reducida</f>
        <v/>
      </c>
      <c r="J14" s="123">
        <f>J8*IVA_reducida</f>
        <v/>
      </c>
      <c r="K14" s="123">
        <f>K8*IVA_reducida</f>
        <v/>
      </c>
      <c r="L14" s="123">
        <f>L8*IVA_reducida</f>
        <v/>
      </c>
      <c r="M14" s="123">
        <f>M8*IVA_reducida</f>
        <v/>
      </c>
      <c r="N14" s="145">
        <f>SUM(B14:M14)</f>
        <v/>
      </c>
    </row>
    <row r="15" ht="15" customHeight="1" s="83">
      <c r="A15" s="152" t="inlineStr">
        <is>
          <t>Total IVA Débito</t>
        </is>
      </c>
      <c r="B15" s="145">
        <f>B13+B14</f>
        <v/>
      </c>
      <c r="C15" s="145">
        <f>C13+C14</f>
        <v/>
      </c>
      <c r="D15" s="145">
        <f>D13+D14</f>
        <v/>
      </c>
      <c r="E15" s="145">
        <f>E13+E14</f>
        <v/>
      </c>
      <c r="F15" s="145">
        <f>F13+F14</f>
        <v/>
      </c>
      <c r="G15" s="145">
        <f>G13+G14</f>
        <v/>
      </c>
      <c r="H15" s="145">
        <f>H13+H14</f>
        <v/>
      </c>
      <c r="I15" s="145">
        <f>I13+I14</f>
        <v/>
      </c>
      <c r="J15" s="145">
        <f>J13+J14</f>
        <v/>
      </c>
      <c r="K15" s="145">
        <f>K13+K14</f>
        <v/>
      </c>
      <c r="L15" s="145">
        <f>L13+L14</f>
        <v/>
      </c>
      <c r="M15" s="145">
        <f>M13+M14</f>
        <v/>
      </c>
      <c r="N15" s="145">
        <f>SUM(B15:M15)</f>
        <v/>
      </c>
    </row>
    <row r="17" ht="15" customHeight="1" s="83">
      <c r="A17" s="143" t="inlineStr">
        <is>
          <t>IVA Crédito Fiscal</t>
        </is>
      </c>
    </row>
    <row r="18" ht="15" customHeight="1" s="83">
      <c r="A18" s="151" t="inlineStr">
        <is>
          <t>% Crédito estimado (prorrateo) (Reglas)</t>
        </is>
      </c>
      <c r="B18" s="153">
        <f>Pct_credito</f>
        <v/>
      </c>
      <c r="C18" s="153">
        <f>Pct_credito</f>
        <v/>
      </c>
      <c r="D18" s="153">
        <f>Pct_credito</f>
        <v/>
      </c>
      <c r="E18" s="153">
        <f>Pct_credito</f>
        <v/>
      </c>
      <c r="F18" s="153">
        <f>Pct_credito</f>
        <v/>
      </c>
      <c r="G18" s="153">
        <f>Pct_credito</f>
        <v/>
      </c>
      <c r="H18" s="153">
        <f>Pct_credito</f>
        <v/>
      </c>
      <c r="I18" s="153">
        <f>Pct_credito</f>
        <v/>
      </c>
      <c r="J18" s="153">
        <f>Pct_credito</f>
        <v/>
      </c>
      <c r="K18" s="153">
        <f>Pct_credito</f>
        <v/>
      </c>
      <c r="L18" s="153">
        <f>Pct_credito</f>
        <v/>
      </c>
      <c r="M18" s="153">
        <f>Pct_credito</f>
        <v/>
      </c>
    </row>
    <row r="19" ht="15" customHeight="1" s="83">
      <c r="A19" s="151" t="inlineStr">
        <is>
          <t>IVA Crédito estimado (Débito × %)</t>
        </is>
      </c>
      <c r="B19" s="123">
        <f>B15*B18</f>
        <v/>
      </c>
      <c r="C19" s="123">
        <f>C15*C18</f>
        <v/>
      </c>
      <c r="D19" s="123">
        <f>D15*D18</f>
        <v/>
      </c>
      <c r="E19" s="123">
        <f>E15*E18</f>
        <v/>
      </c>
      <c r="F19" s="123">
        <f>F15*F18</f>
        <v/>
      </c>
      <c r="G19" s="123">
        <f>G15*G18</f>
        <v/>
      </c>
      <c r="H19" s="123">
        <f>H15*H18</f>
        <v/>
      </c>
      <c r="I19" s="123">
        <f>I15*I18</f>
        <v/>
      </c>
      <c r="J19" s="123">
        <f>J15*J18</f>
        <v/>
      </c>
      <c r="K19" s="123">
        <f>K15*K18</f>
        <v/>
      </c>
      <c r="L19" s="123">
        <f>L15*L18</f>
        <v/>
      </c>
      <c r="M19" s="123">
        <f>M15*M18</f>
        <v/>
      </c>
      <c r="N19" s="145">
        <f>SUM(B19:M19)</f>
        <v/>
      </c>
    </row>
    <row r="20" ht="15" customHeight="1" s="83">
      <c r="A20" s="151" t="inlineStr">
        <is>
          <t>IVA Crédito real (cargar manual si tenés)</t>
        </is>
      </c>
      <c r="B20" s="122" t="n">
        <v>0</v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0</v>
      </c>
      <c r="N20" s="145">
        <f>SUM(B20:M20)</f>
        <v/>
      </c>
    </row>
    <row r="21" ht="15" customHeight="1" s="83">
      <c r="A21" s="152" t="inlineStr">
        <is>
          <t>Total IVA Crédito (usa real si &gt; 0, sino estimado)</t>
        </is>
      </c>
      <c r="B21" s="145">
        <f>IF(B20&gt;0,B20,B19)</f>
        <v/>
      </c>
      <c r="C21" s="145">
        <f>IF(C20&gt;0,C20,C19)</f>
        <v/>
      </c>
      <c r="D21" s="145">
        <f>IF(D20&gt;0,D20,D19)</f>
        <v/>
      </c>
      <c r="E21" s="145">
        <f>IF(E20&gt;0,E20,E19)</f>
        <v/>
      </c>
      <c r="F21" s="145">
        <f>IF(F20&gt;0,F20,F19)</f>
        <v/>
      </c>
      <c r="G21" s="145">
        <f>IF(G20&gt;0,G20,G19)</f>
        <v/>
      </c>
      <c r="H21" s="145">
        <f>IF(H20&gt;0,H20,H19)</f>
        <v/>
      </c>
      <c r="I21" s="145">
        <f>IF(I20&gt;0,I20,I19)</f>
        <v/>
      </c>
      <c r="J21" s="145">
        <f>IF(J20&gt;0,J20,J19)</f>
        <v/>
      </c>
      <c r="K21" s="145">
        <f>IF(K20&gt;0,K20,K19)</f>
        <v/>
      </c>
      <c r="L21" s="145">
        <f>IF(L20&gt;0,L20,L19)</f>
        <v/>
      </c>
      <c r="M21" s="145">
        <f>IF(M20&gt;0,M20,M19)</f>
        <v/>
      </c>
      <c r="N21" s="145">
        <f>SUM(B21:M21)</f>
        <v/>
      </c>
    </row>
    <row r="23" ht="15" customHeight="1" s="83">
      <c r="A23" s="143" t="inlineStr">
        <is>
          <t>Liquidación</t>
        </is>
      </c>
    </row>
    <row r="24" ht="15" customHeight="1" s="83">
      <c r="A24" s="152" t="inlineStr">
        <is>
          <t>Saldo Técnico (Débito - Crédito)</t>
        </is>
      </c>
      <c r="B24" s="145">
        <f>B15-B21</f>
        <v/>
      </c>
      <c r="C24" s="145">
        <f>C15-C21</f>
        <v/>
      </c>
      <c r="D24" s="145">
        <f>D15-D21</f>
        <v/>
      </c>
      <c r="E24" s="145">
        <f>E15-E21</f>
        <v/>
      </c>
      <c r="F24" s="145">
        <f>F15-F21</f>
        <v/>
      </c>
      <c r="G24" s="145">
        <f>G15-G21</f>
        <v/>
      </c>
      <c r="H24" s="145">
        <f>H15-H21</f>
        <v/>
      </c>
      <c r="I24" s="145">
        <f>I15-I21</f>
        <v/>
      </c>
      <c r="J24" s="145">
        <f>J15-J21</f>
        <v/>
      </c>
      <c r="K24" s="145">
        <f>K15-K21</f>
        <v/>
      </c>
      <c r="L24" s="145">
        <f>L15-L21</f>
        <v/>
      </c>
      <c r="M24" s="145">
        <f>M15-M21</f>
        <v/>
      </c>
      <c r="N24" s="145">
        <f>SUM(B24:M24)</f>
        <v/>
      </c>
    </row>
    <row r="25" ht="15" customHeight="1" s="83">
      <c r="A25" s="151" t="inlineStr">
        <is>
          <t>(-) Saldo a favor anterior</t>
        </is>
      </c>
      <c r="B25" s="122" t="n">
        <v>0</v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45">
        <f>SUM(B25:M25)</f>
        <v/>
      </c>
    </row>
    <row r="26" ht="15" customHeight="1" s="83">
      <c r="A26" s="151" t="inlineStr">
        <is>
          <t>(-) Retenciones IVA sufridas</t>
        </is>
      </c>
      <c r="B26" s="122" t="n">
        <v>0</v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45">
        <f>SUM(B26:M26)</f>
        <v/>
      </c>
    </row>
    <row r="27" ht="15" customHeight="1" s="83">
      <c r="A27" s="151" t="inlineStr">
        <is>
          <t>(-) Percepciones IVA sufridas</t>
        </is>
      </c>
      <c r="B27" s="122" t="n">
        <v>0</v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45">
        <f>SUM(B27:M27)</f>
        <v/>
      </c>
    </row>
    <row r="28" ht="15" customHeight="1" s="83">
      <c r="A28" s="152" t="inlineStr">
        <is>
          <t>Saldo del Período</t>
        </is>
      </c>
      <c r="B28" s="145">
        <f>B24-B25-B26-B27</f>
        <v/>
      </c>
      <c r="C28" s="145">
        <f>C24-C25-C26-C27</f>
        <v/>
      </c>
      <c r="D28" s="145">
        <f>D24-D25-D26-D27</f>
        <v/>
      </c>
      <c r="E28" s="145">
        <f>E24-E25-E26-E27</f>
        <v/>
      </c>
      <c r="F28" s="145">
        <f>F24-F25-F26-F27</f>
        <v/>
      </c>
      <c r="G28" s="145">
        <f>G24-G25-G26-G27</f>
        <v/>
      </c>
      <c r="H28" s="145">
        <f>H24-H25-H26-H27</f>
        <v/>
      </c>
      <c r="I28" s="145">
        <f>I24-I25-I26-I27</f>
        <v/>
      </c>
      <c r="J28" s="145">
        <f>J24-J25-J26-J27</f>
        <v/>
      </c>
      <c r="K28" s="145">
        <f>K24-K25-K26-K27</f>
        <v/>
      </c>
      <c r="L28" s="145">
        <f>L24-L25-L26-L27</f>
        <v/>
      </c>
      <c r="M28" s="145">
        <f>M24-M25-M26-M27</f>
        <v/>
      </c>
      <c r="N28" s="145">
        <f>SUM(B28:M28)</f>
        <v/>
      </c>
    </row>
    <row r="29" ht="15" customHeight="1" s="83">
      <c r="A29" s="152" t="inlineStr">
        <is>
          <t>A favor (si saldo negativo)</t>
        </is>
      </c>
      <c r="B29" s="123">
        <f>MAX(0,-B28)</f>
        <v/>
      </c>
      <c r="C29" s="123">
        <f>MAX(0,-C28)</f>
        <v/>
      </c>
      <c r="D29" s="123">
        <f>MAX(0,-D28)</f>
        <v/>
      </c>
      <c r="E29" s="123">
        <f>MAX(0,-E28)</f>
        <v/>
      </c>
      <c r="F29" s="123">
        <f>MAX(0,-F28)</f>
        <v/>
      </c>
      <c r="G29" s="123">
        <f>MAX(0,-G28)</f>
        <v/>
      </c>
      <c r="H29" s="123">
        <f>MAX(0,-H28)</f>
        <v/>
      </c>
      <c r="I29" s="123">
        <f>MAX(0,-I28)</f>
        <v/>
      </c>
      <c r="J29" s="123">
        <f>MAX(0,-J28)</f>
        <v/>
      </c>
      <c r="K29" s="123">
        <f>MAX(0,-K28)</f>
        <v/>
      </c>
      <c r="L29" s="123">
        <f>MAX(0,-L28)</f>
        <v/>
      </c>
      <c r="M29" s="123">
        <f>MAX(0,-M28)</f>
        <v/>
      </c>
      <c r="N29" s="145">
        <f>SUM(B29:M29)</f>
        <v/>
      </c>
    </row>
    <row r="30" ht="15" customHeight="1" s="83">
      <c r="A30" s="152" t="inlineStr">
        <is>
          <t>A pagar (si saldo positivo)</t>
        </is>
      </c>
      <c r="B30" s="154">
        <f>MAX(0,B28)</f>
        <v/>
      </c>
      <c r="C30" s="154">
        <f>MAX(0,C28)</f>
        <v/>
      </c>
      <c r="D30" s="154">
        <f>MAX(0,D28)</f>
        <v/>
      </c>
      <c r="E30" s="154">
        <f>MAX(0,E28)</f>
        <v/>
      </c>
      <c r="F30" s="154">
        <f>MAX(0,F28)</f>
        <v/>
      </c>
      <c r="G30" s="154">
        <f>MAX(0,G28)</f>
        <v/>
      </c>
      <c r="H30" s="154">
        <f>MAX(0,H28)</f>
        <v/>
      </c>
      <c r="I30" s="154">
        <f>MAX(0,I28)</f>
        <v/>
      </c>
      <c r="J30" s="154">
        <f>MAX(0,J28)</f>
        <v/>
      </c>
      <c r="K30" s="154">
        <f>MAX(0,K28)</f>
        <v/>
      </c>
      <c r="L30" s="154">
        <f>MAX(0,L28)</f>
        <v/>
      </c>
      <c r="M30" s="154">
        <f>MAX(0,M28)</f>
        <v/>
      </c>
      <c r="N30" s="154">
        <f>SUM(B30:M30)</f>
        <v/>
      </c>
    </row>
    <row r="32" ht="15" customHeight="1" s="83">
      <c r="A32" s="143" t="inlineStr">
        <is>
          <t>Vencimientos y pagos</t>
        </is>
      </c>
    </row>
    <row r="33" ht="15" customHeight="1" s="83">
      <c r="A33" s="151" t="inlineStr">
        <is>
          <t>Vencimiento DDJJ + pago</t>
        </is>
      </c>
      <c r="B33" s="146">
        <f>DATE(2026,2,20)</f>
        <v/>
      </c>
      <c r="C33" s="146">
        <f>DATE(2026,3,20)</f>
        <v/>
      </c>
      <c r="D33" s="146">
        <f>DATE(2026,4,20)</f>
        <v/>
      </c>
      <c r="E33" s="146">
        <f>DATE(2026,5,20)</f>
        <v/>
      </c>
      <c r="F33" s="146">
        <f>DATE(2026,6,20)</f>
        <v/>
      </c>
      <c r="G33" s="146">
        <f>DATE(2026,7,20)</f>
        <v/>
      </c>
      <c r="H33" s="146">
        <f>DATE(2026,8,20)</f>
        <v/>
      </c>
      <c r="I33" s="146">
        <f>DATE(2026,9,20)</f>
        <v/>
      </c>
      <c r="J33" s="146">
        <f>DATE(2026,10,20)</f>
        <v/>
      </c>
      <c r="K33" s="146">
        <f>DATE(2026,11,20)</f>
        <v/>
      </c>
      <c r="L33" s="146">
        <f>DATE(2026,12,20)</f>
        <v/>
      </c>
      <c r="M33" s="146">
        <f>DATE(2027,1,20)</f>
        <v/>
      </c>
    </row>
    <row r="34" ht="15" customHeight="1" s="83">
      <c r="A34" s="151" t="inlineStr">
        <is>
          <t>Fecha de pago efectivo</t>
        </is>
      </c>
      <c r="B34" s="120" t="n"/>
      <c r="C34" s="120" t="n"/>
      <c r="D34" s="120" t="n"/>
      <c r="E34" s="120" t="n"/>
      <c r="F34" s="120" t="n"/>
      <c r="G34" s="120" t="n"/>
      <c r="H34" s="120" t="n"/>
      <c r="I34" s="120" t="n"/>
      <c r="J34" s="120" t="n"/>
      <c r="K34" s="120" t="n"/>
      <c r="L34" s="120" t="n"/>
      <c r="M34" s="120" t="n"/>
    </row>
  </sheetData>
  <mergeCells count="8">
    <mergeCell ref="A17:N17"/>
    <mergeCell ref="A3:N3"/>
    <mergeCell ref="A6:N6"/>
    <mergeCell ref="A12:N12"/>
    <mergeCell ref="A2:N2"/>
    <mergeCell ref="A23:N23"/>
    <mergeCell ref="A32:N3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6" customWidth="1" style="82" min="1" max="1"/>
    <col width="14" customWidth="1" style="82" min="2" max="14"/>
  </cols>
  <sheetData>
    <row r="1" ht="19.5" customHeight="1" s="83">
      <c r="A1" s="155" t="inlineStr">
        <is>
          <t>GRIFF SALUD SA</t>
        </is>
      </c>
    </row>
    <row r="2" ht="15" customHeight="1" s="83">
      <c r="A2" s="150" t="inlineStr">
        <is>
          <t>TASA COMERCIO E INDUSTRIA · Municipalidad de Córdoba</t>
        </is>
      </c>
    </row>
    <row r="3" ht="15" customHeight="1" s="83">
      <c r="A3" s="99" t="inlineStr">
        <is>
          <t>Año 2026</t>
        </is>
      </c>
    </row>
    <row r="5" ht="21.75" customHeight="1" s="83">
      <c r="A5" s="100" t="inlineStr">
        <is>
          <t>Concepto</t>
        </is>
      </c>
      <c r="B5" s="100" t="inlineStr">
        <is>
          <t>Ene</t>
        </is>
      </c>
      <c r="C5" s="100" t="inlineStr">
        <is>
          <t>Feb</t>
        </is>
      </c>
      <c r="D5" s="100" t="inlineStr">
        <is>
          <t>Mar</t>
        </is>
      </c>
      <c r="E5" s="100" t="inlineStr">
        <is>
          <t>Abr</t>
        </is>
      </c>
      <c r="F5" s="100" t="inlineStr">
        <is>
          <t>May</t>
        </is>
      </c>
      <c r="G5" s="100" t="inlineStr">
        <is>
          <t>Jun</t>
        </is>
      </c>
      <c r="H5" s="100" t="inlineStr">
        <is>
          <t>Jul</t>
        </is>
      </c>
      <c r="I5" s="100" t="inlineStr">
        <is>
          <t>Ago</t>
        </is>
      </c>
      <c r="J5" s="100" t="inlineStr">
        <is>
          <t>Sep</t>
        </is>
      </c>
      <c r="K5" s="100" t="inlineStr">
        <is>
          <t>Oct</t>
        </is>
      </c>
      <c r="L5" s="100" t="inlineStr">
        <is>
          <t>Nov</t>
        </is>
      </c>
      <c r="M5" s="100" t="inlineStr">
        <is>
          <t>Dic</t>
        </is>
      </c>
      <c r="N5" s="100" t="inlineStr">
        <is>
          <t>Total Año</t>
        </is>
      </c>
    </row>
    <row r="6" ht="15" customHeight="1" s="83">
      <c r="A6" s="156" t="inlineStr">
        <is>
          <t>Alícuota aplicable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5" t="n"/>
    </row>
    <row r="7" ht="15" customHeight="1" s="83">
      <c r="A7" s="151" t="inlineStr">
        <is>
          <t>Alícuota 2026</t>
        </is>
      </c>
      <c r="B7" s="153">
        <f>Tasa_2026</f>
        <v/>
      </c>
      <c r="C7" s="153">
        <f>Tasa_2026</f>
        <v/>
      </c>
      <c r="D7" s="153">
        <f>Tasa_2026</f>
        <v/>
      </c>
      <c r="E7" s="153">
        <f>Tasa_2026</f>
        <v/>
      </c>
      <c r="F7" s="153">
        <f>Tasa_2026</f>
        <v/>
      </c>
      <c r="G7" s="153">
        <f>Tasa_2026</f>
        <v/>
      </c>
      <c r="H7" s="153">
        <f>Tasa_2026</f>
        <v/>
      </c>
      <c r="I7" s="153">
        <f>Tasa_2026</f>
        <v/>
      </c>
      <c r="J7" s="153">
        <f>Tasa_2026</f>
        <v/>
      </c>
      <c r="K7" s="153">
        <f>Tasa_2026</f>
        <v/>
      </c>
      <c r="L7" s="153">
        <f>Tasa_2026</f>
        <v/>
      </c>
      <c r="M7" s="153">
        <f>Tasa_2026</f>
        <v/>
      </c>
    </row>
    <row r="9" ht="15" customHeight="1" s="83">
      <c r="A9" s="143" t="inlineStr">
        <is>
          <t>Liquidación mensual</t>
        </is>
      </c>
    </row>
    <row r="10" ht="15" customHeight="1" s="83">
      <c r="A10" s="152" t="inlineStr">
        <is>
          <t>1. Base Imponible (Facturación Cba)</t>
        </is>
      </c>
      <c r="B10" s="140">
        <f>Impuestos!B34</f>
        <v/>
      </c>
      <c r="C10" s="140">
        <f>Impuestos!C34</f>
        <v/>
      </c>
      <c r="D10" s="140">
        <f>Impuestos!D34</f>
        <v/>
      </c>
      <c r="E10" s="140">
        <f>Impuestos!E34</f>
        <v/>
      </c>
      <c r="F10" s="140">
        <f>Impuestos!F34</f>
        <v/>
      </c>
      <c r="G10" s="140">
        <f>Impuestos!G34</f>
        <v/>
      </c>
      <c r="H10" s="140">
        <f>Impuestos!H34</f>
        <v/>
      </c>
      <c r="I10" s="140">
        <f>Impuestos!I34</f>
        <v/>
      </c>
      <c r="J10" s="140">
        <f>Impuestos!J34</f>
        <v/>
      </c>
      <c r="K10" s="140">
        <f>Impuestos!K34</f>
        <v/>
      </c>
      <c r="L10" s="140">
        <f>Impuestos!L34</f>
        <v/>
      </c>
      <c r="M10" s="140">
        <f>Impuestos!M34</f>
        <v/>
      </c>
      <c r="N10" s="145">
        <f>SUM(B10:M10)</f>
        <v/>
      </c>
    </row>
    <row r="11" ht="15" customHeight="1" s="83">
      <c r="A11" s="152" t="inlineStr">
        <is>
          <t>2. Impuesto Determinado (Base × Alícuota)</t>
        </is>
      </c>
      <c r="B11" s="123">
        <f>B10*B7</f>
        <v/>
      </c>
      <c r="C11" s="123">
        <f>C10*C7</f>
        <v/>
      </c>
      <c r="D11" s="123">
        <f>D10*D7</f>
        <v/>
      </c>
      <c r="E11" s="123">
        <f>E10*E7</f>
        <v/>
      </c>
      <c r="F11" s="123">
        <f>F10*F7</f>
        <v/>
      </c>
      <c r="G11" s="123">
        <f>G10*G7</f>
        <v/>
      </c>
      <c r="H11" s="123">
        <f>H10*H7</f>
        <v/>
      </c>
      <c r="I11" s="123">
        <f>I10*I7</f>
        <v/>
      </c>
      <c r="J11" s="123">
        <f>J10*J7</f>
        <v/>
      </c>
      <c r="K11" s="123">
        <f>K10*K7</f>
        <v/>
      </c>
      <c r="L11" s="123">
        <f>L10*L7</f>
        <v/>
      </c>
      <c r="M11" s="123">
        <f>M10*M7</f>
        <v/>
      </c>
      <c r="N11" s="145">
        <f>SUM(B11:M11)</f>
        <v/>
      </c>
    </row>
    <row r="12" ht="15" customHeight="1" s="83">
      <c r="A12" s="151" t="inlineStr">
        <is>
          <t>3. (-) Retenciones</t>
        </is>
      </c>
      <c r="B12" s="122" t="n">
        <v>0</v>
      </c>
      <c r="C12" s="122" t="n">
        <v>0</v>
      </c>
      <c r="D12" s="122" t="n">
        <v>0</v>
      </c>
      <c r="E12" s="122" t="n">
        <v>0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45">
        <f>SUM(B12:M12)</f>
        <v/>
      </c>
    </row>
    <row r="13" ht="15" customHeight="1" s="83">
      <c r="A13" s="151" t="inlineStr">
        <is>
          <t>4. (-) Recaudaciones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2" t="n">
        <v>0</v>
      </c>
      <c r="H13" s="122" t="n">
        <v>0</v>
      </c>
      <c r="I13" s="122" t="n">
        <v>0</v>
      </c>
      <c r="J13" s="122" t="n">
        <v>0</v>
      </c>
      <c r="K13" s="122" t="n">
        <v>0</v>
      </c>
      <c r="L13" s="122" t="n">
        <v>0</v>
      </c>
      <c r="M13" s="122" t="n">
        <v>0</v>
      </c>
      <c r="N13" s="145">
        <f>SUM(B13:M13)</f>
        <v/>
      </c>
    </row>
    <row r="14" ht="15" customHeight="1" s="83">
      <c r="A14" s="151" t="inlineStr">
        <is>
          <t>5. (-) Anticipos / Pagos a cuenta</t>
        </is>
      </c>
      <c r="B14" s="122" t="n">
        <v>0</v>
      </c>
      <c r="C14" s="122" t="n">
        <v>0</v>
      </c>
      <c r="D14" s="122" t="n">
        <v>0</v>
      </c>
      <c r="E14" s="122" t="n">
        <v>0</v>
      </c>
      <c r="F14" s="122" t="n">
        <v>0</v>
      </c>
      <c r="G14" s="122" t="n">
        <v>0</v>
      </c>
      <c r="H14" s="122" t="n">
        <v>0</v>
      </c>
      <c r="I14" s="122" t="n">
        <v>0</v>
      </c>
      <c r="J14" s="122" t="n">
        <v>0</v>
      </c>
      <c r="K14" s="122" t="n">
        <v>0</v>
      </c>
      <c r="L14" s="122" t="n">
        <v>0</v>
      </c>
      <c r="M14" s="122" t="n">
        <v>0</v>
      </c>
      <c r="N14" s="145">
        <f>SUM(B14:M14)</f>
        <v/>
      </c>
    </row>
    <row r="15" ht="15" customHeight="1" s="83">
      <c r="A15" s="152" t="inlineStr">
        <is>
          <t>6. A pagar (estimado)</t>
        </is>
      </c>
      <c r="B15" s="154">
        <f>MAX(0,B11-B12-B13-B14)</f>
        <v/>
      </c>
      <c r="C15" s="154">
        <f>MAX(0,C11-C12-C13-C14)</f>
        <v/>
      </c>
      <c r="D15" s="154">
        <f>MAX(0,D11-D12-D13-D14)</f>
        <v/>
      </c>
      <c r="E15" s="154">
        <f>MAX(0,E11-E12-E13-E14)</f>
        <v/>
      </c>
      <c r="F15" s="154">
        <f>MAX(0,F11-F12-F13-F14)</f>
        <v/>
      </c>
      <c r="G15" s="154">
        <f>MAX(0,G11-G12-G13-G14)</f>
        <v/>
      </c>
      <c r="H15" s="154">
        <f>MAX(0,H11-H12-H13-H14)</f>
        <v/>
      </c>
      <c r="I15" s="154">
        <f>MAX(0,I11-I12-I13-I14)</f>
        <v/>
      </c>
      <c r="J15" s="154">
        <f>MAX(0,J11-J12-J13-J14)</f>
        <v/>
      </c>
      <c r="K15" s="154">
        <f>MAX(0,K11-K12-K13-K14)</f>
        <v/>
      </c>
      <c r="L15" s="154">
        <f>MAX(0,L11-L12-L13-L14)</f>
        <v/>
      </c>
      <c r="M15" s="154">
        <f>MAX(0,M11-M12-M13-M14)</f>
        <v/>
      </c>
      <c r="N15" s="154">
        <f>SUM(B15:M15)</f>
        <v/>
      </c>
    </row>
    <row r="16" ht="15" customHeight="1" s="83">
      <c r="A16" s="151" t="inlineStr">
        <is>
          <t>7. (+) Intereses</t>
        </is>
      </c>
      <c r="B16" s="122" t="n">
        <v>0</v>
      </c>
      <c r="C16" s="122" t="n">
        <v>0</v>
      </c>
      <c r="D16" s="122" t="n">
        <v>0</v>
      </c>
      <c r="E16" s="122" t="n">
        <v>0</v>
      </c>
      <c r="F16" s="122" t="n">
        <v>0</v>
      </c>
      <c r="G16" s="122" t="n">
        <v>0</v>
      </c>
      <c r="H16" s="122" t="n">
        <v>0</v>
      </c>
      <c r="I16" s="122" t="n">
        <v>0</v>
      </c>
      <c r="J16" s="122" t="n">
        <v>0</v>
      </c>
      <c r="K16" s="122" t="n">
        <v>0</v>
      </c>
      <c r="L16" s="122" t="n">
        <v>0</v>
      </c>
      <c r="M16" s="122" t="n">
        <v>0</v>
      </c>
      <c r="N16" s="145">
        <f>SUM(B16:M16)</f>
        <v/>
      </c>
    </row>
    <row r="17" ht="15" customHeight="1" s="83">
      <c r="A17" s="152" t="inlineStr">
        <is>
          <t>8. Total a pagar (con intereses)</t>
        </is>
      </c>
      <c r="B17" s="145">
        <f>B15+B16</f>
        <v/>
      </c>
      <c r="C17" s="145">
        <f>C15+C16</f>
        <v/>
      </c>
      <c r="D17" s="145">
        <f>D15+D16</f>
        <v/>
      </c>
      <c r="E17" s="145">
        <f>E15+E16</f>
        <v/>
      </c>
      <c r="F17" s="145">
        <f>F15+F16</f>
        <v/>
      </c>
      <c r="G17" s="145">
        <f>G15+G16</f>
        <v/>
      </c>
      <c r="H17" s="145">
        <f>H15+H16</f>
        <v/>
      </c>
      <c r="I17" s="145">
        <f>I15+I16</f>
        <v/>
      </c>
      <c r="J17" s="145">
        <f>J15+J16</f>
        <v/>
      </c>
      <c r="K17" s="145">
        <f>K15+K16</f>
        <v/>
      </c>
      <c r="L17" s="145">
        <f>L15+L16</f>
        <v/>
      </c>
      <c r="M17" s="145">
        <f>M15+M16</f>
        <v/>
      </c>
      <c r="N17" s="145">
        <f>SUM(B17:M17)</f>
        <v/>
      </c>
    </row>
    <row r="19" ht="15" customHeight="1" s="83">
      <c r="A19" s="143" t="inlineStr">
        <is>
          <t>Vencimientos y pagos</t>
        </is>
      </c>
    </row>
    <row r="20" ht="15" customHeight="1" s="83">
      <c r="A20" s="151" t="inlineStr">
        <is>
          <t>Vencimiento (15 del mes siguiente)</t>
        </is>
      </c>
      <c r="B20" s="146">
        <f>DATE(2026,2,15)</f>
        <v/>
      </c>
      <c r="C20" s="146">
        <f>DATE(2026,3,15)</f>
        <v/>
      </c>
      <c r="D20" s="146">
        <f>DATE(2026,4,15)</f>
        <v/>
      </c>
      <c r="E20" s="146">
        <f>DATE(2026,5,15)</f>
        <v/>
      </c>
      <c r="F20" s="146">
        <f>DATE(2026,6,15)</f>
        <v/>
      </c>
      <c r="G20" s="146">
        <f>DATE(2026,7,15)</f>
        <v/>
      </c>
      <c r="H20" s="146">
        <f>DATE(2026,8,15)</f>
        <v/>
      </c>
      <c r="I20" s="146">
        <f>DATE(2026,9,15)</f>
        <v/>
      </c>
      <c r="J20" s="146">
        <f>DATE(2026,10,15)</f>
        <v/>
      </c>
      <c r="K20" s="146">
        <f>DATE(2026,11,15)</f>
        <v/>
      </c>
      <c r="L20" s="146">
        <f>DATE(2026,12,15)</f>
        <v/>
      </c>
      <c r="M20" s="146">
        <f>DATE(2027,1,15)</f>
        <v/>
      </c>
    </row>
    <row r="21" ht="15" customHeight="1" s="83">
      <c r="A21" s="151" t="inlineStr">
        <is>
          <t>Fecha de pago</t>
        </is>
      </c>
      <c r="B21" s="120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</row>
    <row r="22" ht="15" customHeight="1" s="83">
      <c r="A22" s="151" t="inlineStr">
        <is>
          <t>Fecha de pago Anticipo</t>
        </is>
      </c>
      <c r="B22" s="120" t="n"/>
      <c r="C22" s="120" t="n"/>
      <c r="D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</row>
    <row r="24" ht="15" customHeight="1" s="83">
      <c r="A24" s="112" t="inlineStr">
        <is>
          <t>ℹ️ Las celdas azules son inputs - cargá retenciones, recaudaciones, anticipos y fechas de pago al recibir los certificados.</t>
        </is>
      </c>
    </row>
  </sheetData>
  <mergeCells count="7">
    <mergeCell ref="A9:N9"/>
    <mergeCell ref="A3:N3"/>
    <mergeCell ref="A6:N6"/>
    <mergeCell ref="A24:N24"/>
    <mergeCell ref="A2:N2"/>
    <mergeCell ref="A19:N19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82" min="1" max="1"/>
    <col width="14" customWidth="1" style="82" min="2" max="14"/>
  </cols>
  <sheetData>
    <row r="1" ht="19.5" customHeight="1" s="83">
      <c r="A1" s="155" t="inlineStr">
        <is>
          <t>GRIFF SALUD SA</t>
        </is>
      </c>
    </row>
    <row r="2" ht="15" customHeight="1" s="83">
      <c r="A2" s="150" t="inlineStr">
        <is>
          <t>INGRESOS BRUTOS - CONVENIO MULTILATERAL · 901 - CABA</t>
        </is>
      </c>
    </row>
    <row r="3" ht="15" customHeight="1" s="83">
      <c r="A3" s="99" t="inlineStr">
        <is>
          <t>Año 2026</t>
        </is>
      </c>
    </row>
    <row r="5" ht="21.75" customHeight="1" s="83">
      <c r="A5" s="100" t="inlineStr">
        <is>
          <t>Concepto</t>
        </is>
      </c>
      <c r="B5" s="100" t="inlineStr">
        <is>
          <t>Ene</t>
        </is>
      </c>
      <c r="C5" s="100" t="inlineStr">
        <is>
          <t>Feb</t>
        </is>
      </c>
      <c r="D5" s="100" t="inlineStr">
        <is>
          <t>Mar</t>
        </is>
      </c>
      <c r="E5" s="100" t="inlineStr">
        <is>
          <t>Abr</t>
        </is>
      </c>
      <c r="F5" s="100" t="inlineStr">
        <is>
          <t>May</t>
        </is>
      </c>
      <c r="G5" s="100" t="inlineStr">
        <is>
          <t>Jun</t>
        </is>
      </c>
      <c r="H5" s="100" t="inlineStr">
        <is>
          <t>Jul</t>
        </is>
      </c>
      <c r="I5" s="100" t="inlineStr">
        <is>
          <t>Ago</t>
        </is>
      </c>
      <c r="J5" s="100" t="inlineStr">
        <is>
          <t>Sep</t>
        </is>
      </c>
      <c r="K5" s="100" t="inlineStr">
        <is>
          <t>Oct</t>
        </is>
      </c>
      <c r="L5" s="100" t="inlineStr">
        <is>
          <t>Nov</t>
        </is>
      </c>
      <c r="M5" s="100" t="inlineStr">
        <is>
          <t>Dic</t>
        </is>
      </c>
      <c r="N5" s="100" t="inlineStr">
        <is>
          <t>Total Año</t>
        </is>
      </c>
    </row>
    <row r="6" ht="15" customHeight="1" s="83">
      <c r="A6" s="156" t="inlineStr">
        <is>
          <t>Coeficiente Unificado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5" t="n"/>
    </row>
    <row r="7" ht="15" customHeight="1" s="83">
      <c r="A7" s="151" t="inlineStr">
        <is>
          <t>Coeficiente Unificado</t>
        </is>
      </c>
      <c r="B7" s="157">
        <f>Coef_CABA</f>
        <v/>
      </c>
      <c r="C7" s="157">
        <f>Coef_CABA</f>
        <v/>
      </c>
      <c r="D7" s="157">
        <f>Coef_CABA</f>
        <v/>
      </c>
      <c r="E7" s="157">
        <f>Coef_CABA</f>
        <v/>
      </c>
      <c r="F7" s="157">
        <f>Coef_CABA</f>
        <v/>
      </c>
      <c r="G7" s="157">
        <f>Coef_CABA</f>
        <v/>
      </c>
      <c r="H7" s="157">
        <f>Coef_CABA</f>
        <v/>
      </c>
      <c r="I7" s="157">
        <f>Coef_CABA</f>
        <v/>
      </c>
      <c r="J7" s="157">
        <f>Coef_CABA</f>
        <v/>
      </c>
      <c r="K7" s="157">
        <f>Coef_CABA</f>
        <v/>
      </c>
      <c r="L7" s="157">
        <f>Coef_CABA</f>
        <v/>
      </c>
      <c r="M7" s="157">
        <f>Coef_CABA</f>
        <v/>
      </c>
    </row>
    <row r="9" ht="15" customHeight="1" s="83">
      <c r="A9" s="143" t="inlineStr">
        <is>
          <t>Bases Imponibles TOTALES (toda la actividad)</t>
        </is>
      </c>
    </row>
    <row r="10" ht="15" customHeight="1" s="83">
      <c r="A10" s="151" t="inlineStr">
        <is>
          <t>702010 - Servicios Gerenciamiento (total)</t>
        </is>
      </c>
      <c r="B10" s="140">
        <f>Impuestos!B5</f>
        <v/>
      </c>
      <c r="C10" s="140">
        <f>Impuestos!C5</f>
        <v/>
      </c>
      <c r="D10" s="140">
        <f>Impuestos!D5</f>
        <v/>
      </c>
      <c r="E10" s="140">
        <f>Impuestos!E5</f>
        <v/>
      </c>
      <c r="F10" s="140">
        <f>Impuestos!F5</f>
        <v/>
      </c>
      <c r="G10" s="140">
        <f>Impuestos!G5</f>
        <v/>
      </c>
      <c r="H10" s="140">
        <f>Impuestos!H5</f>
        <v/>
      </c>
      <c r="I10" s="140">
        <f>Impuestos!I5</f>
        <v/>
      </c>
      <c r="J10" s="140">
        <f>Impuestos!J5</f>
        <v/>
      </c>
      <c r="K10" s="140">
        <f>Impuestos!K5</f>
        <v/>
      </c>
      <c r="L10" s="140">
        <f>Impuestos!L5</f>
        <v/>
      </c>
      <c r="M10" s="140">
        <f>Impuestos!M5</f>
        <v/>
      </c>
      <c r="N10" s="145">
        <f>SUM(B10:M10)</f>
        <v/>
      </c>
    </row>
    <row r="11" ht="15" customHeight="1" s="83">
      <c r="A11" s="151" t="inlineStr">
        <is>
          <t>651110 - Servicios Seguros (total)</t>
        </is>
      </c>
      <c r="B11" s="140">
        <f>Impuestos!B6</f>
        <v/>
      </c>
      <c r="C11" s="140">
        <f>Impuestos!C6</f>
        <v/>
      </c>
      <c r="D11" s="140">
        <f>Impuestos!D6</f>
        <v/>
      </c>
      <c r="E11" s="140">
        <f>Impuestos!E6</f>
        <v/>
      </c>
      <c r="F11" s="140">
        <f>Impuestos!F6</f>
        <v/>
      </c>
      <c r="G11" s="140">
        <f>Impuestos!G6</f>
        <v/>
      </c>
      <c r="H11" s="140">
        <f>Impuestos!H6</f>
        <v/>
      </c>
      <c r="I11" s="140">
        <f>Impuestos!I6</f>
        <v/>
      </c>
      <c r="J11" s="140">
        <f>Impuestos!J6</f>
        <v/>
      </c>
      <c r="K11" s="140">
        <f>Impuestos!K6</f>
        <v/>
      </c>
      <c r="L11" s="140">
        <f>Impuestos!L6</f>
        <v/>
      </c>
      <c r="M11" s="140">
        <f>Impuestos!M6</f>
        <v/>
      </c>
      <c r="N11" s="145">
        <f>SUM(B11:M11)</f>
        <v/>
      </c>
    </row>
    <row r="13" ht="15" customHeight="1" s="83">
      <c r="A13" s="143" t="inlineStr">
        <is>
          <t>Bases Imponibles DISTRIBUIDAS a CABA (× coef)</t>
        </is>
      </c>
    </row>
    <row r="14" ht="15" customHeight="1" s="83">
      <c r="A14" s="151" t="inlineStr">
        <is>
          <t>702010 - Servicios Gerenciamiento</t>
        </is>
      </c>
      <c r="B14" s="140">
        <f>Impuestos!B16</f>
        <v/>
      </c>
      <c r="C14" s="140">
        <f>Impuestos!C16</f>
        <v/>
      </c>
      <c r="D14" s="140">
        <f>Impuestos!D16</f>
        <v/>
      </c>
      <c r="E14" s="140">
        <f>Impuestos!E16</f>
        <v/>
      </c>
      <c r="F14" s="140">
        <f>Impuestos!F16</f>
        <v/>
      </c>
      <c r="G14" s="140">
        <f>Impuestos!G16</f>
        <v/>
      </c>
      <c r="H14" s="140">
        <f>Impuestos!H16</f>
        <v/>
      </c>
      <c r="I14" s="140">
        <f>Impuestos!I16</f>
        <v/>
      </c>
      <c r="J14" s="140">
        <f>Impuestos!J16</f>
        <v/>
      </c>
      <c r="K14" s="140">
        <f>Impuestos!K16</f>
        <v/>
      </c>
      <c r="L14" s="140">
        <f>Impuestos!L16</f>
        <v/>
      </c>
      <c r="M14" s="140">
        <f>Impuestos!M16</f>
        <v/>
      </c>
      <c r="N14" s="145">
        <f>SUM(B14:M14)</f>
        <v/>
      </c>
    </row>
    <row r="15" ht="15" customHeight="1" s="83">
      <c r="A15" s="151" t="inlineStr">
        <is>
          <t>651110 - Servicios Seguros</t>
        </is>
      </c>
      <c r="B15" s="140">
        <f>Impuestos!B17</f>
        <v/>
      </c>
      <c r="C15" s="140">
        <f>Impuestos!C17</f>
        <v/>
      </c>
      <c r="D15" s="140">
        <f>Impuestos!D17</f>
        <v/>
      </c>
      <c r="E15" s="140">
        <f>Impuestos!E17</f>
        <v/>
      </c>
      <c r="F15" s="140">
        <f>Impuestos!F17</f>
        <v/>
      </c>
      <c r="G15" s="140">
        <f>Impuestos!G17</f>
        <v/>
      </c>
      <c r="H15" s="140">
        <f>Impuestos!H17</f>
        <v/>
      </c>
      <c r="I15" s="140">
        <f>Impuestos!I17</f>
        <v/>
      </c>
      <c r="J15" s="140">
        <f>Impuestos!J17</f>
        <v/>
      </c>
      <c r="K15" s="140">
        <f>Impuestos!K17</f>
        <v/>
      </c>
      <c r="L15" s="140">
        <f>Impuestos!L17</f>
        <v/>
      </c>
      <c r="M15" s="140">
        <f>Impuestos!M17</f>
        <v/>
      </c>
      <c r="N15" s="145">
        <f>SUM(B15:M15)</f>
        <v/>
      </c>
    </row>
    <row r="16" ht="15" customHeight="1" s="83">
      <c r="A16" s="152" t="inlineStr">
        <is>
          <t>TOTAL Base Imponible Jurisdiccional</t>
        </is>
      </c>
      <c r="B16" s="145">
        <f>B14+B15</f>
        <v/>
      </c>
      <c r="C16" s="145">
        <f>C14+C15</f>
        <v/>
      </c>
      <c r="D16" s="145">
        <f>D14+D15</f>
        <v/>
      </c>
      <c r="E16" s="145">
        <f>E14+E15</f>
        <v/>
      </c>
      <c r="F16" s="145">
        <f>F14+F15</f>
        <v/>
      </c>
      <c r="G16" s="145">
        <f>G14+G15</f>
        <v/>
      </c>
      <c r="H16" s="145">
        <f>H14+H15</f>
        <v/>
      </c>
      <c r="I16" s="145">
        <f>I14+I15</f>
        <v/>
      </c>
      <c r="J16" s="145">
        <f>J14+J15</f>
        <v/>
      </c>
      <c r="K16" s="145">
        <f>K14+K15</f>
        <v/>
      </c>
      <c r="L16" s="145">
        <f>L14+L15</f>
        <v/>
      </c>
      <c r="M16" s="145">
        <f>M14+M15</f>
        <v/>
      </c>
      <c r="N16" s="145">
        <f>SUM(B16:M16)</f>
        <v/>
      </c>
    </row>
    <row r="17" ht="15" customHeight="1" s="83">
      <c r="A17" s="158" t="inlineStr">
        <is>
          <t>CONTROL (Total Jurisdiccional vs Total × Coef)</t>
        </is>
      </c>
      <c r="B17" s="159">
        <f>ROUND(B16-(B10+B11)*Coef_CABA,2)</f>
        <v/>
      </c>
      <c r="C17" s="159">
        <f>ROUND(C16-(C10+C11)*Coef_CABA,2)</f>
        <v/>
      </c>
      <c r="D17" s="159">
        <f>ROUND(D16-(D10+D11)*Coef_CABA,2)</f>
        <v/>
      </c>
      <c r="E17" s="159">
        <f>ROUND(E16-(E10+E11)*Coef_CABA,2)</f>
        <v/>
      </c>
      <c r="F17" s="159">
        <f>ROUND(F16-(F10+F11)*Coef_CABA,2)</f>
        <v/>
      </c>
      <c r="G17" s="159">
        <f>ROUND(G16-(G10+G11)*Coef_CABA,2)</f>
        <v/>
      </c>
      <c r="H17" s="159">
        <f>ROUND(H16-(H10+H11)*Coef_CABA,2)</f>
        <v/>
      </c>
      <c r="I17" s="159">
        <f>ROUND(I16-(I10+I11)*Coef_CABA,2)</f>
        <v/>
      </c>
      <c r="J17" s="159">
        <f>ROUND(J16-(J10+J11)*Coef_CABA,2)</f>
        <v/>
      </c>
      <c r="K17" s="159">
        <f>ROUND(K16-(K10+K11)*Coef_CABA,2)</f>
        <v/>
      </c>
      <c r="L17" s="159">
        <f>ROUND(L16-(L10+L11)*Coef_CABA,2)</f>
        <v/>
      </c>
      <c r="M17" s="159">
        <f>ROUND(M16-(M10+M11)*Coef_CABA,2)</f>
        <v/>
      </c>
    </row>
    <row r="19" ht="15" customHeight="1" s="83">
      <c r="A19" s="143" t="inlineStr">
        <is>
          <t>Alícuotas</t>
        </is>
      </c>
    </row>
    <row r="20" ht="15" customHeight="1" s="83">
      <c r="A20" s="151" t="inlineStr">
        <is>
          <t>702010 - Servicios Gerenciamiento</t>
        </is>
      </c>
      <c r="B20" s="160">
        <f>Alic_702_CABA</f>
        <v/>
      </c>
      <c r="C20" s="160">
        <f>Alic_702_CABA</f>
        <v/>
      </c>
      <c r="D20" s="160">
        <f>Alic_702_CABA</f>
        <v/>
      </c>
      <c r="E20" s="160">
        <f>Alic_702_CABA</f>
        <v/>
      </c>
      <c r="F20" s="160">
        <f>Alic_702_CABA</f>
        <v/>
      </c>
      <c r="G20" s="160">
        <f>Alic_702_CABA</f>
        <v/>
      </c>
      <c r="H20" s="160">
        <f>Alic_702_CABA</f>
        <v/>
      </c>
      <c r="I20" s="160">
        <f>Alic_702_CABA</f>
        <v/>
      </c>
      <c r="J20" s="160">
        <f>Alic_702_CABA</f>
        <v/>
      </c>
      <c r="K20" s="160">
        <f>Alic_702_CABA</f>
        <v/>
      </c>
      <c r="L20" s="160">
        <f>Alic_702_CABA</f>
        <v/>
      </c>
      <c r="M20" s="160">
        <f>Alic_702_CABA</f>
        <v/>
      </c>
    </row>
    <row r="21" ht="15" customHeight="1" s="83">
      <c r="A21" s="151" t="inlineStr">
        <is>
          <t>651110 - Servicios Seguros</t>
        </is>
      </c>
      <c r="B21" s="160">
        <f>Alic_651_CABA</f>
        <v/>
      </c>
      <c r="C21" s="160">
        <f>Alic_651_CABA</f>
        <v/>
      </c>
      <c r="D21" s="160">
        <f>Alic_651_CABA</f>
        <v/>
      </c>
      <c r="E21" s="160">
        <f>Alic_651_CABA</f>
        <v/>
      </c>
      <c r="F21" s="160">
        <f>Alic_651_CABA</f>
        <v/>
      </c>
      <c r="G21" s="160">
        <f>Alic_651_CABA</f>
        <v/>
      </c>
      <c r="H21" s="160">
        <f>Alic_651_CABA</f>
        <v/>
      </c>
      <c r="I21" s="160">
        <f>Alic_651_CABA</f>
        <v/>
      </c>
      <c r="J21" s="160">
        <f>Alic_651_CABA</f>
        <v/>
      </c>
      <c r="K21" s="160">
        <f>Alic_651_CABA</f>
        <v/>
      </c>
      <c r="L21" s="160">
        <f>Alic_651_CABA</f>
        <v/>
      </c>
      <c r="M21" s="160">
        <f>Alic_651_CABA</f>
        <v/>
      </c>
    </row>
    <row r="23" ht="15" customHeight="1" s="83">
      <c r="A23" s="143" t="inlineStr">
        <is>
          <t>Impuesto Determinado</t>
        </is>
      </c>
    </row>
    <row r="24" ht="15" customHeight="1" s="83">
      <c r="A24" s="151" t="inlineStr">
        <is>
          <t>Impuesto 702010 (= base × alícuota)</t>
        </is>
      </c>
      <c r="B24" s="123">
        <f>B14*B20</f>
        <v/>
      </c>
      <c r="C24" s="123">
        <f>C14*C20</f>
        <v/>
      </c>
      <c r="D24" s="123">
        <f>D14*D20</f>
        <v/>
      </c>
      <c r="E24" s="123">
        <f>E14*E20</f>
        <v/>
      </c>
      <c r="F24" s="123">
        <f>F14*F20</f>
        <v/>
      </c>
      <c r="G24" s="123">
        <f>G14*G20</f>
        <v/>
      </c>
      <c r="H24" s="123">
        <f>H14*H20</f>
        <v/>
      </c>
      <c r="I24" s="123">
        <f>I14*I20</f>
        <v/>
      </c>
      <c r="J24" s="123">
        <f>J14*J20</f>
        <v/>
      </c>
      <c r="K24" s="123">
        <f>K14*K20</f>
        <v/>
      </c>
      <c r="L24" s="123">
        <f>L14*L20</f>
        <v/>
      </c>
      <c r="M24" s="123">
        <f>M14*M20</f>
        <v/>
      </c>
      <c r="N24" s="145">
        <f>SUM(B24:M24)</f>
        <v/>
      </c>
    </row>
    <row r="25" ht="15" customHeight="1" s="83">
      <c r="A25" s="151" t="inlineStr">
        <is>
          <t>Impuesto 651110 (= base × alícuota)</t>
        </is>
      </c>
      <c r="B25" s="123">
        <f>B15*B21</f>
        <v/>
      </c>
      <c r="C25" s="123">
        <f>C15*C21</f>
        <v/>
      </c>
      <c r="D25" s="123">
        <f>D15*D21</f>
        <v/>
      </c>
      <c r="E25" s="123">
        <f>E15*E21</f>
        <v/>
      </c>
      <c r="F25" s="123">
        <f>F15*F21</f>
        <v/>
      </c>
      <c r="G25" s="123">
        <f>G15*G21</f>
        <v/>
      </c>
      <c r="H25" s="123">
        <f>H15*H21</f>
        <v/>
      </c>
      <c r="I25" s="123">
        <f>I15*I21</f>
        <v/>
      </c>
      <c r="J25" s="123">
        <f>J15*J21</f>
        <v/>
      </c>
      <c r="K25" s="123">
        <f>K15*K21</f>
        <v/>
      </c>
      <c r="L25" s="123">
        <f>L15*L21</f>
        <v/>
      </c>
      <c r="M25" s="123">
        <f>M15*M21</f>
        <v/>
      </c>
      <c r="N25" s="145">
        <f>SUM(B25:M25)</f>
        <v/>
      </c>
    </row>
    <row r="26" ht="15" customHeight="1" s="83">
      <c r="A26" s="152" t="inlineStr">
        <is>
          <t>Sub-total Impuesto</t>
        </is>
      </c>
      <c r="B26" s="145">
        <f>B24+B25</f>
        <v/>
      </c>
      <c r="C26" s="145">
        <f>C24+C25</f>
        <v/>
      </c>
      <c r="D26" s="145">
        <f>D24+D25</f>
        <v/>
      </c>
      <c r="E26" s="145">
        <f>E24+E25</f>
        <v/>
      </c>
      <c r="F26" s="145">
        <f>F24+F25</f>
        <v/>
      </c>
      <c r="G26" s="145">
        <f>G24+G25</f>
        <v/>
      </c>
      <c r="H26" s="145">
        <f>H24+H25</f>
        <v/>
      </c>
      <c r="I26" s="145">
        <f>I24+I25</f>
        <v/>
      </c>
      <c r="J26" s="145">
        <f>J24+J25</f>
        <v/>
      </c>
      <c r="K26" s="145">
        <f>K24+K25</f>
        <v/>
      </c>
      <c r="L26" s="145">
        <f>L24+L25</f>
        <v/>
      </c>
      <c r="M26" s="145">
        <f>M24+M25</f>
        <v/>
      </c>
      <c r="N26" s="145">
        <f>SUM(B26:M26)</f>
        <v/>
      </c>
    </row>
    <row r="27" ht="15" customHeight="1" s="83">
      <c r="A27" s="151" t="inlineStr">
        <is>
          <t>(+) Adicional Fofise</t>
        </is>
      </c>
      <c r="B27" s="122" t="n">
        <v>0</v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45">
        <f>SUM(B27:M27)</f>
        <v/>
      </c>
    </row>
    <row r="28" ht="15" customHeight="1" s="83">
      <c r="A28" s="151" t="inlineStr">
        <is>
          <t>(+) Adicional FFOI</t>
        </is>
      </c>
      <c r="B28" s="122" t="n">
        <v>0</v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45">
        <f>SUM(B28:M28)</f>
        <v/>
      </c>
    </row>
    <row r="29" ht="15" customHeight="1" s="83">
      <c r="A29" s="152" t="inlineStr">
        <is>
          <t>Total Determinado</t>
        </is>
      </c>
      <c r="B29" s="145">
        <f>B26+B27+B28</f>
        <v/>
      </c>
      <c r="C29" s="145">
        <f>C26+C27+C28</f>
        <v/>
      </c>
      <c r="D29" s="145">
        <f>D26+D27+D28</f>
        <v/>
      </c>
      <c r="E29" s="145">
        <f>E26+E27+E28</f>
        <v/>
      </c>
      <c r="F29" s="145">
        <f>F26+F27+F28</f>
        <v/>
      </c>
      <c r="G29" s="145">
        <f>G26+G27+G28</f>
        <v/>
      </c>
      <c r="H29" s="145">
        <f>H26+H27+H28</f>
        <v/>
      </c>
      <c r="I29" s="145">
        <f>I26+I27+I28</f>
        <v/>
      </c>
      <c r="J29" s="145">
        <f>J26+J27+J28</f>
        <v/>
      </c>
      <c r="K29" s="145">
        <f>K26+K27+K28</f>
        <v/>
      </c>
      <c r="L29" s="145">
        <f>L26+L27+L28</f>
        <v/>
      </c>
      <c r="M29" s="145">
        <f>M26+M27+M28</f>
        <v/>
      </c>
      <c r="N29" s="145">
        <f>SUM(B29:M29)</f>
        <v/>
      </c>
    </row>
    <row r="31" ht="15" customHeight="1" s="83">
      <c r="A31" s="143" t="inlineStr">
        <is>
          <t>Deducciones</t>
        </is>
      </c>
    </row>
    <row r="32" ht="15" customHeight="1" s="83">
      <c r="A32" s="151" t="inlineStr">
        <is>
          <t>(-) Recaudaciones</t>
        </is>
      </c>
      <c r="B32" s="122" t="n">
        <v>0</v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45">
        <f>SUM(B32:M32)</f>
        <v/>
      </c>
    </row>
    <row r="33" ht="15" customHeight="1" s="83">
      <c r="A33" s="151" t="inlineStr">
        <is>
          <t>(-) Retenciones</t>
        </is>
      </c>
      <c r="B33" s="122" t="n">
        <v>0</v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45">
        <f>SUM(B33:M33)</f>
        <v/>
      </c>
    </row>
    <row r="34" ht="15" customHeight="1" s="83">
      <c r="A34" s="151" t="inlineStr">
        <is>
          <t>(-) Percepciones</t>
        </is>
      </c>
      <c r="B34" s="122" t="n">
        <v>0</v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45">
        <f>SUM(B34:M34)</f>
        <v/>
      </c>
    </row>
    <row r="35" ht="15" customHeight="1" s="83">
      <c r="A35" s="151" t="inlineStr">
        <is>
          <t>(-) Saldo a favor anterior</t>
        </is>
      </c>
      <c r="B35" s="122" t="n">
        <v>0</v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45">
        <f>SUM(B35:M35)</f>
        <v/>
      </c>
    </row>
    <row r="36" ht="15" customHeight="1" s="83">
      <c r="A36" s="151" t="inlineStr">
        <is>
          <t>(-) Pagos a cuenta</t>
        </is>
      </c>
      <c r="B36" s="122" t="n">
        <v>0</v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45">
        <f>SUM(B36:M36)</f>
        <v/>
      </c>
    </row>
    <row r="38" ht="15" customHeight="1" s="83">
      <c r="A38" s="143" t="inlineStr">
        <is>
          <t>Resultado</t>
        </is>
      </c>
    </row>
    <row r="39" ht="15" customHeight="1" s="83">
      <c r="A39" s="151" t="inlineStr">
        <is>
          <t>Saldo Período</t>
        </is>
      </c>
      <c r="B39" s="123">
        <f>B29-B32-B33-B34-B35-B36</f>
        <v/>
      </c>
      <c r="C39" s="123">
        <f>C29-C32-C33-C34-C35-C36</f>
        <v/>
      </c>
      <c r="D39" s="123">
        <f>D29-D32-D33-D34-D35-D36</f>
        <v/>
      </c>
      <c r="E39" s="123">
        <f>E29-E32-E33-E34-E35-E36</f>
        <v/>
      </c>
      <c r="F39" s="123">
        <f>F29-F32-F33-F34-F35-F36</f>
        <v/>
      </c>
      <c r="G39" s="123">
        <f>G29-G32-G33-G34-G35-G36</f>
        <v/>
      </c>
      <c r="H39" s="123">
        <f>H29-H32-H33-H34-H35-H36</f>
        <v/>
      </c>
      <c r="I39" s="123">
        <f>I29-I32-I33-I34-I35-I36</f>
        <v/>
      </c>
      <c r="J39" s="123">
        <f>J29-J32-J33-J34-J35-J36</f>
        <v/>
      </c>
      <c r="K39" s="123">
        <f>K29-K32-K33-K34-K35-K36</f>
        <v/>
      </c>
      <c r="L39" s="123">
        <f>L29-L32-L33-L34-L35-L36</f>
        <v/>
      </c>
      <c r="M39" s="123">
        <f>M29-M32-M33-M34-M35-M36</f>
        <v/>
      </c>
      <c r="N39" s="145">
        <f>SUM(B39:M39)</f>
        <v/>
      </c>
    </row>
    <row r="40" ht="15" customHeight="1" s="83">
      <c r="A40" s="152" t="inlineStr">
        <is>
          <t>A favor (si saldo negativo)</t>
        </is>
      </c>
      <c r="B40" s="123">
        <f>MAX(0,-B39)</f>
        <v/>
      </c>
      <c r="C40" s="123">
        <f>MAX(0,-C39)</f>
        <v/>
      </c>
      <c r="D40" s="123">
        <f>MAX(0,-D39)</f>
        <v/>
      </c>
      <c r="E40" s="123">
        <f>MAX(0,-E39)</f>
        <v/>
      </c>
      <c r="F40" s="123">
        <f>MAX(0,-F39)</f>
        <v/>
      </c>
      <c r="G40" s="123">
        <f>MAX(0,-G39)</f>
        <v/>
      </c>
      <c r="H40" s="123">
        <f>MAX(0,-H39)</f>
        <v/>
      </c>
      <c r="I40" s="123">
        <f>MAX(0,-I39)</f>
        <v/>
      </c>
      <c r="J40" s="123">
        <f>MAX(0,-J39)</f>
        <v/>
      </c>
      <c r="K40" s="123">
        <f>MAX(0,-K39)</f>
        <v/>
      </c>
      <c r="L40" s="123">
        <f>MAX(0,-L39)</f>
        <v/>
      </c>
      <c r="M40" s="123">
        <f>MAX(0,-M39)</f>
        <v/>
      </c>
      <c r="N40" s="145">
        <f>SUM(B40:M40)</f>
        <v/>
      </c>
    </row>
    <row r="41" ht="15" customHeight="1" s="83">
      <c r="A41" s="152" t="inlineStr">
        <is>
          <t>A pagar (si saldo positivo)</t>
        </is>
      </c>
      <c r="B41" s="154">
        <f>MAX(0,B39)</f>
        <v/>
      </c>
      <c r="C41" s="154">
        <f>MAX(0,C39)</f>
        <v/>
      </c>
      <c r="D41" s="154">
        <f>MAX(0,D39)</f>
        <v/>
      </c>
      <c r="E41" s="154">
        <f>MAX(0,E39)</f>
        <v/>
      </c>
      <c r="F41" s="154">
        <f>MAX(0,F39)</f>
        <v/>
      </c>
      <c r="G41" s="154">
        <f>MAX(0,G39)</f>
        <v/>
      </c>
      <c r="H41" s="154">
        <f>MAX(0,H39)</f>
        <v/>
      </c>
      <c r="I41" s="154">
        <f>MAX(0,I39)</f>
        <v/>
      </c>
      <c r="J41" s="154">
        <f>MAX(0,J39)</f>
        <v/>
      </c>
      <c r="K41" s="154">
        <f>MAX(0,K39)</f>
        <v/>
      </c>
      <c r="L41" s="154">
        <f>MAX(0,L39)</f>
        <v/>
      </c>
      <c r="M41" s="154">
        <f>MAX(0,M39)</f>
        <v/>
      </c>
      <c r="N41" s="154">
        <f>SUM(B41:M41)</f>
        <v/>
      </c>
    </row>
    <row r="43" ht="15" customHeight="1" s="83">
      <c r="A43" s="143" t="inlineStr">
        <is>
          <t>Vencimientos y pagos</t>
        </is>
      </c>
    </row>
    <row r="44" ht="15" customHeight="1" s="83">
      <c r="A44" s="151" t="inlineStr">
        <is>
          <t>Vencimiento (cronograma CM)</t>
        </is>
      </c>
      <c r="B44" s="146">
        <f>DATE(2026,2,18)</f>
        <v/>
      </c>
      <c r="C44" s="146">
        <f>DATE(2026,3,18)</f>
        <v/>
      </c>
      <c r="D44" s="146">
        <f>DATE(2026,4,18)</f>
        <v/>
      </c>
      <c r="E44" s="146">
        <f>DATE(2026,5,18)</f>
        <v/>
      </c>
      <c r="F44" s="146">
        <f>DATE(2026,6,18)</f>
        <v/>
      </c>
      <c r="G44" s="146">
        <f>DATE(2026,7,18)</f>
        <v/>
      </c>
      <c r="H44" s="146">
        <f>DATE(2026,8,18)</f>
        <v/>
      </c>
      <c r="I44" s="146">
        <f>DATE(2026,9,18)</f>
        <v/>
      </c>
      <c r="J44" s="146">
        <f>DATE(2026,10,18)</f>
        <v/>
      </c>
      <c r="K44" s="146">
        <f>DATE(2026,11,18)</f>
        <v/>
      </c>
      <c r="L44" s="146">
        <f>DATE(2026,12,18)</f>
        <v/>
      </c>
      <c r="M44" s="146">
        <f>DATE(2027,1,18)</f>
        <v/>
      </c>
    </row>
    <row r="45" ht="15" customHeight="1" s="83">
      <c r="A45" s="151" t="inlineStr">
        <is>
          <t>Fecha de pago</t>
        </is>
      </c>
      <c r="B45" s="120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</row>
    <row r="47" ht="15" customHeight="1" s="83">
      <c r="A47" s="112" t="inlineStr">
        <is>
          <t>ℹ️ Celdas azules = inputs (cargá retenciones, percepciones, saldo a favor anterior, pagos a cuenta y fechas de pago).</t>
        </is>
      </c>
    </row>
  </sheetData>
  <mergeCells count="12">
    <mergeCell ref="A9:N9"/>
    <mergeCell ref="A31:N31"/>
    <mergeCell ref="A3:N3"/>
    <mergeCell ref="A6:N6"/>
    <mergeCell ref="A38:N38"/>
    <mergeCell ref="A2:N2"/>
    <mergeCell ref="A43:N43"/>
    <mergeCell ref="A19:N19"/>
    <mergeCell ref="A47:N47"/>
    <mergeCell ref="A23:N23"/>
    <mergeCell ref="A13:N1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82" min="1" max="1"/>
    <col width="14" customWidth="1" style="82" min="2" max="14"/>
  </cols>
  <sheetData>
    <row r="1" ht="19.5" customHeight="1" s="83">
      <c r="A1" s="155" t="inlineStr">
        <is>
          <t>GRIFF SALUD SA</t>
        </is>
      </c>
    </row>
    <row r="2" ht="15" customHeight="1" s="83">
      <c r="A2" s="150" t="inlineStr">
        <is>
          <t>INGRESOS BRUTOS - CONVENIO MULTILATERAL · 904 - Cordoba</t>
        </is>
      </c>
    </row>
    <row r="3" ht="15" customHeight="1" s="83">
      <c r="A3" s="99" t="inlineStr">
        <is>
          <t>Año 2026</t>
        </is>
      </c>
    </row>
    <row r="5" ht="21.75" customHeight="1" s="83">
      <c r="A5" s="100" t="inlineStr">
        <is>
          <t>Concepto</t>
        </is>
      </c>
      <c r="B5" s="100" t="inlineStr">
        <is>
          <t>Ene</t>
        </is>
      </c>
      <c r="C5" s="100" t="inlineStr">
        <is>
          <t>Feb</t>
        </is>
      </c>
      <c r="D5" s="100" t="inlineStr">
        <is>
          <t>Mar</t>
        </is>
      </c>
      <c r="E5" s="100" t="inlineStr">
        <is>
          <t>Abr</t>
        </is>
      </c>
      <c r="F5" s="100" t="inlineStr">
        <is>
          <t>May</t>
        </is>
      </c>
      <c r="G5" s="100" t="inlineStr">
        <is>
          <t>Jun</t>
        </is>
      </c>
      <c r="H5" s="100" t="inlineStr">
        <is>
          <t>Jul</t>
        </is>
      </c>
      <c r="I5" s="100" t="inlineStr">
        <is>
          <t>Ago</t>
        </is>
      </c>
      <c r="J5" s="100" t="inlineStr">
        <is>
          <t>Sep</t>
        </is>
      </c>
      <c r="K5" s="100" t="inlineStr">
        <is>
          <t>Oct</t>
        </is>
      </c>
      <c r="L5" s="100" t="inlineStr">
        <is>
          <t>Nov</t>
        </is>
      </c>
      <c r="M5" s="100" t="inlineStr">
        <is>
          <t>Dic</t>
        </is>
      </c>
      <c r="N5" s="100" t="inlineStr">
        <is>
          <t>Total Año</t>
        </is>
      </c>
    </row>
    <row r="6" ht="15" customHeight="1" s="83">
      <c r="A6" s="156" t="inlineStr">
        <is>
          <t>Coeficiente Unificado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5" t="n"/>
    </row>
    <row r="7" ht="15" customHeight="1" s="83">
      <c r="A7" s="151" t="inlineStr">
        <is>
          <t>Coeficiente Unificado</t>
        </is>
      </c>
      <c r="B7" s="157">
        <f>Coef_Cba</f>
        <v/>
      </c>
      <c r="C7" s="157">
        <f>Coef_Cba</f>
        <v/>
      </c>
      <c r="D7" s="157">
        <f>Coef_Cba</f>
        <v/>
      </c>
      <c r="E7" s="157">
        <f>Coef_Cba</f>
        <v/>
      </c>
      <c r="F7" s="157">
        <f>Coef_Cba</f>
        <v/>
      </c>
      <c r="G7" s="157">
        <f>Coef_Cba</f>
        <v/>
      </c>
      <c r="H7" s="157">
        <f>Coef_Cba</f>
        <v/>
      </c>
      <c r="I7" s="157">
        <f>Coef_Cba</f>
        <v/>
      </c>
      <c r="J7" s="157">
        <f>Coef_Cba</f>
        <v/>
      </c>
      <c r="K7" s="157">
        <f>Coef_Cba</f>
        <v/>
      </c>
      <c r="L7" s="157">
        <f>Coef_Cba</f>
        <v/>
      </c>
      <c r="M7" s="157">
        <f>Coef_Cba</f>
        <v/>
      </c>
    </row>
    <row r="9" ht="15" customHeight="1" s="83">
      <c r="A9" s="143" t="inlineStr">
        <is>
          <t>Bases Imponibles TOTALES (toda la actividad)</t>
        </is>
      </c>
    </row>
    <row r="10" ht="15" customHeight="1" s="83">
      <c r="A10" s="151" t="inlineStr">
        <is>
          <t>702010 - Servicios Gerenciamiento (total)</t>
        </is>
      </c>
      <c r="B10" s="140">
        <f>Impuestos!B5</f>
        <v/>
      </c>
      <c r="C10" s="140">
        <f>Impuestos!C5</f>
        <v/>
      </c>
      <c r="D10" s="140">
        <f>Impuestos!D5</f>
        <v/>
      </c>
      <c r="E10" s="140">
        <f>Impuestos!E5</f>
        <v/>
      </c>
      <c r="F10" s="140">
        <f>Impuestos!F5</f>
        <v/>
      </c>
      <c r="G10" s="140">
        <f>Impuestos!G5</f>
        <v/>
      </c>
      <c r="H10" s="140">
        <f>Impuestos!H5</f>
        <v/>
      </c>
      <c r="I10" s="140">
        <f>Impuestos!I5</f>
        <v/>
      </c>
      <c r="J10" s="140">
        <f>Impuestos!J5</f>
        <v/>
      </c>
      <c r="K10" s="140">
        <f>Impuestos!K5</f>
        <v/>
      </c>
      <c r="L10" s="140">
        <f>Impuestos!L5</f>
        <v/>
      </c>
      <c r="M10" s="140">
        <f>Impuestos!M5</f>
        <v/>
      </c>
      <c r="N10" s="145">
        <f>SUM(B10:M10)</f>
        <v/>
      </c>
    </row>
    <row r="11" ht="15" customHeight="1" s="83">
      <c r="A11" s="151" t="inlineStr">
        <is>
          <t>651110 - Servicios Seguros (total)</t>
        </is>
      </c>
      <c r="B11" s="140">
        <f>Impuestos!B6</f>
        <v/>
      </c>
      <c r="C11" s="140">
        <f>Impuestos!C6</f>
        <v/>
      </c>
      <c r="D11" s="140">
        <f>Impuestos!D6</f>
        <v/>
      </c>
      <c r="E11" s="140">
        <f>Impuestos!E6</f>
        <v/>
      </c>
      <c r="F11" s="140">
        <f>Impuestos!F6</f>
        <v/>
      </c>
      <c r="G11" s="140">
        <f>Impuestos!G6</f>
        <v/>
      </c>
      <c r="H11" s="140">
        <f>Impuestos!H6</f>
        <v/>
      </c>
      <c r="I11" s="140">
        <f>Impuestos!I6</f>
        <v/>
      </c>
      <c r="J11" s="140">
        <f>Impuestos!J6</f>
        <v/>
      </c>
      <c r="K11" s="140">
        <f>Impuestos!K6</f>
        <v/>
      </c>
      <c r="L11" s="140">
        <f>Impuestos!L6</f>
        <v/>
      </c>
      <c r="M11" s="140">
        <f>Impuestos!M6</f>
        <v/>
      </c>
      <c r="N11" s="145">
        <f>SUM(B11:M11)</f>
        <v/>
      </c>
    </row>
    <row r="13" ht="15" customHeight="1" s="83">
      <c r="A13" s="143" t="inlineStr">
        <is>
          <t>Bases Imponibles DISTRIBUIDAS a Cordoba (× coef)</t>
        </is>
      </c>
    </row>
    <row r="14" ht="15" customHeight="1" s="83">
      <c r="A14" s="151" t="inlineStr">
        <is>
          <t>702010 - Servicios Gerenciamiento</t>
        </is>
      </c>
      <c r="B14" s="140">
        <f>Impuestos!B25</f>
        <v/>
      </c>
      <c r="C14" s="140">
        <f>Impuestos!C25</f>
        <v/>
      </c>
      <c r="D14" s="140">
        <f>Impuestos!D25</f>
        <v/>
      </c>
      <c r="E14" s="140">
        <f>Impuestos!E25</f>
        <v/>
      </c>
      <c r="F14" s="140">
        <f>Impuestos!F25</f>
        <v/>
      </c>
      <c r="G14" s="140">
        <f>Impuestos!G25</f>
        <v/>
      </c>
      <c r="H14" s="140">
        <f>Impuestos!H25</f>
        <v/>
      </c>
      <c r="I14" s="140">
        <f>Impuestos!I25</f>
        <v/>
      </c>
      <c r="J14" s="140">
        <f>Impuestos!J25</f>
        <v/>
      </c>
      <c r="K14" s="140">
        <f>Impuestos!K25</f>
        <v/>
      </c>
      <c r="L14" s="140">
        <f>Impuestos!L25</f>
        <v/>
      </c>
      <c r="M14" s="140">
        <f>Impuestos!M25</f>
        <v/>
      </c>
      <c r="N14" s="145">
        <f>SUM(B14:M14)</f>
        <v/>
      </c>
    </row>
    <row r="15" ht="15" customHeight="1" s="83">
      <c r="A15" s="151" t="inlineStr">
        <is>
          <t>651110 - Servicios Seguros</t>
        </is>
      </c>
      <c r="B15" s="140">
        <f>Impuestos!B26</f>
        <v/>
      </c>
      <c r="C15" s="140">
        <f>Impuestos!C26</f>
        <v/>
      </c>
      <c r="D15" s="140">
        <f>Impuestos!D26</f>
        <v/>
      </c>
      <c r="E15" s="140">
        <f>Impuestos!E26</f>
        <v/>
      </c>
      <c r="F15" s="140">
        <f>Impuestos!F26</f>
        <v/>
      </c>
      <c r="G15" s="140">
        <f>Impuestos!G26</f>
        <v/>
      </c>
      <c r="H15" s="140">
        <f>Impuestos!H26</f>
        <v/>
      </c>
      <c r="I15" s="140">
        <f>Impuestos!I26</f>
        <v/>
      </c>
      <c r="J15" s="140">
        <f>Impuestos!J26</f>
        <v/>
      </c>
      <c r="K15" s="140">
        <f>Impuestos!K26</f>
        <v/>
      </c>
      <c r="L15" s="140">
        <f>Impuestos!L26</f>
        <v/>
      </c>
      <c r="M15" s="140">
        <f>Impuestos!M26</f>
        <v/>
      </c>
      <c r="N15" s="145">
        <f>SUM(B15:M15)</f>
        <v/>
      </c>
    </row>
    <row r="16" ht="15" customHeight="1" s="83">
      <c r="A16" s="152" t="inlineStr">
        <is>
          <t>TOTAL Base Imponible Jurisdiccional</t>
        </is>
      </c>
      <c r="B16" s="145">
        <f>B14+B15</f>
        <v/>
      </c>
      <c r="C16" s="145">
        <f>C14+C15</f>
        <v/>
      </c>
      <c r="D16" s="145">
        <f>D14+D15</f>
        <v/>
      </c>
      <c r="E16" s="145">
        <f>E14+E15</f>
        <v/>
      </c>
      <c r="F16" s="145">
        <f>F14+F15</f>
        <v/>
      </c>
      <c r="G16" s="145">
        <f>G14+G15</f>
        <v/>
      </c>
      <c r="H16" s="145">
        <f>H14+H15</f>
        <v/>
      </c>
      <c r="I16" s="145">
        <f>I14+I15</f>
        <v/>
      </c>
      <c r="J16" s="145">
        <f>J14+J15</f>
        <v/>
      </c>
      <c r="K16" s="145">
        <f>K14+K15</f>
        <v/>
      </c>
      <c r="L16" s="145">
        <f>L14+L15</f>
        <v/>
      </c>
      <c r="M16" s="145">
        <f>M14+M15</f>
        <v/>
      </c>
      <c r="N16" s="145">
        <f>SUM(B16:M16)</f>
        <v/>
      </c>
    </row>
    <row r="17" ht="15" customHeight="1" s="83">
      <c r="A17" s="158" t="inlineStr">
        <is>
          <t>CONTROL (Total Jurisdiccional vs Total × Coef)</t>
        </is>
      </c>
      <c r="B17" s="159">
        <f>ROUND(B16-(B10+B11)*Coef_Cba,2)</f>
        <v/>
      </c>
      <c r="C17" s="159">
        <f>ROUND(C16-(C10+C11)*Coef_Cba,2)</f>
        <v/>
      </c>
      <c r="D17" s="159">
        <f>ROUND(D16-(D10+D11)*Coef_Cba,2)</f>
        <v/>
      </c>
      <c r="E17" s="159">
        <f>ROUND(E16-(E10+E11)*Coef_Cba,2)</f>
        <v/>
      </c>
      <c r="F17" s="159">
        <f>ROUND(F16-(F10+F11)*Coef_Cba,2)</f>
        <v/>
      </c>
      <c r="G17" s="159">
        <f>ROUND(G16-(G10+G11)*Coef_Cba,2)</f>
        <v/>
      </c>
      <c r="H17" s="159">
        <f>ROUND(H16-(H10+H11)*Coef_Cba,2)</f>
        <v/>
      </c>
      <c r="I17" s="159">
        <f>ROUND(I16-(I10+I11)*Coef_Cba,2)</f>
        <v/>
      </c>
      <c r="J17" s="159">
        <f>ROUND(J16-(J10+J11)*Coef_Cba,2)</f>
        <v/>
      </c>
      <c r="K17" s="159">
        <f>ROUND(K16-(K10+K11)*Coef_Cba,2)</f>
        <v/>
      </c>
      <c r="L17" s="159">
        <f>ROUND(L16-(L10+L11)*Coef_Cba,2)</f>
        <v/>
      </c>
      <c r="M17" s="159">
        <f>ROUND(M16-(M10+M11)*Coef_Cba,2)</f>
        <v/>
      </c>
    </row>
    <row r="19" ht="15" customHeight="1" s="83">
      <c r="A19" s="143" t="inlineStr">
        <is>
          <t>Alícuotas</t>
        </is>
      </c>
    </row>
    <row r="20" ht="15" customHeight="1" s="83">
      <c r="A20" s="151" t="inlineStr">
        <is>
          <t>702010 - Servicios Gerenciamiento</t>
        </is>
      </c>
      <c r="B20" s="160">
        <f>Alic_702_Cba</f>
        <v/>
      </c>
      <c r="C20" s="160">
        <f>Alic_702_Cba</f>
        <v/>
      </c>
      <c r="D20" s="160">
        <f>Alic_702_Cba</f>
        <v/>
      </c>
      <c r="E20" s="160">
        <f>Alic_702_Cba</f>
        <v/>
      </c>
      <c r="F20" s="160">
        <f>Alic_702_Cba</f>
        <v/>
      </c>
      <c r="G20" s="160">
        <f>Alic_702_Cba</f>
        <v/>
      </c>
      <c r="H20" s="160">
        <f>Alic_702_Cba</f>
        <v/>
      </c>
      <c r="I20" s="160">
        <f>Alic_702_Cba</f>
        <v/>
      </c>
      <c r="J20" s="160">
        <f>Alic_702_Cba</f>
        <v/>
      </c>
      <c r="K20" s="160">
        <f>Alic_702_Cba</f>
        <v/>
      </c>
      <c r="L20" s="160">
        <f>Alic_702_Cba</f>
        <v/>
      </c>
      <c r="M20" s="160">
        <f>Alic_702_Cba</f>
        <v/>
      </c>
    </row>
    <row r="21" ht="15" customHeight="1" s="83">
      <c r="A21" s="151" t="inlineStr">
        <is>
          <t>651110 - Servicios Seguros</t>
        </is>
      </c>
      <c r="B21" s="160">
        <f>Alic_651_Cba</f>
        <v/>
      </c>
      <c r="C21" s="160">
        <f>Alic_651_Cba</f>
        <v/>
      </c>
      <c r="D21" s="160">
        <f>Alic_651_Cba</f>
        <v/>
      </c>
      <c r="E21" s="160">
        <f>Alic_651_Cba</f>
        <v/>
      </c>
      <c r="F21" s="160">
        <f>Alic_651_Cba</f>
        <v/>
      </c>
      <c r="G21" s="160">
        <f>Alic_651_Cba</f>
        <v/>
      </c>
      <c r="H21" s="160">
        <f>Alic_651_Cba</f>
        <v/>
      </c>
      <c r="I21" s="160">
        <f>Alic_651_Cba</f>
        <v/>
      </c>
      <c r="J21" s="160">
        <f>Alic_651_Cba</f>
        <v/>
      </c>
      <c r="K21" s="160">
        <f>Alic_651_Cba</f>
        <v/>
      </c>
      <c r="L21" s="160">
        <f>Alic_651_Cba</f>
        <v/>
      </c>
      <c r="M21" s="160">
        <f>Alic_651_Cba</f>
        <v/>
      </c>
    </row>
    <row r="23" ht="15" customHeight="1" s="83">
      <c r="A23" s="143" t="inlineStr">
        <is>
          <t>Impuesto Determinado</t>
        </is>
      </c>
    </row>
    <row r="24" ht="15" customHeight="1" s="83">
      <c r="A24" s="151" t="inlineStr">
        <is>
          <t>Impuesto 702010 (= base × alícuota)</t>
        </is>
      </c>
      <c r="B24" s="123">
        <f>B14*B20</f>
        <v/>
      </c>
      <c r="C24" s="123">
        <f>C14*C20</f>
        <v/>
      </c>
      <c r="D24" s="123">
        <f>D14*D20</f>
        <v/>
      </c>
      <c r="E24" s="123">
        <f>E14*E20</f>
        <v/>
      </c>
      <c r="F24" s="123">
        <f>F14*F20</f>
        <v/>
      </c>
      <c r="G24" s="123">
        <f>G14*G20</f>
        <v/>
      </c>
      <c r="H24" s="123">
        <f>H14*H20</f>
        <v/>
      </c>
      <c r="I24" s="123">
        <f>I14*I20</f>
        <v/>
      </c>
      <c r="J24" s="123">
        <f>J14*J20</f>
        <v/>
      </c>
      <c r="K24" s="123">
        <f>K14*K20</f>
        <v/>
      </c>
      <c r="L24" s="123">
        <f>L14*L20</f>
        <v/>
      </c>
      <c r="M24" s="123">
        <f>M14*M20</f>
        <v/>
      </c>
      <c r="N24" s="145">
        <f>SUM(B24:M24)</f>
        <v/>
      </c>
    </row>
    <row r="25" ht="15" customHeight="1" s="83">
      <c r="A25" s="151" t="inlineStr">
        <is>
          <t>Impuesto 651110 (= base × alícuota)</t>
        </is>
      </c>
      <c r="B25" s="123">
        <f>B15*B21</f>
        <v/>
      </c>
      <c r="C25" s="123">
        <f>C15*C21</f>
        <v/>
      </c>
      <c r="D25" s="123">
        <f>D15*D21</f>
        <v/>
      </c>
      <c r="E25" s="123">
        <f>E15*E21</f>
        <v/>
      </c>
      <c r="F25" s="123">
        <f>F15*F21</f>
        <v/>
      </c>
      <c r="G25" s="123">
        <f>G15*G21</f>
        <v/>
      </c>
      <c r="H25" s="123">
        <f>H15*H21</f>
        <v/>
      </c>
      <c r="I25" s="123">
        <f>I15*I21</f>
        <v/>
      </c>
      <c r="J25" s="123">
        <f>J15*J21</f>
        <v/>
      </c>
      <c r="K25" s="123">
        <f>K15*K21</f>
        <v/>
      </c>
      <c r="L25" s="123">
        <f>L15*L21</f>
        <v/>
      </c>
      <c r="M25" s="123">
        <f>M15*M21</f>
        <v/>
      </c>
      <c r="N25" s="145">
        <f>SUM(B25:M25)</f>
        <v/>
      </c>
    </row>
    <row r="26" ht="15" customHeight="1" s="83">
      <c r="A26" s="152" t="inlineStr">
        <is>
          <t>Sub-total Impuesto</t>
        </is>
      </c>
      <c r="B26" s="145">
        <f>B24+B25</f>
        <v/>
      </c>
      <c r="C26" s="145">
        <f>C24+C25</f>
        <v/>
      </c>
      <c r="D26" s="145">
        <f>D24+D25</f>
        <v/>
      </c>
      <c r="E26" s="145">
        <f>E24+E25</f>
        <v/>
      </c>
      <c r="F26" s="145">
        <f>F24+F25</f>
        <v/>
      </c>
      <c r="G26" s="145">
        <f>G24+G25</f>
        <v/>
      </c>
      <c r="H26" s="145">
        <f>H24+H25</f>
        <v/>
      </c>
      <c r="I26" s="145">
        <f>I24+I25</f>
        <v/>
      </c>
      <c r="J26" s="145">
        <f>J24+J25</f>
        <v/>
      </c>
      <c r="K26" s="145">
        <f>K24+K25</f>
        <v/>
      </c>
      <c r="L26" s="145">
        <f>L24+L25</f>
        <v/>
      </c>
      <c r="M26" s="145">
        <f>M24+M25</f>
        <v/>
      </c>
      <c r="N26" s="145">
        <f>SUM(B26:M26)</f>
        <v/>
      </c>
    </row>
    <row r="27" ht="15" customHeight="1" s="83">
      <c r="A27" s="151" t="inlineStr">
        <is>
          <t>(+) Adicional Fofise</t>
        </is>
      </c>
      <c r="B27" s="122" t="n">
        <v>0</v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45">
        <f>SUM(B27:M27)</f>
        <v/>
      </c>
    </row>
    <row r="28" ht="15" customHeight="1" s="83">
      <c r="A28" s="151" t="inlineStr">
        <is>
          <t>(+) Adicional FFOI</t>
        </is>
      </c>
      <c r="B28" s="122" t="n">
        <v>0</v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45">
        <f>SUM(B28:M28)</f>
        <v/>
      </c>
    </row>
    <row r="29" ht="15" customHeight="1" s="83">
      <c r="A29" s="152" t="inlineStr">
        <is>
          <t>Total Determinado</t>
        </is>
      </c>
      <c r="B29" s="145">
        <f>B26+B27+B28</f>
        <v/>
      </c>
      <c r="C29" s="145">
        <f>C26+C27+C28</f>
        <v/>
      </c>
      <c r="D29" s="145">
        <f>D26+D27+D28</f>
        <v/>
      </c>
      <c r="E29" s="145">
        <f>E26+E27+E28</f>
        <v/>
      </c>
      <c r="F29" s="145">
        <f>F26+F27+F28</f>
        <v/>
      </c>
      <c r="G29" s="145">
        <f>G26+G27+G28</f>
        <v/>
      </c>
      <c r="H29" s="145">
        <f>H26+H27+H28</f>
        <v/>
      </c>
      <c r="I29" s="145">
        <f>I26+I27+I28</f>
        <v/>
      </c>
      <c r="J29" s="145">
        <f>J26+J27+J28</f>
        <v/>
      </c>
      <c r="K29" s="145">
        <f>K26+K27+K28</f>
        <v/>
      </c>
      <c r="L29" s="145">
        <f>L26+L27+L28</f>
        <v/>
      </c>
      <c r="M29" s="145">
        <f>M26+M27+M28</f>
        <v/>
      </c>
      <c r="N29" s="145">
        <f>SUM(B29:M29)</f>
        <v/>
      </c>
    </row>
    <row r="31" ht="15" customHeight="1" s="83">
      <c r="A31" s="143" t="inlineStr">
        <is>
          <t>Deducciones</t>
        </is>
      </c>
    </row>
    <row r="32" ht="15" customHeight="1" s="83">
      <c r="A32" s="151" t="inlineStr">
        <is>
          <t>(-) Recaudaciones</t>
        </is>
      </c>
      <c r="B32" s="122" t="n">
        <v>0</v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45">
        <f>SUM(B32:M32)</f>
        <v/>
      </c>
    </row>
    <row r="33" ht="15" customHeight="1" s="83">
      <c r="A33" s="151" t="inlineStr">
        <is>
          <t>(-) Retenciones</t>
        </is>
      </c>
      <c r="B33" s="122" t="n">
        <v>0</v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45">
        <f>SUM(B33:M33)</f>
        <v/>
      </c>
    </row>
    <row r="34" ht="15" customHeight="1" s="83">
      <c r="A34" s="151" t="inlineStr">
        <is>
          <t>(-) Percepciones</t>
        </is>
      </c>
      <c r="B34" s="122" t="n">
        <v>0</v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45">
        <f>SUM(B34:M34)</f>
        <v/>
      </c>
    </row>
    <row r="35" ht="15" customHeight="1" s="83">
      <c r="A35" s="151" t="inlineStr">
        <is>
          <t>(-) Saldo a favor anterior</t>
        </is>
      </c>
      <c r="B35" s="122" t="n">
        <v>0</v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45">
        <f>SUM(B35:M35)</f>
        <v/>
      </c>
    </row>
    <row r="36" ht="15" customHeight="1" s="83">
      <c r="A36" s="151" t="inlineStr">
        <is>
          <t>(-) Pagos a cuenta</t>
        </is>
      </c>
      <c r="B36" s="122" t="n">
        <v>0</v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45">
        <f>SUM(B36:M36)</f>
        <v/>
      </c>
    </row>
    <row r="38" ht="15" customHeight="1" s="83">
      <c r="A38" s="143" t="inlineStr">
        <is>
          <t>Resultado</t>
        </is>
      </c>
    </row>
    <row r="39" ht="15" customHeight="1" s="83">
      <c r="A39" s="151" t="inlineStr">
        <is>
          <t>Saldo Período</t>
        </is>
      </c>
      <c r="B39" s="123">
        <f>B29-B32-B33-B34-B35-B36</f>
        <v/>
      </c>
      <c r="C39" s="123">
        <f>C29-C32-C33-C34-C35-C36</f>
        <v/>
      </c>
      <c r="D39" s="123">
        <f>D29-D32-D33-D34-D35-D36</f>
        <v/>
      </c>
      <c r="E39" s="123">
        <f>E29-E32-E33-E34-E35-E36</f>
        <v/>
      </c>
      <c r="F39" s="123">
        <f>F29-F32-F33-F34-F35-F36</f>
        <v/>
      </c>
      <c r="G39" s="123">
        <f>G29-G32-G33-G34-G35-G36</f>
        <v/>
      </c>
      <c r="H39" s="123">
        <f>H29-H32-H33-H34-H35-H36</f>
        <v/>
      </c>
      <c r="I39" s="123">
        <f>I29-I32-I33-I34-I35-I36</f>
        <v/>
      </c>
      <c r="J39" s="123">
        <f>J29-J32-J33-J34-J35-J36</f>
        <v/>
      </c>
      <c r="K39" s="123">
        <f>K29-K32-K33-K34-K35-K36</f>
        <v/>
      </c>
      <c r="L39" s="123">
        <f>L29-L32-L33-L34-L35-L36</f>
        <v/>
      </c>
      <c r="M39" s="123">
        <f>M29-M32-M33-M34-M35-M36</f>
        <v/>
      </c>
      <c r="N39" s="145">
        <f>SUM(B39:M39)</f>
        <v/>
      </c>
    </row>
    <row r="40" ht="15" customHeight="1" s="83">
      <c r="A40" s="152" t="inlineStr">
        <is>
          <t>A favor (si saldo negativo)</t>
        </is>
      </c>
      <c r="B40" s="123">
        <f>MAX(0,-B39)</f>
        <v/>
      </c>
      <c r="C40" s="123">
        <f>MAX(0,-C39)</f>
        <v/>
      </c>
      <c r="D40" s="123">
        <f>MAX(0,-D39)</f>
        <v/>
      </c>
      <c r="E40" s="123">
        <f>MAX(0,-E39)</f>
        <v/>
      </c>
      <c r="F40" s="123">
        <f>MAX(0,-F39)</f>
        <v/>
      </c>
      <c r="G40" s="123">
        <f>MAX(0,-G39)</f>
        <v/>
      </c>
      <c r="H40" s="123">
        <f>MAX(0,-H39)</f>
        <v/>
      </c>
      <c r="I40" s="123">
        <f>MAX(0,-I39)</f>
        <v/>
      </c>
      <c r="J40" s="123">
        <f>MAX(0,-J39)</f>
        <v/>
      </c>
      <c r="K40" s="123">
        <f>MAX(0,-K39)</f>
        <v/>
      </c>
      <c r="L40" s="123">
        <f>MAX(0,-L39)</f>
        <v/>
      </c>
      <c r="M40" s="123">
        <f>MAX(0,-M39)</f>
        <v/>
      </c>
      <c r="N40" s="145">
        <f>SUM(B40:M40)</f>
        <v/>
      </c>
    </row>
    <row r="41" ht="15" customHeight="1" s="83">
      <c r="A41" s="152" t="inlineStr">
        <is>
          <t>A pagar (si saldo positivo)</t>
        </is>
      </c>
      <c r="B41" s="154">
        <f>MAX(0,B39)</f>
        <v/>
      </c>
      <c r="C41" s="154">
        <f>MAX(0,C39)</f>
        <v/>
      </c>
      <c r="D41" s="154">
        <f>MAX(0,D39)</f>
        <v/>
      </c>
      <c r="E41" s="154">
        <f>MAX(0,E39)</f>
        <v/>
      </c>
      <c r="F41" s="154">
        <f>MAX(0,F39)</f>
        <v/>
      </c>
      <c r="G41" s="154">
        <f>MAX(0,G39)</f>
        <v/>
      </c>
      <c r="H41" s="154">
        <f>MAX(0,H39)</f>
        <v/>
      </c>
      <c r="I41" s="154">
        <f>MAX(0,I39)</f>
        <v/>
      </c>
      <c r="J41" s="154">
        <f>MAX(0,J39)</f>
        <v/>
      </c>
      <c r="K41" s="154">
        <f>MAX(0,K39)</f>
        <v/>
      </c>
      <c r="L41" s="154">
        <f>MAX(0,L39)</f>
        <v/>
      </c>
      <c r="M41" s="154">
        <f>MAX(0,M39)</f>
        <v/>
      </c>
      <c r="N41" s="154">
        <f>SUM(B41:M41)</f>
        <v/>
      </c>
    </row>
    <row r="43" ht="15" customHeight="1" s="83">
      <c r="A43" s="143" t="inlineStr">
        <is>
          <t>Vencimientos y pagos</t>
        </is>
      </c>
    </row>
    <row r="44" ht="15" customHeight="1" s="83">
      <c r="A44" s="151" t="inlineStr">
        <is>
          <t>Vencimiento (cronograma CM)</t>
        </is>
      </c>
      <c r="B44" s="146">
        <f>DATE(2026,2,18)</f>
        <v/>
      </c>
      <c r="C44" s="146">
        <f>DATE(2026,3,18)</f>
        <v/>
      </c>
      <c r="D44" s="146">
        <f>DATE(2026,4,18)</f>
        <v/>
      </c>
      <c r="E44" s="146">
        <f>DATE(2026,5,18)</f>
        <v/>
      </c>
      <c r="F44" s="146">
        <f>DATE(2026,6,18)</f>
        <v/>
      </c>
      <c r="G44" s="146">
        <f>DATE(2026,7,18)</f>
        <v/>
      </c>
      <c r="H44" s="146">
        <f>DATE(2026,8,18)</f>
        <v/>
      </c>
      <c r="I44" s="146">
        <f>DATE(2026,9,18)</f>
        <v/>
      </c>
      <c r="J44" s="146">
        <f>DATE(2026,10,18)</f>
        <v/>
      </c>
      <c r="K44" s="146">
        <f>DATE(2026,11,18)</f>
        <v/>
      </c>
      <c r="L44" s="146">
        <f>DATE(2026,12,18)</f>
        <v/>
      </c>
      <c r="M44" s="146">
        <f>DATE(2027,1,18)</f>
        <v/>
      </c>
    </row>
    <row r="45" ht="15" customHeight="1" s="83">
      <c r="A45" s="151" t="inlineStr">
        <is>
          <t>Fecha de pago</t>
        </is>
      </c>
      <c r="B45" s="120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</row>
    <row r="47" ht="15" customHeight="1" s="83">
      <c r="A47" s="112" t="inlineStr">
        <is>
          <t>ℹ️ Celdas azules = inputs (cargá retenciones, percepciones, saldo a favor anterior, pagos a cuenta y fechas de pago).</t>
        </is>
      </c>
    </row>
  </sheetData>
  <mergeCells count="12">
    <mergeCell ref="A9:N9"/>
    <mergeCell ref="A31:N31"/>
    <mergeCell ref="A3:N3"/>
    <mergeCell ref="A6:N6"/>
    <mergeCell ref="A38:N38"/>
    <mergeCell ref="A2:N2"/>
    <mergeCell ref="A43:N43"/>
    <mergeCell ref="A19:N19"/>
    <mergeCell ref="A47:N47"/>
    <mergeCell ref="A23:N23"/>
    <mergeCell ref="A13:N1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I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82" min="1" max="1"/>
    <col width="30" customWidth="1" style="82" min="2" max="2"/>
    <col width="18" customWidth="1" style="82" min="3" max="3"/>
    <col width="4" customWidth="1" style="82" min="4" max="4"/>
    <col width="30" customWidth="1" style="82" min="5" max="5"/>
    <col width="18" customWidth="1" style="82" min="6" max="6"/>
    <col width="4" customWidth="1" style="82" min="7" max="7"/>
    <col width="28" customWidth="1" style="82" min="8" max="8"/>
    <col width="18" customWidth="1" style="82" min="9" max="9"/>
  </cols>
  <sheetData>
    <row r="2" ht="21.75" customHeight="1" s="83">
      <c r="B2" s="161" t="inlineStr">
        <is>
          <t>RESUMEN EJECUTIVO 2026</t>
        </is>
      </c>
    </row>
    <row r="4" ht="15" customHeight="1" s="83">
      <c r="B4" s="87" t="inlineStr">
        <is>
          <t>📊 FACTURACIÓN AÑO 2026</t>
        </is>
      </c>
      <c r="E4" s="87" t="inlineStr">
        <is>
          <t>💰 COBRANZAS</t>
        </is>
      </c>
      <c r="H4" s="87" t="inlineStr">
        <is>
          <t>📑 IMPUESTOS 2026 (estim.)</t>
        </is>
      </c>
    </row>
    <row r="5" ht="15" customHeight="1" s="83">
      <c r="B5" s="101" t="inlineStr">
        <is>
          <t>Total facturado (Neto)</t>
        </is>
      </c>
      <c r="C5" s="140">
        <f>SUMIFS(Fac_Neto,Fac_Anio,2026,Fac_EstadoAFIP,"&lt;&gt;Anulada")+SUMIFS(Fac_NoGrav,Fac_Anio,2026,Fac_EstadoAFIP,"&lt;&gt;Anulada")</f>
        <v/>
      </c>
      <c r="E5" s="101" t="inlineStr">
        <is>
          <t>Total cobrado</t>
        </is>
      </c>
      <c r="F5" s="140">
        <f>Cobranzas!L4</f>
        <v/>
      </c>
      <c r="H5" s="101" t="inlineStr">
        <is>
          <t>IVA total año</t>
        </is>
      </c>
      <c r="I5" s="140">
        <f>Impuestos!N40</f>
        <v/>
      </c>
    </row>
    <row r="6" ht="15" customHeight="1" s="83">
      <c r="B6" s="101" t="inlineStr">
        <is>
          <t>Total IVA débito</t>
        </is>
      </c>
      <c r="C6" s="140">
        <f>SUMIFS(Fac_IVA21,Fac_Anio,2026,Fac_EstadoAFIP,"&lt;&gt;Anulada")+SUMIFS(Fac_IVA105,Fac_Anio,2026,Fac_EstadoAFIP,"&lt;&gt;Anulada")</f>
        <v/>
      </c>
      <c r="E6" s="101" t="inlineStr">
        <is>
          <t>Total pendiente</t>
        </is>
      </c>
      <c r="F6" s="140">
        <f>Cobranzas!L5</f>
        <v/>
      </c>
      <c r="H6" s="101" t="inlineStr">
        <is>
          <t>IIBB CABA total</t>
        </is>
      </c>
      <c r="I6" s="140">
        <f>Impuestos!N41</f>
        <v/>
      </c>
    </row>
    <row r="7" ht="15" customHeight="1" s="83">
      <c r="B7" s="101" t="inlineStr">
        <is>
          <t>Total facturado (con IVA)</t>
        </is>
      </c>
      <c r="C7" s="140">
        <f>SUMIFS(Fac_Total,Fac_Anio,2026,Fac_EstadoAFIP,"&lt;&gt;Anulada")</f>
        <v/>
      </c>
      <c r="E7" s="101" t="inlineStr">
        <is>
          <t>Total vencido</t>
        </is>
      </c>
      <c r="F7" s="140">
        <f>Cobranzas!L6</f>
        <v/>
      </c>
      <c r="H7" s="101" t="inlineStr">
        <is>
          <t>IIBB Córdoba total</t>
        </is>
      </c>
      <c r="I7" s="140">
        <f>Impuestos!N42</f>
        <v/>
      </c>
    </row>
    <row r="8" ht="15" customHeight="1" s="83">
      <c r="B8" s="101" t="inlineStr">
        <is>
          <t>Cantidad de facturas emitidas</t>
        </is>
      </c>
      <c r="C8" s="162">
        <f>COUNTIFS(Fac_Anio,2026,Fac_EstadoAFIP,"&lt;&gt;Anulada")</f>
        <v/>
      </c>
      <c r="E8" s="101" t="inlineStr">
        <is>
          <t>% Cobrado</t>
        </is>
      </c>
      <c r="F8" s="163">
        <f>Cobranzas!L7</f>
        <v/>
      </c>
      <c r="H8" s="101" t="inlineStr">
        <is>
          <t>Tasa Comercio Cba</t>
        </is>
      </c>
      <c r="I8" s="140">
        <f>Impuestos!N43</f>
        <v/>
      </c>
    </row>
    <row r="9" ht="15" customHeight="1" s="83">
      <c r="B9" s="101" t="inlineStr">
        <is>
          <t>Promedio mensual</t>
        </is>
      </c>
      <c r="C9" s="140">
        <f>IFERROR(C5/MAX(1,COUNTA(Facturacion!P:P)-1)*COUNTA(Facturacion!P:P)/12,0)</f>
        <v/>
      </c>
      <c r="H9" s="107" t="inlineStr">
        <is>
          <t>TOTAL IMPUESTOS</t>
        </is>
      </c>
      <c r="I9" s="164">
        <f>Impuestos!N44</f>
        <v/>
      </c>
    </row>
    <row r="12" ht="15" customHeight="1" s="83">
      <c r="B12" s="87" t="inlineStr">
        <is>
          <t>📅 Impuestos a pagar mes a mes</t>
        </is>
      </c>
    </row>
    <row r="13" ht="45.75" customHeight="1" s="83">
      <c r="B13" s="100" t="inlineStr">
        <is>
          <t>Mes</t>
        </is>
      </c>
      <c r="C13" s="100" t="inlineStr">
        <is>
          <t>IVA</t>
        </is>
      </c>
      <c r="D13" s="100" t="inlineStr">
        <is>
          <t>IIBB CABA</t>
        </is>
      </c>
      <c r="E13" s="100" t="inlineStr">
        <is>
          <t>IIBB Cba</t>
        </is>
      </c>
      <c r="F13" s="100" t="inlineStr">
        <is>
          <t>Tasa Cba</t>
        </is>
      </c>
      <c r="G13" s="100" t="inlineStr">
        <is>
          <t>Total Mes</t>
        </is>
      </c>
      <c r="H13" s="100" t="inlineStr">
        <is>
          <t>Vence aprox.</t>
        </is>
      </c>
    </row>
    <row r="14" ht="15" customHeight="1" s="83">
      <c r="B14" s="107" t="inlineStr">
        <is>
          <t>Ene</t>
        </is>
      </c>
      <c r="C14" s="132">
        <f>Impuestos!B40</f>
        <v/>
      </c>
      <c r="D14" s="132">
        <f>Impuestos!B41</f>
        <v/>
      </c>
      <c r="E14" s="132">
        <f>Impuestos!B42</f>
        <v/>
      </c>
      <c r="F14" s="132">
        <f>Impuestos!B43</f>
        <v/>
      </c>
      <c r="G14" s="165">
        <f>SUM(C14:F14)</f>
        <v/>
      </c>
      <c r="H14" s="146">
        <f>DATE(2026,2,20)</f>
        <v/>
      </c>
    </row>
    <row r="15" ht="15" customHeight="1" s="83">
      <c r="B15" s="107" t="inlineStr">
        <is>
          <t>Feb</t>
        </is>
      </c>
      <c r="C15" s="132">
        <f>Impuestos!C40</f>
        <v/>
      </c>
      <c r="D15" s="132">
        <f>Impuestos!C41</f>
        <v/>
      </c>
      <c r="E15" s="132">
        <f>Impuestos!C42</f>
        <v/>
      </c>
      <c r="F15" s="132">
        <f>Impuestos!C43</f>
        <v/>
      </c>
      <c r="G15" s="165">
        <f>SUM(C15:F15)</f>
        <v/>
      </c>
      <c r="H15" s="146">
        <f>DATE(2026,3,20)</f>
        <v/>
      </c>
    </row>
    <row r="16" ht="15" customHeight="1" s="83">
      <c r="B16" s="107" t="inlineStr">
        <is>
          <t>Mar</t>
        </is>
      </c>
      <c r="C16" s="132">
        <f>Impuestos!D40</f>
        <v/>
      </c>
      <c r="D16" s="132">
        <f>Impuestos!D41</f>
        <v/>
      </c>
      <c r="E16" s="132">
        <f>Impuestos!D42</f>
        <v/>
      </c>
      <c r="F16" s="132">
        <f>Impuestos!D43</f>
        <v/>
      </c>
      <c r="G16" s="165">
        <f>SUM(C16:F16)</f>
        <v/>
      </c>
      <c r="H16" s="146">
        <f>DATE(2026,4,20)</f>
        <v/>
      </c>
    </row>
    <row r="17" ht="15" customHeight="1" s="83">
      <c r="B17" s="107" t="inlineStr">
        <is>
          <t>Abr</t>
        </is>
      </c>
      <c r="C17" s="132">
        <f>Impuestos!E40</f>
        <v/>
      </c>
      <c r="D17" s="132">
        <f>Impuestos!E41</f>
        <v/>
      </c>
      <c r="E17" s="132">
        <f>Impuestos!E42</f>
        <v/>
      </c>
      <c r="F17" s="132">
        <f>Impuestos!E43</f>
        <v/>
      </c>
      <c r="G17" s="165">
        <f>SUM(C17:F17)</f>
        <v/>
      </c>
      <c r="H17" s="146">
        <f>DATE(2026,5,20)</f>
        <v/>
      </c>
    </row>
    <row r="18" ht="15" customHeight="1" s="83">
      <c r="B18" s="107" t="inlineStr">
        <is>
          <t>May</t>
        </is>
      </c>
      <c r="C18" s="132">
        <f>Impuestos!F40</f>
        <v/>
      </c>
      <c r="D18" s="132">
        <f>Impuestos!F41</f>
        <v/>
      </c>
      <c r="E18" s="132">
        <f>Impuestos!F42</f>
        <v/>
      </c>
      <c r="F18" s="132">
        <f>Impuestos!F43</f>
        <v/>
      </c>
      <c r="G18" s="165">
        <f>SUM(C18:F18)</f>
        <v/>
      </c>
      <c r="H18" s="146">
        <f>DATE(2026,6,20)</f>
        <v/>
      </c>
    </row>
    <row r="19" ht="15" customHeight="1" s="83">
      <c r="B19" s="107" t="inlineStr">
        <is>
          <t>Jun</t>
        </is>
      </c>
      <c r="C19" s="132">
        <f>Impuestos!G40</f>
        <v/>
      </c>
      <c r="D19" s="132">
        <f>Impuestos!G41</f>
        <v/>
      </c>
      <c r="E19" s="132">
        <f>Impuestos!G42</f>
        <v/>
      </c>
      <c r="F19" s="132">
        <f>Impuestos!G43</f>
        <v/>
      </c>
      <c r="G19" s="165">
        <f>SUM(C19:F19)</f>
        <v/>
      </c>
      <c r="H19" s="146">
        <f>DATE(2026,7,20)</f>
        <v/>
      </c>
    </row>
    <row r="20" ht="15" customHeight="1" s="83">
      <c r="B20" s="107" t="inlineStr">
        <is>
          <t>Jul</t>
        </is>
      </c>
      <c r="C20" s="132">
        <f>Impuestos!H40</f>
        <v/>
      </c>
      <c r="D20" s="132">
        <f>Impuestos!H41</f>
        <v/>
      </c>
      <c r="E20" s="132">
        <f>Impuestos!H42</f>
        <v/>
      </c>
      <c r="F20" s="132">
        <f>Impuestos!H43</f>
        <v/>
      </c>
      <c r="G20" s="165">
        <f>SUM(C20:F20)</f>
        <v/>
      </c>
      <c r="H20" s="146">
        <f>DATE(2026,8,20)</f>
        <v/>
      </c>
    </row>
    <row r="21" ht="15" customHeight="1" s="83">
      <c r="B21" s="107" t="inlineStr">
        <is>
          <t>Ago</t>
        </is>
      </c>
      <c r="C21" s="132">
        <f>Impuestos!I40</f>
        <v/>
      </c>
      <c r="D21" s="132">
        <f>Impuestos!I41</f>
        <v/>
      </c>
      <c r="E21" s="132">
        <f>Impuestos!I42</f>
        <v/>
      </c>
      <c r="F21" s="132">
        <f>Impuestos!I43</f>
        <v/>
      </c>
      <c r="G21" s="165">
        <f>SUM(C21:F21)</f>
        <v/>
      </c>
      <c r="H21" s="146">
        <f>DATE(2026,9,20)</f>
        <v/>
      </c>
    </row>
    <row r="22" ht="15" customHeight="1" s="83">
      <c r="B22" s="107" t="inlineStr">
        <is>
          <t>Sep</t>
        </is>
      </c>
      <c r="C22" s="132">
        <f>Impuestos!J40</f>
        <v/>
      </c>
      <c r="D22" s="132">
        <f>Impuestos!J41</f>
        <v/>
      </c>
      <c r="E22" s="132">
        <f>Impuestos!J42</f>
        <v/>
      </c>
      <c r="F22" s="132">
        <f>Impuestos!J43</f>
        <v/>
      </c>
      <c r="G22" s="165">
        <f>SUM(C22:F22)</f>
        <v/>
      </c>
      <c r="H22" s="146">
        <f>DATE(2026,10,20)</f>
        <v/>
      </c>
    </row>
    <row r="23" ht="15" customHeight="1" s="83">
      <c r="B23" s="107" t="inlineStr">
        <is>
          <t>Oct</t>
        </is>
      </c>
      <c r="C23" s="132">
        <f>Impuestos!K40</f>
        <v/>
      </c>
      <c r="D23" s="132">
        <f>Impuestos!K41</f>
        <v/>
      </c>
      <c r="E23" s="132">
        <f>Impuestos!K42</f>
        <v/>
      </c>
      <c r="F23" s="132">
        <f>Impuestos!K43</f>
        <v/>
      </c>
      <c r="G23" s="165">
        <f>SUM(C23:F23)</f>
        <v/>
      </c>
      <c r="H23" s="146">
        <f>DATE(2026,11,20)</f>
        <v/>
      </c>
    </row>
    <row r="24" ht="15" customHeight="1" s="83">
      <c r="B24" s="107" t="inlineStr">
        <is>
          <t>Nov</t>
        </is>
      </c>
      <c r="C24" s="132">
        <f>Impuestos!L40</f>
        <v/>
      </c>
      <c r="D24" s="132">
        <f>Impuestos!L41</f>
        <v/>
      </c>
      <c r="E24" s="132">
        <f>Impuestos!L42</f>
        <v/>
      </c>
      <c r="F24" s="132">
        <f>Impuestos!L43</f>
        <v/>
      </c>
      <c r="G24" s="165">
        <f>SUM(C24:F24)</f>
        <v/>
      </c>
      <c r="H24" s="146">
        <f>DATE(2026,12,20)</f>
        <v/>
      </c>
    </row>
    <row r="25" ht="15" customHeight="1" s="83">
      <c r="B25" s="107" t="inlineStr">
        <is>
          <t>Dic</t>
        </is>
      </c>
      <c r="C25" s="132">
        <f>Impuestos!M40</f>
        <v/>
      </c>
      <c r="D25" s="132">
        <f>Impuestos!M41</f>
        <v/>
      </c>
      <c r="E25" s="132">
        <f>Impuestos!M42</f>
        <v/>
      </c>
      <c r="F25" s="132">
        <f>Impuestos!M43</f>
        <v/>
      </c>
      <c r="G25" s="165">
        <f>SUM(C25:F25)</f>
        <v/>
      </c>
      <c r="H25" s="146">
        <f>DATE(2027,1,20)</f>
        <v/>
      </c>
    </row>
    <row r="26" ht="15" customHeight="1" s="83">
      <c r="B26" s="166" t="inlineStr">
        <is>
          <t>TOTAL</t>
        </is>
      </c>
      <c r="C26" s="165">
        <f>SUM(C14:C25)</f>
        <v/>
      </c>
      <c r="D26" s="165">
        <f>SUM(D14:D25)</f>
        <v/>
      </c>
      <c r="E26" s="165">
        <f>SUM(E14:E25)</f>
        <v/>
      </c>
      <c r="F26" s="165">
        <f>SUM(F14:F25)</f>
        <v/>
      </c>
      <c r="G26" s="165">
        <f>SUM(G14:G25)</f>
        <v/>
      </c>
    </row>
  </sheetData>
  <mergeCells count="5">
    <mergeCell ref="B12:I12"/>
    <mergeCell ref="E4:F4"/>
    <mergeCell ref="B2:H2"/>
    <mergeCell ref="H4:I4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2026-05-08T19:23:36Z</dcterms:created>
  <dcterms:modified xsi:type="dcterms:W3CDTF">2026-05-12T11:48:39Z</dcterms:modified>
  <cp:revision>0</cp:revision>
</cp:coreProperties>
</file>